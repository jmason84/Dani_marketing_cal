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nnual View" sheetId="2" r:id="rId2"/>
    <sheet name="Monthly View" sheetId="3" r:id="rId3"/>
    <sheet name="Practice View" sheetId="4" r:id="rId4"/>
    <sheet name="Activity Planner" sheetId="5" r:id="rId5"/>
    <sheet name="Lists" sheetId="6" r:id="rId6"/>
    <sheet name="Settings" sheetId="7" r:id="rId7"/>
    <sheet name="Change Log" sheetId="8" r:id="rId8"/>
    <sheet name="Calc" sheetId="9" state="hidden" r:id="rId9"/>
  </sheets>
  <definedNames>
    <definedName name="CollisionThreshold">Settings!$B$6</definedName>
    <definedName name="FilterList">OFFSET(Lists!$K$5,0,0,MAX(1,COUNTIF(Lists!$K$5:$K$16,"?*")),1)</definedName>
    <definedName name="MonthList">Lists!$M$5:$M$16</definedName>
    <definedName name="MotionNames">Lists!$E$5:$E$7</definedName>
    <definedName name="PlanYear">Settings!$B$4</definedName>
    <definedName name="PracticeList">OFFSET(Lists!$B$5,0,0,MAX(1,COUNTA(Lists!$B$5:$B$16)),1)</definedName>
    <definedName name="PracticeNames">Lists!$B$5:$B$16</definedName>
    <definedName name="_xlnm.Print_Titles" localSheetId="4">'Activity Planner'!$4:$4</definedName>
    <definedName name="SelMonthNum">'Monthly View'!$K$1</definedName>
    <definedName name="SelPractice">'Practice View'!$B$5</definedName>
    <definedName name="StatusFilter">Settings!$B$5</definedName>
    <definedName name="StatusList">OFFSET(Lists!$I$5,0,0,MAX(1,COUNTA(Lists!$I$5:$I$14)),1)</definedName>
    <definedName name="TypeList">OFFSET(Lists!$G$5,0,0,MAX(1,COUNTA(Lists!$G$5:$G$24)),1)</definedName>
  </definedNames>
  <calcPr calcId="124519" fullCalcOnLoad="1"/>
</workbook>
</file>

<file path=xl/sharedStrings.xml><?xml version="1.0" encoding="utf-8"?>
<sst xmlns="http://schemas.openxmlformats.org/spreadsheetml/2006/main" count="369" uniqueCount="204">
  <si>
    <t>Lists</t>
  </si>
  <si>
    <t>Edit the yellow cells. Add a practice by typing in the next empty yellow cell - every dropdown and view updates.</t>
  </si>
  <si>
    <t>Practices (add / rename)</t>
  </si>
  <si>
    <t>Priority A</t>
  </si>
  <si>
    <t>Priority B</t>
  </si>
  <si>
    <t>Priority C</t>
  </si>
  <si>
    <t>Priority D</t>
  </si>
  <si>
    <t>Activity types</t>
  </si>
  <si>
    <t>Event</t>
  </si>
  <si>
    <t>Campaign</t>
  </si>
  <si>
    <t>PR</t>
  </si>
  <si>
    <t>Thought leadership</t>
  </si>
  <si>
    <t>Research / POV</t>
  </si>
  <si>
    <t>Launch</t>
  </si>
  <si>
    <t>Webinar</t>
  </si>
  <si>
    <t>Client activation</t>
  </si>
  <si>
    <t>Other</t>
  </si>
  <si>
    <t>Statuses</t>
  </si>
  <si>
    <t>Idea</t>
  </si>
  <si>
    <t>Planned</t>
  </si>
  <si>
    <t>Confirmed</t>
  </si>
  <si>
    <t>Complete</t>
  </si>
  <si>
    <t>On hold</t>
  </si>
  <si>
    <t>Cancelled</t>
  </si>
  <si>
    <t>Motions (fixed - from the slide)</t>
  </si>
  <si>
    <t>Create the reason to care</t>
  </si>
  <si>
    <t>Build momentum</t>
  </si>
  <si>
    <t>Create opportunity</t>
  </si>
  <si>
    <t>Status filter options</t>
  </si>
  <si>
    <t>All (excl. Cancelled)</t>
  </si>
  <si>
    <t>All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</si>
  <si>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</si>
  <si>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</si>
  <si>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</si>
  <si>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</si>
  <si>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</si>
  <si>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</si>
  <si>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</si>
  <si>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</si>
  <si>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</si>
  <si>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</si>
  <si>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</si>
  <si>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</si>
  <si>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</si>
  <si>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Settings</t>
  </si>
  <si>
    <t>Planning year</t>
  </si>
  <si>
    <t>Calendar year (Jan-Dec). Drives every view.</t>
  </si>
  <si>
    <t>Status filter</t>
  </si>
  <si>
    <t>Which activities appear in all views and counts. Default hides Cancelled.</t>
  </si>
  <si>
    <t>Crowded threshold</t>
  </si>
  <si>
    <t>Annual heat-map turns red when one practice has this many activities in a month.</t>
  </si>
  <si>
    <t>Multi-month rule</t>
  </si>
  <si>
    <t>Every month it touches</t>
  </si>
  <si>
    <t>Fixed: an activity running Jan-Mar counts in Jan, Feb and Mar.</t>
  </si>
  <si>
    <t>Activity Planner</t>
  </si>
  <si>
    <t>One row per activity - this is the only sheet you need to type in. Leave End date blank for a one-day activity. A red row means the Check column found a problem.</t>
  </si>
  <si>
    <t>ID</t>
  </si>
  <si>
    <t>Activity</t>
  </si>
  <si>
    <t>Practice</t>
  </si>
  <si>
    <t>Motion</t>
  </si>
  <si>
    <t>Activity type</t>
  </si>
  <si>
    <t>Start date</t>
  </si>
  <si>
    <t>End date</t>
  </si>
  <si>
    <t>Status</t>
  </si>
  <si>
    <t>Owner</t>
  </si>
  <si>
    <t>Audience / channel</t>
  </si>
  <si>
    <t>Notes</t>
  </si>
  <si>
    <t>Last updated</t>
  </si>
  <si>
    <t>Check</t>
  </si>
  <si>
    <t>Include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</si>
  <si>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</si>
  <si>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</si>
  <si>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</si>
  <si>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</si>
  <si>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</si>
  <si>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</si>
  <si>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</si>
  <si>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</si>
  <si>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</si>
  <si>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</si>
  <si>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</si>
  <si>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</si>
  <si>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Months touched</t>
  </si>
  <si>
    <t>POV / research</t>
  </si>
  <si>
    <t>SAMPLE ROW from the slide - overwrite or delete</t>
  </si>
  <si>
    <t>PR + campaign</t>
  </si>
  <si>
    <t>Industry event</t>
  </si>
  <si>
    <t>Follow-up</t>
  </si>
  <si>
    <t>Market insight</t>
  </si>
  <si>
    <t>Webinar series</t>
  </si>
  <si>
    <t>Roundtable</t>
  </si>
  <si>
    <t>Research / insight</t>
  </si>
  <si>
    <t>Client outreach</t>
  </si>
  <si>
    <t>Ongoing commentary</t>
  </si>
  <si>
    <t>POV</t>
  </si>
  <si>
    <t>Executive visibility</t>
  </si>
  <si>
    <t>Client event</t>
  </si>
  <si>
    <t>Account activation</t>
  </si>
  <si>
    <t>Calc - hidden helper sheet. Do not edit.</t>
  </si>
  <si>
    <t>Total</t>
  </si>
  <si>
    <t>Events</t>
  </si>
  <si>
    <t>Dominant motion (1/2/3)</t>
  </si>
  <si>
    <t>Monthly key</t>
  </si>
  <si>
    <t>Practice key</t>
  </si>
  <si>
    <t>THE INTEGRATED VIEW</t>
  </si>
  <si>
    <t>See the whole motion. Build on what's already happening.</t>
  </si>
  <si>
    <t>Launches, thought leadership, PR, campaigns, events and client activation in one view, so activity can connect, compound and create sustained opportunity.</t>
  </si>
  <si>
    <t>PRIORITY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</si>
  <si>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</si>
  <si>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</si>
  <si>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</si>
  <si>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</si>
  <si>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</si>
  <si>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</si>
  <si>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</si>
  <si>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</si>
  <si>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</si>
  <si>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</si>
  <si>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</si>
  <si>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</si>
  <si>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LEGEND</t>
  </si>
  <si>
    <t>01  CONNECT</t>
  </si>
  <si>
    <t>See where one market moment or activity can support multiple priorities.</t>
  </si>
  <si>
    <t>02  COMPOUND</t>
  </si>
  <si>
    <t>Build on existing momentum rather than creating isolated activity from scratch.</t>
  </si>
  <si>
    <t>03  COORDINATE</t>
  </si>
  <si>
    <t>Identify collisions, gaps and opportunities for better sequencing across the portfolio.</t>
  </si>
  <si>
    <t>WHY THIS VIEW</t>
  </si>
  <si>
    <t>ACTIVITIES BY MONTH  (an activity counts in every month it touches; Year column counts each activity once)</t>
  </si>
  <si>
    <t>YEAR</t>
  </si>
  <si>
    <t>Total activities</t>
  </si>
  <si>
    <t xml:space="preserve">   of which Events</t>
  </si>
  <si>
    <t xml:space="preserve">   Other activities</t>
  </si>
  <si>
    <t>BY PRACTICE AND MOTION  (whole year, each activity counted once)</t>
  </si>
  <si>
    <t>PRACTICE</t>
  </si>
  <si>
    <t>CREATE THE REASON TO CARE</t>
  </si>
  <si>
    <t>BUILD MOMENTUM</t>
  </si>
  <si>
    <t>CREATE OPPORTUNITY</t>
  </si>
  <si>
    <t>TOTAL</t>
  </si>
  <si>
    <t>EVENTS</t>
  </si>
  <si>
    <t>CROWDING AND GAPS  (activities per practice per month)</t>
  </si>
  <si>
    <t>MONTHLY VIEW</t>
  </si>
  <si>
    <t>One month, in detail.</t>
  </si>
  <si>
    <t>Pick a month to see what is happening, for which practice, and in which motion.</t>
  </si>
  <si>
    <t>Select month:</t>
  </si>
  <si>
    <t>TOTAL ACTIVITIES</t>
  </si>
  <si>
    <t>PRACTICE BY MOTION</t>
  </si>
  <si>
    <t>WEEK BY WEEK</t>
  </si>
  <si>
    <t>Active that week</t>
  </si>
  <si>
    <t>What</t>
  </si>
  <si>
    <t>ACTIVITY</t>
  </si>
  <si>
    <t>START</t>
  </si>
  <si>
    <t>END</t>
  </si>
  <si>
    <t>MOTION</t>
  </si>
  <si>
    <t>TYPE</t>
  </si>
  <si>
    <t>STATUS</t>
  </si>
  <si>
    <t>OWNER</t>
  </si>
  <si>
    <t>PRACTICE VIEW</t>
  </si>
  <si>
    <t>One practice, across the year.</t>
  </si>
  <si>
    <t>Pick a practice to see its three motions month by month, and every activity behind them.</t>
  </si>
  <si>
    <t>Select practice:</t>
  </si>
  <si>
    <t>BUSIEST MONTH</t>
  </si>
  <si>
    <t>THREE MOTIONS ACROSS THE YEAR</t>
  </si>
  <si>
    <t>Activities per month</t>
  </si>
  <si>
    <t>ACTIVITY LIST (sorted by start date)</t>
  </si>
  <si>
    <t>AUDIENCE / CHANNEL</t>
  </si>
  <si>
    <t>Change Log</t>
  </si>
  <si>
    <t>Several people edit this file - note structural changes here (new practice, renamed type, year rolled forward).</t>
  </si>
  <si>
    <t>Date</t>
  </si>
  <si>
    <t>Who</t>
  </si>
  <si>
    <t>What changed</t>
  </si>
  <si>
    <t>Workbook generator</t>
  </si>
  <si>
    <t>v0.2 created from marketing_calendar_spec.yaml</t>
  </si>
  <si>
    <t>Integrated Marketing Calendar</t>
  </si>
  <si>
    <t>One place to plan the whole motion - connect it, compound it, coordinate it.</t>
  </si>
  <si>
    <t>HOW IT WORKS</t>
  </si>
  <si>
    <t>1. Enter activities</t>
  </si>
  <si>
    <t>Go to Activity Planner. One row per activity: name, practice, motion, type, start (and end) date, status. Everything else updates itself.</t>
  </si>
  <si>
    <t>2. Read the views</t>
  </si>
  <si>
    <t>Annual View = the whole year by practice and month. Monthly View = pick a month. Practice View = pick a practice.</t>
  </si>
  <si>
    <t>3. Add a practice</t>
  </si>
  <si>
    <t>Lists sheet &gt; Practices: type the new name in the next yellow cell. It appears in the dropdowns and all views (room for 12).</t>
  </si>
  <si>
    <t>4. Roll the year</t>
  </si>
  <si>
    <t>Settings &gt; Planning year. Update dates in the planner; clear sample rows first.</t>
  </si>
  <si>
    <t>THE THREE MOTIONS</t>
  </si>
  <si>
    <t>Why should the market care? Point of view, research, market insight.</t>
  </si>
  <si>
    <t>Keep the story moving. PR, campaigns, launches, events, executive visibility.</t>
  </si>
  <si>
    <t>Turn attention into conversations. Client activation, webinars, roundtables, outreach, follow-up.</t>
  </si>
  <si>
    <t>THE THREE PRINCIPLES</t>
  </si>
  <si>
    <t>CONNECT</t>
  </si>
  <si>
    <t>COMPOUND</t>
  </si>
  <si>
    <t>COORDINATE</t>
  </si>
  <si>
    <t>GOOD TO KNOW</t>
  </si>
  <si>
    <t>Multi-month activities</t>
  </si>
  <si>
    <t>An activity from 1-Mar to 15-May counts in March, April and May. Year totals count it once.</t>
  </si>
  <si>
    <t>Settings &gt; Status filter. Default hides Cancelled. Applies to every view.</t>
  </si>
  <si>
    <t>Red row in planner</t>
  </si>
  <si>
    <t>The Check column explains what is missing (practice, motion, date...).</t>
  </si>
  <si>
    <t>Several editors</t>
  </si>
  <si>
    <t>Keep the file on SharePoint/OneDrive so people can edit together. Only edit Activity Planner, Lists and Settings. View sheets are locked (no password).</t>
  </si>
  <si>
    <t>Sample data</t>
  </si>
  <si>
    <t>The 19 sample rows are from the original slide. Delete or overwrite them. Do not delete rows - clear their contents.</t>
  </si>
  <si>
    <t>Capacity</t>
  </si>
  <si>
    <t>1000 activity rows, 12 practices, 20 activity types.</t>
  </si>
</sst>
</file>

<file path=xl/styles.xml><?xml version="1.0" encoding="utf-8"?>
<styleSheet xmlns="http://schemas.openxmlformats.org/spreadsheetml/2006/main">
  <numFmts count="1">
    <numFmt numFmtId="164" formatCode="dd-mmm-yy"/>
  </numFmts>
  <fonts count="21">
    <font>
      <sz val="11"/>
      <color theme="1"/>
      <name val="Calibri"/>
      <family val="2"/>
      <scheme val="minor"/>
    </font>
    <font>
      <b/>
      <sz val="9"/>
      <color rgb="FF17B3A8"/>
      <name val="Calibri"/>
      <family val="2"/>
      <scheme val="minor"/>
    </font>
    <font>
      <b/>
      <sz val="22"/>
      <color rgb="FF1F1F1F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1"/>
      <color rgb="FF0B1F3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2"/>
      <color rgb="FF0B1F3A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10"/>
      <color rgb="FF1F1F1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20"/>
      <color rgb="FF0B1F3A"/>
      <name val="Calibri"/>
      <family val="2"/>
      <scheme val="minor"/>
    </font>
    <font>
      <b/>
      <sz val="14"/>
      <color rgb="FF0B1F3A"/>
      <name val="Calibri"/>
      <family val="2"/>
      <scheme val="minor"/>
    </font>
    <font>
      <sz val="10"/>
      <color rgb="FF59595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0A7FC2"/>
        <bgColor indexed="64"/>
      </patternFill>
    </fill>
    <fill>
      <patternFill patternType="solid">
        <fgColor rgb="FF17B3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B1F3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7E7E7"/>
      </left>
      <right style="thin">
        <color rgb="FFE7E7E7"/>
      </right>
      <top style="thin">
        <color rgb="FFE7E7E7"/>
      </top>
      <bottom style="thin">
        <color rgb="FFE7E7E7"/>
      </bottom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7E7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vertical="center" wrapText="1"/>
    </xf>
    <xf numFmtId="0" fontId="7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8" fillId="0" borderId="0" xfId="0" applyFont="1" applyAlignment="1">
      <alignment vertical="center"/>
    </xf>
    <xf numFmtId="0" fontId="7" fillId="2" borderId="2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indent="1" wrapText="1"/>
    </xf>
    <xf numFmtId="0" fontId="10" fillId="0" borderId="3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top" wrapText="1"/>
    </xf>
    <xf numFmtId="0" fontId="15" fillId="0" borderId="4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164" fontId="5" fillId="0" borderId="6" xfId="0" applyNumberFormat="1" applyFont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 wrapText="1"/>
    </xf>
    <xf numFmtId="0" fontId="7" fillId="3" borderId="0" xfId="0" applyFont="1" applyFill="1" applyAlignment="1">
      <alignment horizontal="left" vertical="center" indent="1" wrapText="1"/>
    </xf>
    <xf numFmtId="0" fontId="7" fillId="4" borderId="0" xfId="0" applyFont="1" applyFill="1" applyAlignment="1">
      <alignment horizontal="left" vertical="center" indent="1" wrapText="1"/>
    </xf>
    <xf numFmtId="0" fontId="5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19">
    <dxf>
      <border>
        <left/>
        <right/>
        <top/>
        <bottom style="thin">
          <color rgb="FFE7E7E7"/>
        </bottom>
        <vertical/>
        <horizontal/>
      </border>
    </dxf>
    <dxf>
      <numFmt numFmtId="164" formatCode="dd-mmm-yy"/>
      <border>
        <left/>
        <right/>
        <top/>
        <bottom style="thin">
          <color rgb="FFE7E7E7"/>
        </bottom>
        <vertical/>
        <horizontal/>
      </border>
    </dxf>
    <dxf>
      <fill>
        <patternFill>
          <bgColor rgb="FFF8CBAD"/>
        </patternFill>
      </fill>
    </dxf>
    <dxf>
      <font>
        <b/>
        <color rgb="FFFFFFFF"/>
      </font>
      <fill>
        <patternFill>
          <bgColor rgb="FF0B1F3A"/>
        </patternFill>
      </fill>
    </dxf>
    <dxf>
      <font>
        <b/>
        <color rgb="FFFFFFFF"/>
      </font>
      <fill>
        <patternFill>
          <bgColor rgb="FF0A7FC2"/>
        </patternFill>
      </fill>
    </dxf>
    <dxf>
      <font>
        <b/>
        <color rgb="FFFFFFFF"/>
      </font>
      <fill>
        <patternFill>
          <bgColor rgb="FF17B3A8"/>
        </patternFill>
      </fill>
    </dxf>
    <dxf>
      <fill>
        <patternFill>
          <bgColor rgb="FFD9D9D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>
          <bgColor rgb="FFA9D18E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ill>
        <patternFill>
          <bgColor rgb="FFEDEDED"/>
        </patternFill>
      </fill>
    </dxf>
    <dxf>
      <font>
        <color rgb="FFFFFFFF"/>
      </font>
      <fill>
        <patternFill>
          <bgColor rgb="FF17B3A8"/>
        </patternFill>
      </fill>
    </dxf>
    <dxf>
      <font>
        <color rgb="FFFFFFFF"/>
      </font>
      <fill>
        <patternFill>
          <bgColor rgb="FF0A7FC2"/>
        </patternFill>
      </fill>
    </dxf>
    <dxf>
      <font>
        <color rgb="FFFFFFFF"/>
      </font>
      <fill>
        <patternFill>
          <bgColor rgb="FF0B1F3A"/>
        </patternFill>
      </fill>
    </dxf>
    <dxf>
      <font>
        <b/>
      </font>
      <fill>
        <patternFill>
          <bgColor rgb="FFF4B183"/>
        </patternFill>
      </fill>
    </dxf>
    <dxf>
      <font>
        <color rgb="FFA6A6A6"/>
      </font>
      <fill>
        <patternFill>
          <bgColor rgb="FFE7E6E6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Activities" displayName="tblActivities" ref="A4:M1004" totalsRowShown="0">
  <autoFilter ref="A4:M1004"/>
  <tableColumns count="13">
    <tableColumn id="1" name="ID" dataDxfId="0"/>
    <tableColumn id="2" name="Activity" dataDxfId="0"/>
    <tableColumn id="3" name="Practice" dataDxfId="0"/>
    <tableColumn id="4" name="Motion" dataDxfId="0"/>
    <tableColumn id="5" name="Activity type" dataDxfId="0"/>
    <tableColumn id="6" name="Start date" dataDxfId="1"/>
    <tableColumn id="7" name="End date" dataDxfId="1"/>
    <tableColumn id="8" name="Status" dataDxfId="0"/>
    <tableColumn id="9" name="Owner" dataDxfId="0"/>
    <tableColumn id="10" name="Audience / channel" dataDxfId="0"/>
    <tableColumn id="11" name="Notes" dataDxfId="0"/>
    <tableColumn id="12" name="Last updated" dataDxfId="1"/>
    <tableColumn id="13" name="Check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C27"/>
  <sheetViews>
    <sheetView showGridLines="0" tabSelected="1" workbookViewId="0"/>
  </sheetViews>
  <sheetFormatPr defaultRowHeight="15"/>
  <cols>
    <col min="1" max="1" width="3.7109375" customWidth="1"/>
    <col min="2" max="2" width="30.7109375" customWidth="1"/>
    <col min="3" max="3" width="100.7109375" customWidth="1"/>
  </cols>
  <sheetData>
    <row r="1" spans="2:3">
      <c r="B1" s="1" t="s">
        <v>104</v>
      </c>
    </row>
    <row r="2" spans="2:3" ht="32" customHeight="1">
      <c r="B2" s="2" t="s">
        <v>173</v>
      </c>
    </row>
    <row r="3" spans="2:3">
      <c r="B3" s="3" t="s">
        <v>174</v>
      </c>
    </row>
    <row r="5" spans="2:3">
      <c r="B5" s="4" t="s">
        <v>175</v>
      </c>
      <c r="C5" s="5"/>
    </row>
    <row r="6" spans="2:3">
      <c r="B6" s="6" t="s">
        <v>176</v>
      </c>
      <c r="C6" s="7" t="s">
        <v>177</v>
      </c>
    </row>
    <row r="7" spans="2:3">
      <c r="B7" s="6" t="s">
        <v>178</v>
      </c>
      <c r="C7" s="7" t="s">
        <v>179</v>
      </c>
    </row>
    <row r="8" spans="2:3">
      <c r="B8" s="6" t="s">
        <v>180</v>
      </c>
      <c r="C8" s="7" t="s">
        <v>181</v>
      </c>
    </row>
    <row r="9" spans="2:3">
      <c r="B9" s="6" t="s">
        <v>182</v>
      </c>
      <c r="C9" s="7" t="s">
        <v>183</v>
      </c>
    </row>
    <row r="11" spans="2:3">
      <c r="B11" s="4" t="s">
        <v>184</v>
      </c>
      <c r="C11" s="5"/>
    </row>
    <row r="12" spans="2:3">
      <c r="B12" s="8" t="s">
        <v>25</v>
      </c>
      <c r="C12" s="7" t="s">
        <v>185</v>
      </c>
    </row>
    <row r="13" spans="2:3">
      <c r="B13" s="9" t="s">
        <v>26</v>
      </c>
      <c r="C13" s="7" t="s">
        <v>186</v>
      </c>
    </row>
    <row r="14" spans="2:3">
      <c r="B14" s="10" t="s">
        <v>27</v>
      </c>
      <c r="C14" s="7" t="s">
        <v>187</v>
      </c>
    </row>
    <row r="16" spans="2:3">
      <c r="B16" s="4" t="s">
        <v>188</v>
      </c>
      <c r="C16" s="5"/>
    </row>
    <row r="17" spans="2:3">
      <c r="B17" s="6" t="s">
        <v>189</v>
      </c>
      <c r="C17" s="7" t="s">
        <v>122</v>
      </c>
    </row>
    <row r="18" spans="2:3">
      <c r="B18" s="6" t="s">
        <v>190</v>
      </c>
      <c r="C18" s="7" t="s">
        <v>124</v>
      </c>
    </row>
    <row r="19" spans="2:3">
      <c r="B19" s="6" t="s">
        <v>191</v>
      </c>
      <c r="C19" s="7" t="s">
        <v>126</v>
      </c>
    </row>
    <row r="21" spans="2:3">
      <c r="B21" s="4" t="s">
        <v>192</v>
      </c>
      <c r="C21" s="5"/>
    </row>
    <row r="22" spans="2:3">
      <c r="B22" s="6" t="s">
        <v>193</v>
      </c>
      <c r="C22" s="7" t="s">
        <v>194</v>
      </c>
    </row>
    <row r="23" spans="2:3">
      <c r="B23" s="6" t="s">
        <v>47</v>
      </c>
      <c r="C23" s="7" t="s">
        <v>195</v>
      </c>
    </row>
    <row r="24" spans="2:3">
      <c r="B24" s="6" t="s">
        <v>196</v>
      </c>
      <c r="C24" s="7" t="s">
        <v>197</v>
      </c>
    </row>
    <row r="25" spans="2:3">
      <c r="B25" s="6" t="s">
        <v>198</v>
      </c>
      <c r="C25" s="7" t="s">
        <v>199</v>
      </c>
    </row>
    <row r="26" spans="2:3">
      <c r="B26" s="6" t="s">
        <v>200</v>
      </c>
      <c r="C26" s="7" t="s">
        <v>201</v>
      </c>
    </row>
    <row r="27" spans="2:3">
      <c r="B27" s="6" t="s">
        <v>202</v>
      </c>
      <c r="C27" s="7" t="s">
        <v>203</v>
      </c>
    </row>
  </sheetData>
  <sheetProtection sheet="1" objects="1" scenarios="1" formatColumns="0" formatRows="0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6"/>
  <sheetViews>
    <sheetView showGridLines="0" workbookViewId="0"/>
  </sheetViews>
  <sheetFormatPr defaultRowHeight="15"/>
  <cols>
    <col min="1" max="1" width="24.7109375" customWidth="1"/>
    <col min="2" max="13" width="17.7109375" customWidth="1"/>
    <col min="14" max="14" width="14.7109375" customWidth="1"/>
  </cols>
  <sheetData>
    <row r="1" spans="1:13">
      <c r="A1" s="1" t="s">
        <v>104</v>
      </c>
    </row>
    <row r="2" spans="1:13" ht="32" customHeight="1">
      <c r="A2" s="2" t="s">
        <v>105</v>
      </c>
    </row>
    <row r="3" spans="1:13">
      <c r="A3" s="3" t="s">
        <v>106</v>
      </c>
    </row>
    <row r="4" spans="1:13">
      <c r="A4" s="11">
        <f>"Planning year "&amp;PlanYear&amp;"   |   Showing: "&amp;StatusFilter&amp;"   (change on the Settings sheet)"</f>
        <v>0</v>
      </c>
    </row>
    <row r="6" spans="1:13">
      <c r="A6" s="12" t="s">
        <v>107</v>
      </c>
      <c r="B6" s="13" t="s">
        <v>108</v>
      </c>
      <c r="C6" s="13" t="s">
        <v>109</v>
      </c>
      <c r="D6" s="13" t="s">
        <v>110</v>
      </c>
      <c r="E6" s="13" t="s">
        <v>111</v>
      </c>
      <c r="F6" s="13" t="s">
        <v>112</v>
      </c>
      <c r="G6" s="13" t="s">
        <v>113</v>
      </c>
      <c r="H6" s="13" t="s">
        <v>114</v>
      </c>
      <c r="I6" s="13" t="s">
        <v>115</v>
      </c>
      <c r="J6" s="13" t="s">
        <v>116</v>
      </c>
      <c r="K6" s="13" t="s">
        <v>117</v>
      </c>
      <c r="L6" s="13" t="s">
        <v>118</v>
      </c>
      <c r="M6" s="13" t="s">
        <v>119</v>
      </c>
    </row>
    <row r="7" spans="1:13" ht="44" customHeight="1">
      <c r="A7" s="14">
        <f>IF(Lists!$B$5="","",Lists!$B$5)</f>
        <v>0</v>
      </c>
      <c r="B7" s="15">
        <f t="array" ref="B7">IF($A7="","",_xlfn.TEXTJOIN(CHAR(10),TRUE,IFERROR(INDEX('Activity Planner'!$B$5:$B$1004,SMALL(IF(('Activity Planner'!$C$5:$C$1004=$A7)*('Activity Planner'!$O$5:$O$1004=1),ROW('Activity Planner'!$B$5:$B$1004)-4),{1,2,3})),""))&amp;IF(Calc!B3&gt;3,CHAR(10)&amp;"+"&amp;(Calc!B3-3)&amp;" more",""))</f>
        <v>0</v>
      </c>
      <c r="C7" s="15">
        <f t="array" ref="C7">IF($A7="","",_xlfn.TEXTJOIN(CHAR(10),TRUE,IFERROR(INDEX('Activity Planner'!$B$5:$B$1004,SMALL(IF(('Activity Planner'!$C$5:$C$1004=$A7)*('Activity Planner'!$P$5:$P$1004=1),ROW('Activity Planner'!$B$5:$B$1004)-4),{1,2,3})),""))&amp;IF(Calc!C3&gt;3,CHAR(10)&amp;"+"&amp;(Calc!C3-3)&amp;" more",""))</f>
        <v>0</v>
      </c>
      <c r="D7" s="15">
        <f t="array" ref="D7">IF($A7="","",_xlfn.TEXTJOIN(CHAR(10),TRUE,IFERROR(INDEX('Activity Planner'!$B$5:$B$1004,SMALL(IF(('Activity Planner'!$C$5:$C$1004=$A7)*('Activity Planner'!$Q$5:$Q$1004=1),ROW('Activity Planner'!$B$5:$B$1004)-4),{1,2,3})),""))&amp;IF(Calc!D3&gt;3,CHAR(10)&amp;"+"&amp;(Calc!D3-3)&amp;" more",""))</f>
        <v>0</v>
      </c>
      <c r="E7" s="15">
        <f t="array" ref="E7">IF($A7="","",_xlfn.TEXTJOIN(CHAR(10),TRUE,IFERROR(INDEX('Activity Planner'!$B$5:$B$1004,SMALL(IF(('Activity Planner'!$C$5:$C$1004=$A7)*('Activity Planner'!$R$5:$R$1004=1),ROW('Activity Planner'!$B$5:$B$1004)-4),{1,2,3})),""))&amp;IF(Calc!E3&gt;3,CHAR(10)&amp;"+"&amp;(Calc!E3-3)&amp;" more",""))</f>
        <v>0</v>
      </c>
      <c r="F7" s="15">
        <f t="array" ref="F7">IF($A7="","",_xlfn.TEXTJOIN(CHAR(10),TRUE,IFERROR(INDEX('Activity Planner'!$B$5:$B$1004,SMALL(IF(('Activity Planner'!$C$5:$C$1004=$A7)*('Activity Planner'!$S$5:$S$1004=1),ROW('Activity Planner'!$B$5:$B$1004)-4),{1,2,3})),""))&amp;IF(Calc!F3&gt;3,CHAR(10)&amp;"+"&amp;(Calc!F3-3)&amp;" more",""))</f>
        <v>0</v>
      </c>
      <c r="G7" s="15">
        <f t="array" ref="G7">IF($A7="","",_xlfn.TEXTJOIN(CHAR(10),TRUE,IFERROR(INDEX('Activity Planner'!$B$5:$B$1004,SMALL(IF(('Activity Planner'!$C$5:$C$1004=$A7)*('Activity Planner'!$T$5:$T$1004=1),ROW('Activity Planner'!$B$5:$B$1004)-4),{1,2,3})),""))&amp;IF(Calc!G3&gt;3,CHAR(10)&amp;"+"&amp;(Calc!G3-3)&amp;" more",""))</f>
        <v>0</v>
      </c>
      <c r="H7" s="15">
        <f t="array" ref="H7">IF($A7="","",_xlfn.TEXTJOIN(CHAR(10),TRUE,IFERROR(INDEX('Activity Planner'!$B$5:$B$1004,SMALL(IF(('Activity Planner'!$C$5:$C$1004=$A7)*('Activity Planner'!$U$5:$U$1004=1),ROW('Activity Planner'!$B$5:$B$1004)-4),{1,2,3})),""))&amp;IF(Calc!H3&gt;3,CHAR(10)&amp;"+"&amp;(Calc!H3-3)&amp;" more",""))</f>
        <v>0</v>
      </c>
      <c r="I7" s="15">
        <f t="array" ref="I7">IF($A7="","",_xlfn.TEXTJOIN(CHAR(10),TRUE,IFERROR(INDEX('Activity Planner'!$B$5:$B$1004,SMALL(IF(('Activity Planner'!$C$5:$C$1004=$A7)*('Activity Planner'!$V$5:$V$1004=1),ROW('Activity Planner'!$B$5:$B$1004)-4),{1,2,3})),""))&amp;IF(Calc!I3&gt;3,CHAR(10)&amp;"+"&amp;(Calc!I3-3)&amp;" more",""))</f>
        <v>0</v>
      </c>
      <c r="J7" s="15">
        <f t="array" ref="J7">IF($A7="","",_xlfn.TEXTJOIN(CHAR(10),TRUE,IFERROR(INDEX('Activity Planner'!$B$5:$B$1004,SMALL(IF(('Activity Planner'!$C$5:$C$1004=$A7)*('Activity Planner'!$W$5:$W$1004=1),ROW('Activity Planner'!$B$5:$B$1004)-4),{1,2,3})),""))&amp;IF(Calc!J3&gt;3,CHAR(10)&amp;"+"&amp;(Calc!J3-3)&amp;" more",""))</f>
        <v>0</v>
      </c>
      <c r="K7" s="15">
        <f t="array" ref="K7">IF($A7="","",_xlfn.TEXTJOIN(CHAR(10),TRUE,IFERROR(INDEX('Activity Planner'!$B$5:$B$1004,SMALL(IF(('Activity Planner'!$C$5:$C$1004=$A7)*('Activity Planner'!$X$5:$X$1004=1),ROW('Activity Planner'!$B$5:$B$1004)-4),{1,2,3})),""))&amp;IF(Calc!K3&gt;3,CHAR(10)&amp;"+"&amp;(Calc!K3-3)&amp;" more",""))</f>
        <v>0</v>
      </c>
      <c r="L7" s="15">
        <f t="array" ref="L7">IF($A7="","",_xlfn.TEXTJOIN(CHAR(10),TRUE,IFERROR(INDEX('Activity Planner'!$B$5:$B$1004,SMALL(IF(('Activity Planner'!$C$5:$C$1004=$A7)*('Activity Planner'!$Y$5:$Y$1004=1),ROW('Activity Planner'!$B$5:$B$1004)-4),{1,2,3})),""))&amp;IF(Calc!L3&gt;3,CHAR(10)&amp;"+"&amp;(Calc!L3-3)&amp;" more",""))</f>
        <v>0</v>
      </c>
      <c r="M7" s="15">
        <f t="array" ref="M7">IF($A7="","",_xlfn.TEXTJOIN(CHAR(10),TRUE,IFERROR(INDEX('Activity Planner'!$B$5:$B$1004,SMALL(IF(('Activity Planner'!$C$5:$C$1004=$A7)*('Activity Planner'!$Z$5:$Z$1004=1),ROW('Activity Planner'!$B$5:$B$1004)-4),{1,2,3})),""))&amp;IF(Calc!M3&gt;3,CHAR(10)&amp;"+"&amp;(Calc!M3-3)&amp;" more",""))</f>
        <v>0</v>
      </c>
    </row>
    <row r="8" spans="1:13" ht="44" customHeight="1">
      <c r="A8" s="14">
        <f>IF(Lists!$B$6="","",Lists!$B$6)</f>
        <v>0</v>
      </c>
      <c r="B8" s="15">
        <f t="array" ref="B8">IF($A8="","",_xlfn.TEXTJOIN(CHAR(10),TRUE,IFERROR(INDEX('Activity Planner'!$B$5:$B$1004,SMALL(IF(('Activity Planner'!$C$5:$C$1004=$A8)*('Activity Planner'!$O$5:$O$1004=1),ROW('Activity Planner'!$B$5:$B$1004)-4),{1,2,3})),""))&amp;IF(Calc!B4&gt;3,CHAR(10)&amp;"+"&amp;(Calc!B4-3)&amp;" more",""))</f>
        <v>0</v>
      </c>
      <c r="C8" s="15">
        <f t="array" ref="C8">IF($A8="","",_xlfn.TEXTJOIN(CHAR(10),TRUE,IFERROR(INDEX('Activity Planner'!$B$5:$B$1004,SMALL(IF(('Activity Planner'!$C$5:$C$1004=$A8)*('Activity Planner'!$P$5:$P$1004=1),ROW('Activity Planner'!$B$5:$B$1004)-4),{1,2,3})),""))&amp;IF(Calc!C4&gt;3,CHAR(10)&amp;"+"&amp;(Calc!C4-3)&amp;" more",""))</f>
        <v>0</v>
      </c>
      <c r="D8" s="15">
        <f t="array" ref="D8">IF($A8="","",_xlfn.TEXTJOIN(CHAR(10),TRUE,IFERROR(INDEX('Activity Planner'!$B$5:$B$1004,SMALL(IF(('Activity Planner'!$C$5:$C$1004=$A8)*('Activity Planner'!$Q$5:$Q$1004=1),ROW('Activity Planner'!$B$5:$B$1004)-4),{1,2,3})),""))&amp;IF(Calc!D4&gt;3,CHAR(10)&amp;"+"&amp;(Calc!D4-3)&amp;" more",""))</f>
        <v>0</v>
      </c>
      <c r="E8" s="15">
        <f t="array" ref="E8">IF($A8="","",_xlfn.TEXTJOIN(CHAR(10),TRUE,IFERROR(INDEX('Activity Planner'!$B$5:$B$1004,SMALL(IF(('Activity Planner'!$C$5:$C$1004=$A8)*('Activity Planner'!$R$5:$R$1004=1),ROW('Activity Planner'!$B$5:$B$1004)-4),{1,2,3})),""))&amp;IF(Calc!E4&gt;3,CHAR(10)&amp;"+"&amp;(Calc!E4-3)&amp;" more",""))</f>
        <v>0</v>
      </c>
      <c r="F8" s="15">
        <f t="array" ref="F8">IF($A8="","",_xlfn.TEXTJOIN(CHAR(10),TRUE,IFERROR(INDEX('Activity Planner'!$B$5:$B$1004,SMALL(IF(('Activity Planner'!$C$5:$C$1004=$A8)*('Activity Planner'!$S$5:$S$1004=1),ROW('Activity Planner'!$B$5:$B$1004)-4),{1,2,3})),""))&amp;IF(Calc!F4&gt;3,CHAR(10)&amp;"+"&amp;(Calc!F4-3)&amp;" more",""))</f>
        <v>0</v>
      </c>
      <c r="G8" s="15">
        <f t="array" ref="G8">IF($A8="","",_xlfn.TEXTJOIN(CHAR(10),TRUE,IFERROR(INDEX('Activity Planner'!$B$5:$B$1004,SMALL(IF(('Activity Planner'!$C$5:$C$1004=$A8)*('Activity Planner'!$T$5:$T$1004=1),ROW('Activity Planner'!$B$5:$B$1004)-4),{1,2,3})),""))&amp;IF(Calc!G4&gt;3,CHAR(10)&amp;"+"&amp;(Calc!G4-3)&amp;" more",""))</f>
        <v>0</v>
      </c>
      <c r="H8" s="15">
        <f t="array" ref="H8">IF($A8="","",_xlfn.TEXTJOIN(CHAR(10),TRUE,IFERROR(INDEX('Activity Planner'!$B$5:$B$1004,SMALL(IF(('Activity Planner'!$C$5:$C$1004=$A8)*('Activity Planner'!$U$5:$U$1004=1),ROW('Activity Planner'!$B$5:$B$1004)-4),{1,2,3})),""))&amp;IF(Calc!H4&gt;3,CHAR(10)&amp;"+"&amp;(Calc!H4-3)&amp;" more",""))</f>
        <v>0</v>
      </c>
      <c r="I8" s="15">
        <f t="array" ref="I8">IF($A8="","",_xlfn.TEXTJOIN(CHAR(10),TRUE,IFERROR(INDEX('Activity Planner'!$B$5:$B$1004,SMALL(IF(('Activity Planner'!$C$5:$C$1004=$A8)*('Activity Planner'!$V$5:$V$1004=1),ROW('Activity Planner'!$B$5:$B$1004)-4),{1,2,3})),""))&amp;IF(Calc!I4&gt;3,CHAR(10)&amp;"+"&amp;(Calc!I4-3)&amp;" more",""))</f>
        <v>0</v>
      </c>
      <c r="J8" s="15">
        <f t="array" ref="J8">IF($A8="","",_xlfn.TEXTJOIN(CHAR(10),TRUE,IFERROR(INDEX('Activity Planner'!$B$5:$B$1004,SMALL(IF(('Activity Planner'!$C$5:$C$1004=$A8)*('Activity Planner'!$W$5:$W$1004=1),ROW('Activity Planner'!$B$5:$B$1004)-4),{1,2,3})),""))&amp;IF(Calc!J4&gt;3,CHAR(10)&amp;"+"&amp;(Calc!J4-3)&amp;" more",""))</f>
        <v>0</v>
      </c>
      <c r="K8" s="15">
        <f t="array" ref="K8">IF($A8="","",_xlfn.TEXTJOIN(CHAR(10),TRUE,IFERROR(INDEX('Activity Planner'!$B$5:$B$1004,SMALL(IF(('Activity Planner'!$C$5:$C$1004=$A8)*('Activity Planner'!$X$5:$X$1004=1),ROW('Activity Planner'!$B$5:$B$1004)-4),{1,2,3})),""))&amp;IF(Calc!K4&gt;3,CHAR(10)&amp;"+"&amp;(Calc!K4-3)&amp;" more",""))</f>
        <v>0</v>
      </c>
      <c r="L8" s="15">
        <f t="array" ref="L8">IF($A8="","",_xlfn.TEXTJOIN(CHAR(10),TRUE,IFERROR(INDEX('Activity Planner'!$B$5:$B$1004,SMALL(IF(('Activity Planner'!$C$5:$C$1004=$A8)*('Activity Planner'!$Y$5:$Y$1004=1),ROW('Activity Planner'!$B$5:$B$1004)-4),{1,2,3})),""))&amp;IF(Calc!L4&gt;3,CHAR(10)&amp;"+"&amp;(Calc!L4-3)&amp;" more",""))</f>
        <v>0</v>
      </c>
      <c r="M8" s="15">
        <f t="array" ref="M8">IF($A8="","",_xlfn.TEXTJOIN(CHAR(10),TRUE,IFERROR(INDEX('Activity Planner'!$B$5:$B$1004,SMALL(IF(('Activity Planner'!$C$5:$C$1004=$A8)*('Activity Planner'!$Z$5:$Z$1004=1),ROW('Activity Planner'!$B$5:$B$1004)-4),{1,2,3})),""))&amp;IF(Calc!M4&gt;3,CHAR(10)&amp;"+"&amp;(Calc!M4-3)&amp;" more",""))</f>
        <v>0</v>
      </c>
    </row>
    <row r="9" spans="1:13" ht="44" customHeight="1">
      <c r="A9" s="14">
        <f>IF(Lists!$B$7="","",Lists!$B$7)</f>
        <v>0</v>
      </c>
      <c r="B9" s="15">
        <f t="array" ref="B9">IF($A9="","",_xlfn.TEXTJOIN(CHAR(10),TRUE,IFERROR(INDEX('Activity Planner'!$B$5:$B$1004,SMALL(IF(('Activity Planner'!$C$5:$C$1004=$A9)*('Activity Planner'!$O$5:$O$1004=1),ROW('Activity Planner'!$B$5:$B$1004)-4),{1,2,3})),""))&amp;IF(Calc!B5&gt;3,CHAR(10)&amp;"+"&amp;(Calc!B5-3)&amp;" more",""))</f>
        <v>0</v>
      </c>
      <c r="C9" s="15">
        <f t="array" ref="C9">IF($A9="","",_xlfn.TEXTJOIN(CHAR(10),TRUE,IFERROR(INDEX('Activity Planner'!$B$5:$B$1004,SMALL(IF(('Activity Planner'!$C$5:$C$1004=$A9)*('Activity Planner'!$P$5:$P$1004=1),ROW('Activity Planner'!$B$5:$B$1004)-4),{1,2,3})),""))&amp;IF(Calc!C5&gt;3,CHAR(10)&amp;"+"&amp;(Calc!C5-3)&amp;" more",""))</f>
        <v>0</v>
      </c>
      <c r="D9" s="15">
        <f t="array" ref="D9">IF($A9="","",_xlfn.TEXTJOIN(CHAR(10),TRUE,IFERROR(INDEX('Activity Planner'!$B$5:$B$1004,SMALL(IF(('Activity Planner'!$C$5:$C$1004=$A9)*('Activity Planner'!$Q$5:$Q$1004=1),ROW('Activity Planner'!$B$5:$B$1004)-4),{1,2,3})),""))&amp;IF(Calc!D5&gt;3,CHAR(10)&amp;"+"&amp;(Calc!D5-3)&amp;" more",""))</f>
        <v>0</v>
      </c>
      <c r="E9" s="15">
        <f t="array" ref="E9">IF($A9="","",_xlfn.TEXTJOIN(CHAR(10),TRUE,IFERROR(INDEX('Activity Planner'!$B$5:$B$1004,SMALL(IF(('Activity Planner'!$C$5:$C$1004=$A9)*('Activity Planner'!$R$5:$R$1004=1),ROW('Activity Planner'!$B$5:$B$1004)-4),{1,2,3})),""))&amp;IF(Calc!E5&gt;3,CHAR(10)&amp;"+"&amp;(Calc!E5-3)&amp;" more",""))</f>
        <v>0</v>
      </c>
      <c r="F9" s="15">
        <f t="array" ref="F9">IF($A9="","",_xlfn.TEXTJOIN(CHAR(10),TRUE,IFERROR(INDEX('Activity Planner'!$B$5:$B$1004,SMALL(IF(('Activity Planner'!$C$5:$C$1004=$A9)*('Activity Planner'!$S$5:$S$1004=1),ROW('Activity Planner'!$B$5:$B$1004)-4),{1,2,3})),""))&amp;IF(Calc!F5&gt;3,CHAR(10)&amp;"+"&amp;(Calc!F5-3)&amp;" more",""))</f>
        <v>0</v>
      </c>
      <c r="G9" s="15">
        <f t="array" ref="G9">IF($A9="","",_xlfn.TEXTJOIN(CHAR(10),TRUE,IFERROR(INDEX('Activity Planner'!$B$5:$B$1004,SMALL(IF(('Activity Planner'!$C$5:$C$1004=$A9)*('Activity Planner'!$T$5:$T$1004=1),ROW('Activity Planner'!$B$5:$B$1004)-4),{1,2,3})),""))&amp;IF(Calc!G5&gt;3,CHAR(10)&amp;"+"&amp;(Calc!G5-3)&amp;" more",""))</f>
        <v>0</v>
      </c>
      <c r="H9" s="15">
        <f t="array" ref="H9">IF($A9="","",_xlfn.TEXTJOIN(CHAR(10),TRUE,IFERROR(INDEX('Activity Planner'!$B$5:$B$1004,SMALL(IF(('Activity Planner'!$C$5:$C$1004=$A9)*('Activity Planner'!$U$5:$U$1004=1),ROW('Activity Planner'!$B$5:$B$1004)-4),{1,2,3})),""))&amp;IF(Calc!H5&gt;3,CHAR(10)&amp;"+"&amp;(Calc!H5-3)&amp;" more",""))</f>
        <v>0</v>
      </c>
      <c r="I9" s="15">
        <f t="array" ref="I9">IF($A9="","",_xlfn.TEXTJOIN(CHAR(10),TRUE,IFERROR(INDEX('Activity Planner'!$B$5:$B$1004,SMALL(IF(('Activity Planner'!$C$5:$C$1004=$A9)*('Activity Planner'!$V$5:$V$1004=1),ROW('Activity Planner'!$B$5:$B$1004)-4),{1,2,3})),""))&amp;IF(Calc!I5&gt;3,CHAR(10)&amp;"+"&amp;(Calc!I5-3)&amp;" more",""))</f>
        <v>0</v>
      </c>
      <c r="J9" s="15">
        <f t="array" ref="J9">IF($A9="","",_xlfn.TEXTJOIN(CHAR(10),TRUE,IFERROR(INDEX('Activity Planner'!$B$5:$B$1004,SMALL(IF(('Activity Planner'!$C$5:$C$1004=$A9)*('Activity Planner'!$W$5:$W$1004=1),ROW('Activity Planner'!$B$5:$B$1004)-4),{1,2,3})),""))&amp;IF(Calc!J5&gt;3,CHAR(10)&amp;"+"&amp;(Calc!J5-3)&amp;" more",""))</f>
        <v>0</v>
      </c>
      <c r="K9" s="15">
        <f t="array" ref="K9">IF($A9="","",_xlfn.TEXTJOIN(CHAR(10),TRUE,IFERROR(INDEX('Activity Planner'!$B$5:$B$1004,SMALL(IF(('Activity Planner'!$C$5:$C$1004=$A9)*('Activity Planner'!$X$5:$X$1004=1),ROW('Activity Planner'!$B$5:$B$1004)-4),{1,2,3})),""))&amp;IF(Calc!K5&gt;3,CHAR(10)&amp;"+"&amp;(Calc!K5-3)&amp;" more",""))</f>
        <v>0</v>
      </c>
      <c r="L9" s="15">
        <f t="array" ref="L9">IF($A9="","",_xlfn.TEXTJOIN(CHAR(10),TRUE,IFERROR(INDEX('Activity Planner'!$B$5:$B$1004,SMALL(IF(('Activity Planner'!$C$5:$C$1004=$A9)*('Activity Planner'!$Y$5:$Y$1004=1),ROW('Activity Planner'!$B$5:$B$1004)-4),{1,2,3})),""))&amp;IF(Calc!L5&gt;3,CHAR(10)&amp;"+"&amp;(Calc!L5-3)&amp;" more",""))</f>
        <v>0</v>
      </c>
      <c r="M9" s="15">
        <f t="array" ref="M9">IF($A9="","",_xlfn.TEXTJOIN(CHAR(10),TRUE,IFERROR(INDEX('Activity Planner'!$B$5:$B$1004,SMALL(IF(('Activity Planner'!$C$5:$C$1004=$A9)*('Activity Planner'!$Z$5:$Z$1004=1),ROW('Activity Planner'!$B$5:$B$1004)-4),{1,2,3})),""))&amp;IF(Calc!M5&gt;3,CHAR(10)&amp;"+"&amp;(Calc!M5-3)&amp;" more",""))</f>
        <v>0</v>
      </c>
    </row>
    <row r="10" spans="1:13" ht="44" customHeight="1">
      <c r="A10" s="14">
        <f>IF(Lists!$B$8="","",Lists!$B$8)</f>
        <v>0</v>
      </c>
      <c r="B10" s="15">
        <f t="array" ref="B10">IF($A10="","",_xlfn.TEXTJOIN(CHAR(10),TRUE,IFERROR(INDEX('Activity Planner'!$B$5:$B$1004,SMALL(IF(('Activity Planner'!$C$5:$C$1004=$A10)*('Activity Planner'!$O$5:$O$1004=1),ROW('Activity Planner'!$B$5:$B$1004)-4),{1,2,3})),""))&amp;IF(Calc!B6&gt;3,CHAR(10)&amp;"+"&amp;(Calc!B6-3)&amp;" more",""))</f>
        <v>0</v>
      </c>
      <c r="C10" s="15">
        <f t="array" ref="C10">IF($A10="","",_xlfn.TEXTJOIN(CHAR(10),TRUE,IFERROR(INDEX('Activity Planner'!$B$5:$B$1004,SMALL(IF(('Activity Planner'!$C$5:$C$1004=$A10)*('Activity Planner'!$P$5:$P$1004=1),ROW('Activity Planner'!$B$5:$B$1004)-4),{1,2,3})),""))&amp;IF(Calc!C6&gt;3,CHAR(10)&amp;"+"&amp;(Calc!C6-3)&amp;" more",""))</f>
        <v>0</v>
      </c>
      <c r="D10" s="15">
        <f t="array" ref="D10">IF($A10="","",_xlfn.TEXTJOIN(CHAR(10),TRUE,IFERROR(INDEX('Activity Planner'!$B$5:$B$1004,SMALL(IF(('Activity Planner'!$C$5:$C$1004=$A10)*('Activity Planner'!$Q$5:$Q$1004=1),ROW('Activity Planner'!$B$5:$B$1004)-4),{1,2,3})),""))&amp;IF(Calc!D6&gt;3,CHAR(10)&amp;"+"&amp;(Calc!D6-3)&amp;" more",""))</f>
        <v>0</v>
      </c>
      <c r="E10" s="15">
        <f t="array" ref="E10">IF($A10="","",_xlfn.TEXTJOIN(CHAR(10),TRUE,IFERROR(INDEX('Activity Planner'!$B$5:$B$1004,SMALL(IF(('Activity Planner'!$C$5:$C$1004=$A10)*('Activity Planner'!$R$5:$R$1004=1),ROW('Activity Planner'!$B$5:$B$1004)-4),{1,2,3})),""))&amp;IF(Calc!E6&gt;3,CHAR(10)&amp;"+"&amp;(Calc!E6-3)&amp;" more",""))</f>
        <v>0</v>
      </c>
      <c r="F10" s="15">
        <f t="array" ref="F10">IF($A10="","",_xlfn.TEXTJOIN(CHAR(10),TRUE,IFERROR(INDEX('Activity Planner'!$B$5:$B$1004,SMALL(IF(('Activity Planner'!$C$5:$C$1004=$A10)*('Activity Planner'!$S$5:$S$1004=1),ROW('Activity Planner'!$B$5:$B$1004)-4),{1,2,3})),""))&amp;IF(Calc!F6&gt;3,CHAR(10)&amp;"+"&amp;(Calc!F6-3)&amp;" more",""))</f>
        <v>0</v>
      </c>
      <c r="G10" s="15">
        <f t="array" ref="G10">IF($A10="","",_xlfn.TEXTJOIN(CHAR(10),TRUE,IFERROR(INDEX('Activity Planner'!$B$5:$B$1004,SMALL(IF(('Activity Planner'!$C$5:$C$1004=$A10)*('Activity Planner'!$T$5:$T$1004=1),ROW('Activity Planner'!$B$5:$B$1004)-4),{1,2,3})),""))&amp;IF(Calc!G6&gt;3,CHAR(10)&amp;"+"&amp;(Calc!G6-3)&amp;" more",""))</f>
        <v>0</v>
      </c>
      <c r="H10" s="15">
        <f t="array" ref="H10">IF($A10="","",_xlfn.TEXTJOIN(CHAR(10),TRUE,IFERROR(INDEX('Activity Planner'!$B$5:$B$1004,SMALL(IF(('Activity Planner'!$C$5:$C$1004=$A10)*('Activity Planner'!$U$5:$U$1004=1),ROW('Activity Planner'!$B$5:$B$1004)-4),{1,2,3})),""))&amp;IF(Calc!H6&gt;3,CHAR(10)&amp;"+"&amp;(Calc!H6-3)&amp;" more",""))</f>
        <v>0</v>
      </c>
      <c r="I10" s="15">
        <f t="array" ref="I10">IF($A10="","",_xlfn.TEXTJOIN(CHAR(10),TRUE,IFERROR(INDEX('Activity Planner'!$B$5:$B$1004,SMALL(IF(('Activity Planner'!$C$5:$C$1004=$A10)*('Activity Planner'!$V$5:$V$1004=1),ROW('Activity Planner'!$B$5:$B$1004)-4),{1,2,3})),""))&amp;IF(Calc!I6&gt;3,CHAR(10)&amp;"+"&amp;(Calc!I6-3)&amp;" more",""))</f>
        <v>0</v>
      </c>
      <c r="J10" s="15">
        <f t="array" ref="J10">IF($A10="","",_xlfn.TEXTJOIN(CHAR(10),TRUE,IFERROR(INDEX('Activity Planner'!$B$5:$B$1004,SMALL(IF(('Activity Planner'!$C$5:$C$1004=$A10)*('Activity Planner'!$W$5:$W$1004=1),ROW('Activity Planner'!$B$5:$B$1004)-4),{1,2,3})),""))&amp;IF(Calc!J6&gt;3,CHAR(10)&amp;"+"&amp;(Calc!J6-3)&amp;" more",""))</f>
        <v>0</v>
      </c>
      <c r="K10" s="15">
        <f t="array" ref="K10">IF($A10="","",_xlfn.TEXTJOIN(CHAR(10),TRUE,IFERROR(INDEX('Activity Planner'!$B$5:$B$1004,SMALL(IF(('Activity Planner'!$C$5:$C$1004=$A10)*('Activity Planner'!$X$5:$X$1004=1),ROW('Activity Planner'!$B$5:$B$1004)-4),{1,2,3})),""))&amp;IF(Calc!K6&gt;3,CHAR(10)&amp;"+"&amp;(Calc!K6-3)&amp;" more",""))</f>
        <v>0</v>
      </c>
      <c r="L10" s="15">
        <f t="array" ref="L10">IF($A10="","",_xlfn.TEXTJOIN(CHAR(10),TRUE,IFERROR(INDEX('Activity Planner'!$B$5:$B$1004,SMALL(IF(('Activity Planner'!$C$5:$C$1004=$A10)*('Activity Planner'!$Y$5:$Y$1004=1),ROW('Activity Planner'!$B$5:$B$1004)-4),{1,2,3})),""))&amp;IF(Calc!L6&gt;3,CHAR(10)&amp;"+"&amp;(Calc!L6-3)&amp;" more",""))</f>
        <v>0</v>
      </c>
      <c r="M10" s="15">
        <f t="array" ref="M10">IF($A10="","",_xlfn.TEXTJOIN(CHAR(10),TRUE,IFERROR(INDEX('Activity Planner'!$B$5:$B$1004,SMALL(IF(('Activity Planner'!$C$5:$C$1004=$A10)*('Activity Planner'!$Z$5:$Z$1004=1),ROW('Activity Planner'!$B$5:$B$1004)-4),{1,2,3})),""))&amp;IF(Calc!M6&gt;3,CHAR(10)&amp;"+"&amp;(Calc!M6-3)&amp;" more",""))</f>
        <v>0</v>
      </c>
    </row>
    <row r="11" spans="1:13" ht="44" customHeight="1">
      <c r="A11" s="14">
        <f>IF(Lists!$B$9="","",Lists!$B$9)</f>
        <v>0</v>
      </c>
      <c r="B11" s="15">
        <f t="array" ref="B11">IF($A11="","",_xlfn.TEXTJOIN(CHAR(10),TRUE,IFERROR(INDEX('Activity Planner'!$B$5:$B$1004,SMALL(IF(('Activity Planner'!$C$5:$C$1004=$A11)*('Activity Planner'!$O$5:$O$1004=1),ROW('Activity Planner'!$B$5:$B$1004)-4),{1,2,3})),""))&amp;IF(Calc!B7&gt;3,CHAR(10)&amp;"+"&amp;(Calc!B7-3)&amp;" more",""))</f>
        <v>0</v>
      </c>
      <c r="C11" s="15">
        <f t="array" ref="C11">IF($A11="","",_xlfn.TEXTJOIN(CHAR(10),TRUE,IFERROR(INDEX('Activity Planner'!$B$5:$B$1004,SMALL(IF(('Activity Planner'!$C$5:$C$1004=$A11)*('Activity Planner'!$P$5:$P$1004=1),ROW('Activity Planner'!$B$5:$B$1004)-4),{1,2,3})),""))&amp;IF(Calc!C7&gt;3,CHAR(10)&amp;"+"&amp;(Calc!C7-3)&amp;" more",""))</f>
        <v>0</v>
      </c>
      <c r="D11" s="15">
        <f t="array" ref="D11">IF($A11="","",_xlfn.TEXTJOIN(CHAR(10),TRUE,IFERROR(INDEX('Activity Planner'!$B$5:$B$1004,SMALL(IF(('Activity Planner'!$C$5:$C$1004=$A11)*('Activity Planner'!$Q$5:$Q$1004=1),ROW('Activity Planner'!$B$5:$B$1004)-4),{1,2,3})),""))&amp;IF(Calc!D7&gt;3,CHAR(10)&amp;"+"&amp;(Calc!D7-3)&amp;" more",""))</f>
        <v>0</v>
      </c>
      <c r="E11" s="15">
        <f t="array" ref="E11">IF($A11="","",_xlfn.TEXTJOIN(CHAR(10),TRUE,IFERROR(INDEX('Activity Planner'!$B$5:$B$1004,SMALL(IF(('Activity Planner'!$C$5:$C$1004=$A11)*('Activity Planner'!$R$5:$R$1004=1),ROW('Activity Planner'!$B$5:$B$1004)-4),{1,2,3})),""))&amp;IF(Calc!E7&gt;3,CHAR(10)&amp;"+"&amp;(Calc!E7-3)&amp;" more",""))</f>
        <v>0</v>
      </c>
      <c r="F11" s="15">
        <f t="array" ref="F11">IF($A11="","",_xlfn.TEXTJOIN(CHAR(10),TRUE,IFERROR(INDEX('Activity Planner'!$B$5:$B$1004,SMALL(IF(('Activity Planner'!$C$5:$C$1004=$A11)*('Activity Planner'!$S$5:$S$1004=1),ROW('Activity Planner'!$B$5:$B$1004)-4),{1,2,3})),""))&amp;IF(Calc!F7&gt;3,CHAR(10)&amp;"+"&amp;(Calc!F7-3)&amp;" more",""))</f>
        <v>0</v>
      </c>
      <c r="G11" s="15">
        <f t="array" ref="G11">IF($A11="","",_xlfn.TEXTJOIN(CHAR(10),TRUE,IFERROR(INDEX('Activity Planner'!$B$5:$B$1004,SMALL(IF(('Activity Planner'!$C$5:$C$1004=$A11)*('Activity Planner'!$T$5:$T$1004=1),ROW('Activity Planner'!$B$5:$B$1004)-4),{1,2,3})),""))&amp;IF(Calc!G7&gt;3,CHAR(10)&amp;"+"&amp;(Calc!G7-3)&amp;" more",""))</f>
        <v>0</v>
      </c>
      <c r="H11" s="15">
        <f t="array" ref="H11">IF($A11="","",_xlfn.TEXTJOIN(CHAR(10),TRUE,IFERROR(INDEX('Activity Planner'!$B$5:$B$1004,SMALL(IF(('Activity Planner'!$C$5:$C$1004=$A11)*('Activity Planner'!$U$5:$U$1004=1),ROW('Activity Planner'!$B$5:$B$1004)-4),{1,2,3})),""))&amp;IF(Calc!H7&gt;3,CHAR(10)&amp;"+"&amp;(Calc!H7-3)&amp;" more",""))</f>
        <v>0</v>
      </c>
      <c r="I11" s="15">
        <f t="array" ref="I11">IF($A11="","",_xlfn.TEXTJOIN(CHAR(10),TRUE,IFERROR(INDEX('Activity Planner'!$B$5:$B$1004,SMALL(IF(('Activity Planner'!$C$5:$C$1004=$A11)*('Activity Planner'!$V$5:$V$1004=1),ROW('Activity Planner'!$B$5:$B$1004)-4),{1,2,3})),""))&amp;IF(Calc!I7&gt;3,CHAR(10)&amp;"+"&amp;(Calc!I7-3)&amp;" more",""))</f>
        <v>0</v>
      </c>
      <c r="J11" s="15">
        <f t="array" ref="J11">IF($A11="","",_xlfn.TEXTJOIN(CHAR(10),TRUE,IFERROR(INDEX('Activity Planner'!$B$5:$B$1004,SMALL(IF(('Activity Planner'!$C$5:$C$1004=$A11)*('Activity Planner'!$W$5:$W$1004=1),ROW('Activity Planner'!$B$5:$B$1004)-4),{1,2,3})),""))&amp;IF(Calc!J7&gt;3,CHAR(10)&amp;"+"&amp;(Calc!J7-3)&amp;" more",""))</f>
        <v>0</v>
      </c>
      <c r="K11" s="15">
        <f t="array" ref="K11">IF($A11="","",_xlfn.TEXTJOIN(CHAR(10),TRUE,IFERROR(INDEX('Activity Planner'!$B$5:$B$1004,SMALL(IF(('Activity Planner'!$C$5:$C$1004=$A11)*('Activity Planner'!$X$5:$X$1004=1),ROW('Activity Planner'!$B$5:$B$1004)-4),{1,2,3})),""))&amp;IF(Calc!K7&gt;3,CHAR(10)&amp;"+"&amp;(Calc!K7-3)&amp;" more",""))</f>
        <v>0</v>
      </c>
      <c r="L11" s="15">
        <f t="array" ref="L11">IF($A11="","",_xlfn.TEXTJOIN(CHAR(10),TRUE,IFERROR(INDEX('Activity Planner'!$B$5:$B$1004,SMALL(IF(('Activity Planner'!$C$5:$C$1004=$A11)*('Activity Planner'!$Y$5:$Y$1004=1),ROW('Activity Planner'!$B$5:$B$1004)-4),{1,2,3})),""))&amp;IF(Calc!L7&gt;3,CHAR(10)&amp;"+"&amp;(Calc!L7-3)&amp;" more",""))</f>
        <v>0</v>
      </c>
      <c r="M11" s="15">
        <f t="array" ref="M11">IF($A11="","",_xlfn.TEXTJOIN(CHAR(10),TRUE,IFERROR(INDEX('Activity Planner'!$B$5:$B$1004,SMALL(IF(('Activity Planner'!$C$5:$C$1004=$A11)*('Activity Planner'!$Z$5:$Z$1004=1),ROW('Activity Planner'!$B$5:$B$1004)-4),{1,2,3})),""))&amp;IF(Calc!M7&gt;3,CHAR(10)&amp;"+"&amp;(Calc!M7-3)&amp;" more",""))</f>
        <v>0</v>
      </c>
    </row>
    <row r="12" spans="1:13" ht="44" customHeight="1">
      <c r="A12" s="14">
        <f>IF(Lists!$B$10="","",Lists!$B$10)</f>
        <v>0</v>
      </c>
      <c r="B12" s="15">
        <f t="array" ref="B12">IF($A12="","",_xlfn.TEXTJOIN(CHAR(10),TRUE,IFERROR(INDEX('Activity Planner'!$B$5:$B$1004,SMALL(IF(('Activity Planner'!$C$5:$C$1004=$A12)*('Activity Planner'!$O$5:$O$1004=1),ROW('Activity Planner'!$B$5:$B$1004)-4),{1,2,3})),""))&amp;IF(Calc!B8&gt;3,CHAR(10)&amp;"+"&amp;(Calc!B8-3)&amp;" more",""))</f>
        <v>0</v>
      </c>
      <c r="C12" s="15">
        <f t="array" ref="C12">IF($A12="","",_xlfn.TEXTJOIN(CHAR(10),TRUE,IFERROR(INDEX('Activity Planner'!$B$5:$B$1004,SMALL(IF(('Activity Planner'!$C$5:$C$1004=$A12)*('Activity Planner'!$P$5:$P$1004=1),ROW('Activity Planner'!$B$5:$B$1004)-4),{1,2,3})),""))&amp;IF(Calc!C8&gt;3,CHAR(10)&amp;"+"&amp;(Calc!C8-3)&amp;" more",""))</f>
        <v>0</v>
      </c>
      <c r="D12" s="15">
        <f t="array" ref="D12">IF($A12="","",_xlfn.TEXTJOIN(CHAR(10),TRUE,IFERROR(INDEX('Activity Planner'!$B$5:$B$1004,SMALL(IF(('Activity Planner'!$C$5:$C$1004=$A12)*('Activity Planner'!$Q$5:$Q$1004=1),ROW('Activity Planner'!$B$5:$B$1004)-4),{1,2,3})),""))&amp;IF(Calc!D8&gt;3,CHAR(10)&amp;"+"&amp;(Calc!D8-3)&amp;" more",""))</f>
        <v>0</v>
      </c>
      <c r="E12" s="15">
        <f t="array" ref="E12">IF($A12="","",_xlfn.TEXTJOIN(CHAR(10),TRUE,IFERROR(INDEX('Activity Planner'!$B$5:$B$1004,SMALL(IF(('Activity Planner'!$C$5:$C$1004=$A12)*('Activity Planner'!$R$5:$R$1004=1),ROW('Activity Planner'!$B$5:$B$1004)-4),{1,2,3})),""))&amp;IF(Calc!E8&gt;3,CHAR(10)&amp;"+"&amp;(Calc!E8-3)&amp;" more",""))</f>
        <v>0</v>
      </c>
      <c r="F12" s="15">
        <f t="array" ref="F12">IF($A12="","",_xlfn.TEXTJOIN(CHAR(10),TRUE,IFERROR(INDEX('Activity Planner'!$B$5:$B$1004,SMALL(IF(('Activity Planner'!$C$5:$C$1004=$A12)*('Activity Planner'!$S$5:$S$1004=1),ROW('Activity Planner'!$B$5:$B$1004)-4),{1,2,3})),""))&amp;IF(Calc!F8&gt;3,CHAR(10)&amp;"+"&amp;(Calc!F8-3)&amp;" more",""))</f>
        <v>0</v>
      </c>
      <c r="G12" s="15">
        <f t="array" ref="G12">IF($A12="","",_xlfn.TEXTJOIN(CHAR(10),TRUE,IFERROR(INDEX('Activity Planner'!$B$5:$B$1004,SMALL(IF(('Activity Planner'!$C$5:$C$1004=$A12)*('Activity Planner'!$T$5:$T$1004=1),ROW('Activity Planner'!$B$5:$B$1004)-4),{1,2,3})),""))&amp;IF(Calc!G8&gt;3,CHAR(10)&amp;"+"&amp;(Calc!G8-3)&amp;" more",""))</f>
        <v>0</v>
      </c>
      <c r="H12" s="15">
        <f t="array" ref="H12">IF($A12="","",_xlfn.TEXTJOIN(CHAR(10),TRUE,IFERROR(INDEX('Activity Planner'!$B$5:$B$1004,SMALL(IF(('Activity Planner'!$C$5:$C$1004=$A12)*('Activity Planner'!$U$5:$U$1004=1),ROW('Activity Planner'!$B$5:$B$1004)-4),{1,2,3})),""))&amp;IF(Calc!H8&gt;3,CHAR(10)&amp;"+"&amp;(Calc!H8-3)&amp;" more",""))</f>
        <v>0</v>
      </c>
      <c r="I12" s="15">
        <f t="array" ref="I12">IF($A12="","",_xlfn.TEXTJOIN(CHAR(10),TRUE,IFERROR(INDEX('Activity Planner'!$B$5:$B$1004,SMALL(IF(('Activity Planner'!$C$5:$C$1004=$A12)*('Activity Planner'!$V$5:$V$1004=1),ROW('Activity Planner'!$B$5:$B$1004)-4),{1,2,3})),""))&amp;IF(Calc!I8&gt;3,CHAR(10)&amp;"+"&amp;(Calc!I8-3)&amp;" more",""))</f>
        <v>0</v>
      </c>
      <c r="J12" s="15">
        <f t="array" ref="J12">IF($A12="","",_xlfn.TEXTJOIN(CHAR(10),TRUE,IFERROR(INDEX('Activity Planner'!$B$5:$B$1004,SMALL(IF(('Activity Planner'!$C$5:$C$1004=$A12)*('Activity Planner'!$W$5:$W$1004=1),ROW('Activity Planner'!$B$5:$B$1004)-4),{1,2,3})),""))&amp;IF(Calc!J8&gt;3,CHAR(10)&amp;"+"&amp;(Calc!J8-3)&amp;" more",""))</f>
        <v>0</v>
      </c>
      <c r="K12" s="15">
        <f t="array" ref="K12">IF($A12="","",_xlfn.TEXTJOIN(CHAR(10),TRUE,IFERROR(INDEX('Activity Planner'!$B$5:$B$1004,SMALL(IF(('Activity Planner'!$C$5:$C$1004=$A12)*('Activity Planner'!$X$5:$X$1004=1),ROW('Activity Planner'!$B$5:$B$1004)-4),{1,2,3})),""))&amp;IF(Calc!K8&gt;3,CHAR(10)&amp;"+"&amp;(Calc!K8-3)&amp;" more",""))</f>
        <v>0</v>
      </c>
      <c r="L12" s="15">
        <f t="array" ref="L12">IF($A12="","",_xlfn.TEXTJOIN(CHAR(10),TRUE,IFERROR(INDEX('Activity Planner'!$B$5:$B$1004,SMALL(IF(('Activity Planner'!$C$5:$C$1004=$A12)*('Activity Planner'!$Y$5:$Y$1004=1),ROW('Activity Planner'!$B$5:$B$1004)-4),{1,2,3})),""))&amp;IF(Calc!L8&gt;3,CHAR(10)&amp;"+"&amp;(Calc!L8-3)&amp;" more",""))</f>
        <v>0</v>
      </c>
      <c r="M12" s="15">
        <f t="array" ref="M12">IF($A12="","",_xlfn.TEXTJOIN(CHAR(10),TRUE,IFERROR(INDEX('Activity Planner'!$B$5:$B$1004,SMALL(IF(('Activity Planner'!$C$5:$C$1004=$A12)*('Activity Planner'!$Z$5:$Z$1004=1),ROW('Activity Planner'!$B$5:$B$1004)-4),{1,2,3})),""))&amp;IF(Calc!M8&gt;3,CHAR(10)&amp;"+"&amp;(Calc!M8-3)&amp;" more",""))</f>
        <v>0</v>
      </c>
    </row>
    <row r="13" spans="1:13" ht="44" customHeight="1">
      <c r="A13" s="14">
        <f>IF(Lists!$B$11="","",Lists!$B$11)</f>
        <v>0</v>
      </c>
      <c r="B13" s="15">
        <f t="array" ref="B13">IF($A13="","",_xlfn.TEXTJOIN(CHAR(10),TRUE,IFERROR(INDEX('Activity Planner'!$B$5:$B$1004,SMALL(IF(('Activity Planner'!$C$5:$C$1004=$A13)*('Activity Planner'!$O$5:$O$1004=1),ROW('Activity Planner'!$B$5:$B$1004)-4),{1,2,3})),""))&amp;IF(Calc!B9&gt;3,CHAR(10)&amp;"+"&amp;(Calc!B9-3)&amp;" more",""))</f>
        <v>0</v>
      </c>
      <c r="C13" s="15">
        <f t="array" ref="C13">IF($A13="","",_xlfn.TEXTJOIN(CHAR(10),TRUE,IFERROR(INDEX('Activity Planner'!$B$5:$B$1004,SMALL(IF(('Activity Planner'!$C$5:$C$1004=$A13)*('Activity Planner'!$P$5:$P$1004=1),ROW('Activity Planner'!$B$5:$B$1004)-4),{1,2,3})),""))&amp;IF(Calc!C9&gt;3,CHAR(10)&amp;"+"&amp;(Calc!C9-3)&amp;" more",""))</f>
        <v>0</v>
      </c>
      <c r="D13" s="15">
        <f t="array" ref="D13">IF($A13="","",_xlfn.TEXTJOIN(CHAR(10),TRUE,IFERROR(INDEX('Activity Planner'!$B$5:$B$1004,SMALL(IF(('Activity Planner'!$C$5:$C$1004=$A13)*('Activity Planner'!$Q$5:$Q$1004=1),ROW('Activity Planner'!$B$5:$B$1004)-4),{1,2,3})),""))&amp;IF(Calc!D9&gt;3,CHAR(10)&amp;"+"&amp;(Calc!D9-3)&amp;" more",""))</f>
        <v>0</v>
      </c>
      <c r="E13" s="15">
        <f t="array" ref="E13">IF($A13="","",_xlfn.TEXTJOIN(CHAR(10),TRUE,IFERROR(INDEX('Activity Planner'!$B$5:$B$1004,SMALL(IF(('Activity Planner'!$C$5:$C$1004=$A13)*('Activity Planner'!$R$5:$R$1004=1),ROW('Activity Planner'!$B$5:$B$1004)-4),{1,2,3})),""))&amp;IF(Calc!E9&gt;3,CHAR(10)&amp;"+"&amp;(Calc!E9-3)&amp;" more",""))</f>
        <v>0</v>
      </c>
      <c r="F13" s="15">
        <f t="array" ref="F13">IF($A13="","",_xlfn.TEXTJOIN(CHAR(10),TRUE,IFERROR(INDEX('Activity Planner'!$B$5:$B$1004,SMALL(IF(('Activity Planner'!$C$5:$C$1004=$A13)*('Activity Planner'!$S$5:$S$1004=1),ROW('Activity Planner'!$B$5:$B$1004)-4),{1,2,3})),""))&amp;IF(Calc!F9&gt;3,CHAR(10)&amp;"+"&amp;(Calc!F9-3)&amp;" more",""))</f>
        <v>0</v>
      </c>
      <c r="G13" s="15">
        <f t="array" ref="G13">IF($A13="","",_xlfn.TEXTJOIN(CHAR(10),TRUE,IFERROR(INDEX('Activity Planner'!$B$5:$B$1004,SMALL(IF(('Activity Planner'!$C$5:$C$1004=$A13)*('Activity Planner'!$T$5:$T$1004=1),ROW('Activity Planner'!$B$5:$B$1004)-4),{1,2,3})),""))&amp;IF(Calc!G9&gt;3,CHAR(10)&amp;"+"&amp;(Calc!G9-3)&amp;" more",""))</f>
        <v>0</v>
      </c>
      <c r="H13" s="15">
        <f t="array" ref="H13">IF($A13="","",_xlfn.TEXTJOIN(CHAR(10),TRUE,IFERROR(INDEX('Activity Planner'!$B$5:$B$1004,SMALL(IF(('Activity Planner'!$C$5:$C$1004=$A13)*('Activity Planner'!$U$5:$U$1004=1),ROW('Activity Planner'!$B$5:$B$1004)-4),{1,2,3})),""))&amp;IF(Calc!H9&gt;3,CHAR(10)&amp;"+"&amp;(Calc!H9-3)&amp;" more",""))</f>
        <v>0</v>
      </c>
      <c r="I13" s="15">
        <f t="array" ref="I13">IF($A13="","",_xlfn.TEXTJOIN(CHAR(10),TRUE,IFERROR(INDEX('Activity Planner'!$B$5:$B$1004,SMALL(IF(('Activity Planner'!$C$5:$C$1004=$A13)*('Activity Planner'!$V$5:$V$1004=1),ROW('Activity Planner'!$B$5:$B$1004)-4),{1,2,3})),""))&amp;IF(Calc!I9&gt;3,CHAR(10)&amp;"+"&amp;(Calc!I9-3)&amp;" more",""))</f>
        <v>0</v>
      </c>
      <c r="J13" s="15">
        <f t="array" ref="J13">IF($A13="","",_xlfn.TEXTJOIN(CHAR(10),TRUE,IFERROR(INDEX('Activity Planner'!$B$5:$B$1004,SMALL(IF(('Activity Planner'!$C$5:$C$1004=$A13)*('Activity Planner'!$W$5:$W$1004=1),ROW('Activity Planner'!$B$5:$B$1004)-4),{1,2,3})),""))&amp;IF(Calc!J9&gt;3,CHAR(10)&amp;"+"&amp;(Calc!J9-3)&amp;" more",""))</f>
        <v>0</v>
      </c>
      <c r="K13" s="15">
        <f t="array" ref="K13">IF($A13="","",_xlfn.TEXTJOIN(CHAR(10),TRUE,IFERROR(INDEX('Activity Planner'!$B$5:$B$1004,SMALL(IF(('Activity Planner'!$C$5:$C$1004=$A13)*('Activity Planner'!$X$5:$X$1004=1),ROW('Activity Planner'!$B$5:$B$1004)-4),{1,2,3})),""))&amp;IF(Calc!K9&gt;3,CHAR(10)&amp;"+"&amp;(Calc!K9-3)&amp;" more",""))</f>
        <v>0</v>
      </c>
      <c r="L13" s="15">
        <f t="array" ref="L13">IF($A13="","",_xlfn.TEXTJOIN(CHAR(10),TRUE,IFERROR(INDEX('Activity Planner'!$B$5:$B$1004,SMALL(IF(('Activity Planner'!$C$5:$C$1004=$A13)*('Activity Planner'!$Y$5:$Y$1004=1),ROW('Activity Planner'!$B$5:$B$1004)-4),{1,2,3})),""))&amp;IF(Calc!L9&gt;3,CHAR(10)&amp;"+"&amp;(Calc!L9-3)&amp;" more",""))</f>
        <v>0</v>
      </c>
      <c r="M13" s="15">
        <f t="array" ref="M13">IF($A13="","",_xlfn.TEXTJOIN(CHAR(10),TRUE,IFERROR(INDEX('Activity Planner'!$B$5:$B$1004,SMALL(IF(('Activity Planner'!$C$5:$C$1004=$A13)*('Activity Planner'!$Z$5:$Z$1004=1),ROW('Activity Planner'!$B$5:$B$1004)-4),{1,2,3})),""))&amp;IF(Calc!M9&gt;3,CHAR(10)&amp;"+"&amp;(Calc!M9-3)&amp;" more",""))</f>
        <v>0</v>
      </c>
    </row>
    <row r="14" spans="1:13" ht="44" customHeight="1">
      <c r="A14" s="14">
        <f>IF(Lists!$B$12="","",Lists!$B$12)</f>
        <v>0</v>
      </c>
      <c r="B14" s="15">
        <f t="array" ref="B14">IF($A14="","",_xlfn.TEXTJOIN(CHAR(10),TRUE,IFERROR(INDEX('Activity Planner'!$B$5:$B$1004,SMALL(IF(('Activity Planner'!$C$5:$C$1004=$A14)*('Activity Planner'!$O$5:$O$1004=1),ROW('Activity Planner'!$B$5:$B$1004)-4),{1,2,3})),""))&amp;IF(Calc!B10&gt;3,CHAR(10)&amp;"+"&amp;(Calc!B10-3)&amp;" more",""))</f>
        <v>0</v>
      </c>
      <c r="C14" s="15">
        <f t="array" ref="C14">IF($A14="","",_xlfn.TEXTJOIN(CHAR(10),TRUE,IFERROR(INDEX('Activity Planner'!$B$5:$B$1004,SMALL(IF(('Activity Planner'!$C$5:$C$1004=$A14)*('Activity Planner'!$P$5:$P$1004=1),ROW('Activity Planner'!$B$5:$B$1004)-4),{1,2,3})),""))&amp;IF(Calc!C10&gt;3,CHAR(10)&amp;"+"&amp;(Calc!C10-3)&amp;" more",""))</f>
        <v>0</v>
      </c>
      <c r="D14" s="15">
        <f t="array" ref="D14">IF($A14="","",_xlfn.TEXTJOIN(CHAR(10),TRUE,IFERROR(INDEX('Activity Planner'!$B$5:$B$1004,SMALL(IF(('Activity Planner'!$C$5:$C$1004=$A14)*('Activity Planner'!$Q$5:$Q$1004=1),ROW('Activity Planner'!$B$5:$B$1004)-4),{1,2,3})),""))&amp;IF(Calc!D10&gt;3,CHAR(10)&amp;"+"&amp;(Calc!D10-3)&amp;" more",""))</f>
        <v>0</v>
      </c>
      <c r="E14" s="15">
        <f t="array" ref="E14">IF($A14="","",_xlfn.TEXTJOIN(CHAR(10),TRUE,IFERROR(INDEX('Activity Planner'!$B$5:$B$1004,SMALL(IF(('Activity Planner'!$C$5:$C$1004=$A14)*('Activity Planner'!$R$5:$R$1004=1),ROW('Activity Planner'!$B$5:$B$1004)-4),{1,2,3})),""))&amp;IF(Calc!E10&gt;3,CHAR(10)&amp;"+"&amp;(Calc!E10-3)&amp;" more",""))</f>
        <v>0</v>
      </c>
      <c r="F14" s="15">
        <f t="array" ref="F14">IF($A14="","",_xlfn.TEXTJOIN(CHAR(10),TRUE,IFERROR(INDEX('Activity Planner'!$B$5:$B$1004,SMALL(IF(('Activity Planner'!$C$5:$C$1004=$A14)*('Activity Planner'!$S$5:$S$1004=1),ROW('Activity Planner'!$B$5:$B$1004)-4),{1,2,3})),""))&amp;IF(Calc!F10&gt;3,CHAR(10)&amp;"+"&amp;(Calc!F10-3)&amp;" more",""))</f>
        <v>0</v>
      </c>
      <c r="G14" s="15">
        <f t="array" ref="G14">IF($A14="","",_xlfn.TEXTJOIN(CHAR(10),TRUE,IFERROR(INDEX('Activity Planner'!$B$5:$B$1004,SMALL(IF(('Activity Planner'!$C$5:$C$1004=$A14)*('Activity Planner'!$T$5:$T$1004=1),ROW('Activity Planner'!$B$5:$B$1004)-4),{1,2,3})),""))&amp;IF(Calc!G10&gt;3,CHAR(10)&amp;"+"&amp;(Calc!G10-3)&amp;" more",""))</f>
        <v>0</v>
      </c>
      <c r="H14" s="15">
        <f t="array" ref="H14">IF($A14="","",_xlfn.TEXTJOIN(CHAR(10),TRUE,IFERROR(INDEX('Activity Planner'!$B$5:$B$1004,SMALL(IF(('Activity Planner'!$C$5:$C$1004=$A14)*('Activity Planner'!$U$5:$U$1004=1),ROW('Activity Planner'!$B$5:$B$1004)-4),{1,2,3})),""))&amp;IF(Calc!H10&gt;3,CHAR(10)&amp;"+"&amp;(Calc!H10-3)&amp;" more",""))</f>
        <v>0</v>
      </c>
      <c r="I14" s="15">
        <f t="array" ref="I14">IF($A14="","",_xlfn.TEXTJOIN(CHAR(10),TRUE,IFERROR(INDEX('Activity Planner'!$B$5:$B$1004,SMALL(IF(('Activity Planner'!$C$5:$C$1004=$A14)*('Activity Planner'!$V$5:$V$1004=1),ROW('Activity Planner'!$B$5:$B$1004)-4),{1,2,3})),""))&amp;IF(Calc!I10&gt;3,CHAR(10)&amp;"+"&amp;(Calc!I10-3)&amp;" more",""))</f>
        <v>0</v>
      </c>
      <c r="J14" s="15">
        <f t="array" ref="J14">IF($A14="","",_xlfn.TEXTJOIN(CHAR(10),TRUE,IFERROR(INDEX('Activity Planner'!$B$5:$B$1004,SMALL(IF(('Activity Planner'!$C$5:$C$1004=$A14)*('Activity Planner'!$W$5:$W$1004=1),ROW('Activity Planner'!$B$5:$B$1004)-4),{1,2,3})),""))&amp;IF(Calc!J10&gt;3,CHAR(10)&amp;"+"&amp;(Calc!J10-3)&amp;" more",""))</f>
        <v>0</v>
      </c>
      <c r="K14" s="15">
        <f t="array" ref="K14">IF($A14="","",_xlfn.TEXTJOIN(CHAR(10),TRUE,IFERROR(INDEX('Activity Planner'!$B$5:$B$1004,SMALL(IF(('Activity Planner'!$C$5:$C$1004=$A14)*('Activity Planner'!$X$5:$X$1004=1),ROW('Activity Planner'!$B$5:$B$1004)-4),{1,2,3})),""))&amp;IF(Calc!K10&gt;3,CHAR(10)&amp;"+"&amp;(Calc!K10-3)&amp;" more",""))</f>
        <v>0</v>
      </c>
      <c r="L14" s="15">
        <f t="array" ref="L14">IF($A14="","",_xlfn.TEXTJOIN(CHAR(10),TRUE,IFERROR(INDEX('Activity Planner'!$B$5:$B$1004,SMALL(IF(('Activity Planner'!$C$5:$C$1004=$A14)*('Activity Planner'!$Y$5:$Y$1004=1),ROW('Activity Planner'!$B$5:$B$1004)-4),{1,2,3})),""))&amp;IF(Calc!L10&gt;3,CHAR(10)&amp;"+"&amp;(Calc!L10-3)&amp;" more",""))</f>
        <v>0</v>
      </c>
      <c r="M14" s="15">
        <f t="array" ref="M14">IF($A14="","",_xlfn.TEXTJOIN(CHAR(10),TRUE,IFERROR(INDEX('Activity Planner'!$B$5:$B$1004,SMALL(IF(('Activity Planner'!$C$5:$C$1004=$A14)*('Activity Planner'!$Z$5:$Z$1004=1),ROW('Activity Planner'!$B$5:$B$1004)-4),{1,2,3})),""))&amp;IF(Calc!M10&gt;3,CHAR(10)&amp;"+"&amp;(Calc!M10-3)&amp;" more",""))</f>
        <v>0</v>
      </c>
    </row>
    <row r="15" spans="1:13" ht="44" customHeight="1">
      <c r="A15" s="14">
        <f>IF(Lists!$B$13="","",Lists!$B$13)</f>
        <v>0</v>
      </c>
      <c r="B15" s="15">
        <f t="array" ref="B15">IF($A15="","",_xlfn.TEXTJOIN(CHAR(10),TRUE,IFERROR(INDEX('Activity Planner'!$B$5:$B$1004,SMALL(IF(('Activity Planner'!$C$5:$C$1004=$A15)*('Activity Planner'!$O$5:$O$1004=1),ROW('Activity Planner'!$B$5:$B$1004)-4),{1,2,3})),""))&amp;IF(Calc!B11&gt;3,CHAR(10)&amp;"+"&amp;(Calc!B11-3)&amp;" more",""))</f>
        <v>0</v>
      </c>
      <c r="C15" s="15">
        <f t="array" ref="C15">IF($A15="","",_xlfn.TEXTJOIN(CHAR(10),TRUE,IFERROR(INDEX('Activity Planner'!$B$5:$B$1004,SMALL(IF(('Activity Planner'!$C$5:$C$1004=$A15)*('Activity Planner'!$P$5:$P$1004=1),ROW('Activity Planner'!$B$5:$B$1004)-4),{1,2,3})),""))&amp;IF(Calc!C11&gt;3,CHAR(10)&amp;"+"&amp;(Calc!C11-3)&amp;" more",""))</f>
        <v>0</v>
      </c>
      <c r="D15" s="15">
        <f t="array" ref="D15">IF($A15="","",_xlfn.TEXTJOIN(CHAR(10),TRUE,IFERROR(INDEX('Activity Planner'!$B$5:$B$1004,SMALL(IF(('Activity Planner'!$C$5:$C$1004=$A15)*('Activity Planner'!$Q$5:$Q$1004=1),ROW('Activity Planner'!$B$5:$B$1004)-4),{1,2,3})),""))&amp;IF(Calc!D11&gt;3,CHAR(10)&amp;"+"&amp;(Calc!D11-3)&amp;" more",""))</f>
        <v>0</v>
      </c>
      <c r="E15" s="15">
        <f t="array" ref="E15">IF($A15="","",_xlfn.TEXTJOIN(CHAR(10),TRUE,IFERROR(INDEX('Activity Planner'!$B$5:$B$1004,SMALL(IF(('Activity Planner'!$C$5:$C$1004=$A15)*('Activity Planner'!$R$5:$R$1004=1),ROW('Activity Planner'!$B$5:$B$1004)-4),{1,2,3})),""))&amp;IF(Calc!E11&gt;3,CHAR(10)&amp;"+"&amp;(Calc!E11-3)&amp;" more",""))</f>
        <v>0</v>
      </c>
      <c r="F15" s="15">
        <f t="array" ref="F15">IF($A15="","",_xlfn.TEXTJOIN(CHAR(10),TRUE,IFERROR(INDEX('Activity Planner'!$B$5:$B$1004,SMALL(IF(('Activity Planner'!$C$5:$C$1004=$A15)*('Activity Planner'!$S$5:$S$1004=1),ROW('Activity Planner'!$B$5:$B$1004)-4),{1,2,3})),""))&amp;IF(Calc!F11&gt;3,CHAR(10)&amp;"+"&amp;(Calc!F11-3)&amp;" more",""))</f>
        <v>0</v>
      </c>
      <c r="G15" s="15">
        <f t="array" ref="G15">IF($A15="","",_xlfn.TEXTJOIN(CHAR(10),TRUE,IFERROR(INDEX('Activity Planner'!$B$5:$B$1004,SMALL(IF(('Activity Planner'!$C$5:$C$1004=$A15)*('Activity Planner'!$T$5:$T$1004=1),ROW('Activity Planner'!$B$5:$B$1004)-4),{1,2,3})),""))&amp;IF(Calc!G11&gt;3,CHAR(10)&amp;"+"&amp;(Calc!G11-3)&amp;" more",""))</f>
        <v>0</v>
      </c>
      <c r="H15" s="15">
        <f t="array" ref="H15">IF($A15="","",_xlfn.TEXTJOIN(CHAR(10),TRUE,IFERROR(INDEX('Activity Planner'!$B$5:$B$1004,SMALL(IF(('Activity Planner'!$C$5:$C$1004=$A15)*('Activity Planner'!$U$5:$U$1004=1),ROW('Activity Planner'!$B$5:$B$1004)-4),{1,2,3})),""))&amp;IF(Calc!H11&gt;3,CHAR(10)&amp;"+"&amp;(Calc!H11-3)&amp;" more",""))</f>
        <v>0</v>
      </c>
      <c r="I15" s="15">
        <f t="array" ref="I15">IF($A15="","",_xlfn.TEXTJOIN(CHAR(10),TRUE,IFERROR(INDEX('Activity Planner'!$B$5:$B$1004,SMALL(IF(('Activity Planner'!$C$5:$C$1004=$A15)*('Activity Planner'!$V$5:$V$1004=1),ROW('Activity Planner'!$B$5:$B$1004)-4),{1,2,3})),""))&amp;IF(Calc!I11&gt;3,CHAR(10)&amp;"+"&amp;(Calc!I11-3)&amp;" more",""))</f>
        <v>0</v>
      </c>
      <c r="J15" s="15">
        <f t="array" ref="J15">IF($A15="","",_xlfn.TEXTJOIN(CHAR(10),TRUE,IFERROR(INDEX('Activity Planner'!$B$5:$B$1004,SMALL(IF(('Activity Planner'!$C$5:$C$1004=$A15)*('Activity Planner'!$W$5:$W$1004=1),ROW('Activity Planner'!$B$5:$B$1004)-4),{1,2,3})),""))&amp;IF(Calc!J11&gt;3,CHAR(10)&amp;"+"&amp;(Calc!J11-3)&amp;" more",""))</f>
        <v>0</v>
      </c>
      <c r="K15" s="15">
        <f t="array" ref="K15">IF($A15="","",_xlfn.TEXTJOIN(CHAR(10),TRUE,IFERROR(INDEX('Activity Planner'!$B$5:$B$1004,SMALL(IF(('Activity Planner'!$C$5:$C$1004=$A15)*('Activity Planner'!$X$5:$X$1004=1),ROW('Activity Planner'!$B$5:$B$1004)-4),{1,2,3})),""))&amp;IF(Calc!K11&gt;3,CHAR(10)&amp;"+"&amp;(Calc!K11-3)&amp;" more",""))</f>
        <v>0</v>
      </c>
      <c r="L15" s="15">
        <f t="array" ref="L15">IF($A15="","",_xlfn.TEXTJOIN(CHAR(10),TRUE,IFERROR(INDEX('Activity Planner'!$B$5:$B$1004,SMALL(IF(('Activity Planner'!$C$5:$C$1004=$A15)*('Activity Planner'!$Y$5:$Y$1004=1),ROW('Activity Planner'!$B$5:$B$1004)-4),{1,2,3})),""))&amp;IF(Calc!L11&gt;3,CHAR(10)&amp;"+"&amp;(Calc!L11-3)&amp;" more",""))</f>
        <v>0</v>
      </c>
      <c r="M15" s="15">
        <f t="array" ref="M15">IF($A15="","",_xlfn.TEXTJOIN(CHAR(10),TRUE,IFERROR(INDEX('Activity Planner'!$B$5:$B$1004,SMALL(IF(('Activity Planner'!$C$5:$C$1004=$A15)*('Activity Planner'!$Z$5:$Z$1004=1),ROW('Activity Planner'!$B$5:$B$1004)-4),{1,2,3})),""))&amp;IF(Calc!M11&gt;3,CHAR(10)&amp;"+"&amp;(Calc!M11-3)&amp;" more",""))</f>
        <v>0</v>
      </c>
    </row>
    <row r="16" spans="1:13" ht="44" customHeight="1">
      <c r="A16" s="14">
        <f>IF(Lists!$B$14="","",Lists!$B$14)</f>
        <v>0</v>
      </c>
      <c r="B16" s="15">
        <f t="array" ref="B16">IF($A16="","",_xlfn.TEXTJOIN(CHAR(10),TRUE,IFERROR(INDEX('Activity Planner'!$B$5:$B$1004,SMALL(IF(('Activity Planner'!$C$5:$C$1004=$A16)*('Activity Planner'!$O$5:$O$1004=1),ROW('Activity Planner'!$B$5:$B$1004)-4),{1,2,3})),""))&amp;IF(Calc!B12&gt;3,CHAR(10)&amp;"+"&amp;(Calc!B12-3)&amp;" more",""))</f>
        <v>0</v>
      </c>
      <c r="C16" s="15">
        <f t="array" ref="C16">IF($A16="","",_xlfn.TEXTJOIN(CHAR(10),TRUE,IFERROR(INDEX('Activity Planner'!$B$5:$B$1004,SMALL(IF(('Activity Planner'!$C$5:$C$1004=$A16)*('Activity Planner'!$P$5:$P$1004=1),ROW('Activity Planner'!$B$5:$B$1004)-4),{1,2,3})),""))&amp;IF(Calc!C12&gt;3,CHAR(10)&amp;"+"&amp;(Calc!C12-3)&amp;" more",""))</f>
        <v>0</v>
      </c>
      <c r="D16" s="15">
        <f t="array" ref="D16">IF($A16="","",_xlfn.TEXTJOIN(CHAR(10),TRUE,IFERROR(INDEX('Activity Planner'!$B$5:$B$1004,SMALL(IF(('Activity Planner'!$C$5:$C$1004=$A16)*('Activity Planner'!$Q$5:$Q$1004=1),ROW('Activity Planner'!$B$5:$B$1004)-4),{1,2,3})),""))&amp;IF(Calc!D12&gt;3,CHAR(10)&amp;"+"&amp;(Calc!D12-3)&amp;" more",""))</f>
        <v>0</v>
      </c>
      <c r="E16" s="15">
        <f t="array" ref="E16">IF($A16="","",_xlfn.TEXTJOIN(CHAR(10),TRUE,IFERROR(INDEX('Activity Planner'!$B$5:$B$1004,SMALL(IF(('Activity Planner'!$C$5:$C$1004=$A16)*('Activity Planner'!$R$5:$R$1004=1),ROW('Activity Planner'!$B$5:$B$1004)-4),{1,2,3})),""))&amp;IF(Calc!E12&gt;3,CHAR(10)&amp;"+"&amp;(Calc!E12-3)&amp;" more",""))</f>
        <v>0</v>
      </c>
      <c r="F16" s="15">
        <f t="array" ref="F16">IF($A16="","",_xlfn.TEXTJOIN(CHAR(10),TRUE,IFERROR(INDEX('Activity Planner'!$B$5:$B$1004,SMALL(IF(('Activity Planner'!$C$5:$C$1004=$A16)*('Activity Planner'!$S$5:$S$1004=1),ROW('Activity Planner'!$B$5:$B$1004)-4),{1,2,3})),""))&amp;IF(Calc!F12&gt;3,CHAR(10)&amp;"+"&amp;(Calc!F12-3)&amp;" more",""))</f>
        <v>0</v>
      </c>
      <c r="G16" s="15">
        <f t="array" ref="G16">IF($A16="","",_xlfn.TEXTJOIN(CHAR(10),TRUE,IFERROR(INDEX('Activity Planner'!$B$5:$B$1004,SMALL(IF(('Activity Planner'!$C$5:$C$1004=$A16)*('Activity Planner'!$T$5:$T$1004=1),ROW('Activity Planner'!$B$5:$B$1004)-4),{1,2,3})),""))&amp;IF(Calc!G12&gt;3,CHAR(10)&amp;"+"&amp;(Calc!G12-3)&amp;" more",""))</f>
        <v>0</v>
      </c>
      <c r="H16" s="15">
        <f t="array" ref="H16">IF($A16="","",_xlfn.TEXTJOIN(CHAR(10),TRUE,IFERROR(INDEX('Activity Planner'!$B$5:$B$1004,SMALL(IF(('Activity Planner'!$C$5:$C$1004=$A16)*('Activity Planner'!$U$5:$U$1004=1),ROW('Activity Planner'!$B$5:$B$1004)-4),{1,2,3})),""))&amp;IF(Calc!H12&gt;3,CHAR(10)&amp;"+"&amp;(Calc!H12-3)&amp;" more",""))</f>
        <v>0</v>
      </c>
      <c r="I16" s="15">
        <f t="array" ref="I16">IF($A16="","",_xlfn.TEXTJOIN(CHAR(10),TRUE,IFERROR(INDEX('Activity Planner'!$B$5:$B$1004,SMALL(IF(('Activity Planner'!$C$5:$C$1004=$A16)*('Activity Planner'!$V$5:$V$1004=1),ROW('Activity Planner'!$B$5:$B$1004)-4),{1,2,3})),""))&amp;IF(Calc!I12&gt;3,CHAR(10)&amp;"+"&amp;(Calc!I12-3)&amp;" more",""))</f>
        <v>0</v>
      </c>
      <c r="J16" s="15">
        <f t="array" ref="J16">IF($A16="","",_xlfn.TEXTJOIN(CHAR(10),TRUE,IFERROR(INDEX('Activity Planner'!$B$5:$B$1004,SMALL(IF(('Activity Planner'!$C$5:$C$1004=$A16)*('Activity Planner'!$W$5:$W$1004=1),ROW('Activity Planner'!$B$5:$B$1004)-4),{1,2,3})),""))&amp;IF(Calc!J12&gt;3,CHAR(10)&amp;"+"&amp;(Calc!J12-3)&amp;" more",""))</f>
        <v>0</v>
      </c>
      <c r="K16" s="15">
        <f t="array" ref="K16">IF($A16="","",_xlfn.TEXTJOIN(CHAR(10),TRUE,IFERROR(INDEX('Activity Planner'!$B$5:$B$1004,SMALL(IF(('Activity Planner'!$C$5:$C$1004=$A16)*('Activity Planner'!$X$5:$X$1004=1),ROW('Activity Planner'!$B$5:$B$1004)-4),{1,2,3})),""))&amp;IF(Calc!K12&gt;3,CHAR(10)&amp;"+"&amp;(Calc!K12-3)&amp;" more",""))</f>
        <v>0</v>
      </c>
      <c r="L16" s="15">
        <f t="array" ref="L16">IF($A16="","",_xlfn.TEXTJOIN(CHAR(10),TRUE,IFERROR(INDEX('Activity Planner'!$B$5:$B$1004,SMALL(IF(('Activity Planner'!$C$5:$C$1004=$A16)*('Activity Planner'!$Y$5:$Y$1004=1),ROW('Activity Planner'!$B$5:$B$1004)-4),{1,2,3})),""))&amp;IF(Calc!L12&gt;3,CHAR(10)&amp;"+"&amp;(Calc!L12-3)&amp;" more",""))</f>
        <v>0</v>
      </c>
      <c r="M16" s="15">
        <f t="array" ref="M16">IF($A16="","",_xlfn.TEXTJOIN(CHAR(10),TRUE,IFERROR(INDEX('Activity Planner'!$B$5:$B$1004,SMALL(IF(('Activity Planner'!$C$5:$C$1004=$A16)*('Activity Planner'!$Z$5:$Z$1004=1),ROW('Activity Planner'!$B$5:$B$1004)-4),{1,2,3})),""))&amp;IF(Calc!M12&gt;3,CHAR(10)&amp;"+"&amp;(Calc!M12-3)&amp;" more",""))</f>
        <v>0</v>
      </c>
    </row>
    <row r="17" spans="1:14" ht="44" customHeight="1">
      <c r="A17" s="14">
        <f>IF(Lists!$B$15="","",Lists!$B$15)</f>
        <v>0</v>
      </c>
      <c r="B17" s="15">
        <f t="array" ref="B17">IF($A17="","",_xlfn.TEXTJOIN(CHAR(10),TRUE,IFERROR(INDEX('Activity Planner'!$B$5:$B$1004,SMALL(IF(('Activity Planner'!$C$5:$C$1004=$A17)*('Activity Planner'!$O$5:$O$1004=1),ROW('Activity Planner'!$B$5:$B$1004)-4),{1,2,3})),""))&amp;IF(Calc!B13&gt;3,CHAR(10)&amp;"+"&amp;(Calc!B13-3)&amp;" more",""))</f>
        <v>0</v>
      </c>
      <c r="C17" s="15">
        <f t="array" ref="C17">IF($A17="","",_xlfn.TEXTJOIN(CHAR(10),TRUE,IFERROR(INDEX('Activity Planner'!$B$5:$B$1004,SMALL(IF(('Activity Planner'!$C$5:$C$1004=$A17)*('Activity Planner'!$P$5:$P$1004=1),ROW('Activity Planner'!$B$5:$B$1004)-4),{1,2,3})),""))&amp;IF(Calc!C13&gt;3,CHAR(10)&amp;"+"&amp;(Calc!C13-3)&amp;" more",""))</f>
        <v>0</v>
      </c>
      <c r="D17" s="15">
        <f t="array" ref="D17">IF($A17="","",_xlfn.TEXTJOIN(CHAR(10),TRUE,IFERROR(INDEX('Activity Planner'!$B$5:$B$1004,SMALL(IF(('Activity Planner'!$C$5:$C$1004=$A17)*('Activity Planner'!$Q$5:$Q$1004=1),ROW('Activity Planner'!$B$5:$B$1004)-4),{1,2,3})),""))&amp;IF(Calc!D13&gt;3,CHAR(10)&amp;"+"&amp;(Calc!D13-3)&amp;" more",""))</f>
        <v>0</v>
      </c>
      <c r="E17" s="15">
        <f t="array" ref="E17">IF($A17="","",_xlfn.TEXTJOIN(CHAR(10),TRUE,IFERROR(INDEX('Activity Planner'!$B$5:$B$1004,SMALL(IF(('Activity Planner'!$C$5:$C$1004=$A17)*('Activity Planner'!$R$5:$R$1004=1),ROW('Activity Planner'!$B$5:$B$1004)-4),{1,2,3})),""))&amp;IF(Calc!E13&gt;3,CHAR(10)&amp;"+"&amp;(Calc!E13-3)&amp;" more",""))</f>
        <v>0</v>
      </c>
      <c r="F17" s="15">
        <f t="array" ref="F17">IF($A17="","",_xlfn.TEXTJOIN(CHAR(10),TRUE,IFERROR(INDEX('Activity Planner'!$B$5:$B$1004,SMALL(IF(('Activity Planner'!$C$5:$C$1004=$A17)*('Activity Planner'!$S$5:$S$1004=1),ROW('Activity Planner'!$B$5:$B$1004)-4),{1,2,3})),""))&amp;IF(Calc!F13&gt;3,CHAR(10)&amp;"+"&amp;(Calc!F13-3)&amp;" more",""))</f>
        <v>0</v>
      </c>
      <c r="G17" s="15">
        <f t="array" ref="G17">IF($A17="","",_xlfn.TEXTJOIN(CHAR(10),TRUE,IFERROR(INDEX('Activity Planner'!$B$5:$B$1004,SMALL(IF(('Activity Planner'!$C$5:$C$1004=$A17)*('Activity Planner'!$T$5:$T$1004=1),ROW('Activity Planner'!$B$5:$B$1004)-4),{1,2,3})),""))&amp;IF(Calc!G13&gt;3,CHAR(10)&amp;"+"&amp;(Calc!G13-3)&amp;" more",""))</f>
        <v>0</v>
      </c>
      <c r="H17" s="15">
        <f t="array" ref="H17">IF($A17="","",_xlfn.TEXTJOIN(CHAR(10),TRUE,IFERROR(INDEX('Activity Planner'!$B$5:$B$1004,SMALL(IF(('Activity Planner'!$C$5:$C$1004=$A17)*('Activity Planner'!$U$5:$U$1004=1),ROW('Activity Planner'!$B$5:$B$1004)-4),{1,2,3})),""))&amp;IF(Calc!H13&gt;3,CHAR(10)&amp;"+"&amp;(Calc!H13-3)&amp;" more",""))</f>
        <v>0</v>
      </c>
      <c r="I17" s="15">
        <f t="array" ref="I17">IF($A17="","",_xlfn.TEXTJOIN(CHAR(10),TRUE,IFERROR(INDEX('Activity Planner'!$B$5:$B$1004,SMALL(IF(('Activity Planner'!$C$5:$C$1004=$A17)*('Activity Planner'!$V$5:$V$1004=1),ROW('Activity Planner'!$B$5:$B$1004)-4),{1,2,3})),""))&amp;IF(Calc!I13&gt;3,CHAR(10)&amp;"+"&amp;(Calc!I13-3)&amp;" more",""))</f>
        <v>0</v>
      </c>
      <c r="J17" s="15">
        <f t="array" ref="J17">IF($A17="","",_xlfn.TEXTJOIN(CHAR(10),TRUE,IFERROR(INDEX('Activity Planner'!$B$5:$B$1004,SMALL(IF(('Activity Planner'!$C$5:$C$1004=$A17)*('Activity Planner'!$W$5:$W$1004=1),ROW('Activity Planner'!$B$5:$B$1004)-4),{1,2,3})),""))&amp;IF(Calc!J13&gt;3,CHAR(10)&amp;"+"&amp;(Calc!J13-3)&amp;" more",""))</f>
        <v>0</v>
      </c>
      <c r="K17" s="15">
        <f t="array" ref="K17">IF($A17="","",_xlfn.TEXTJOIN(CHAR(10),TRUE,IFERROR(INDEX('Activity Planner'!$B$5:$B$1004,SMALL(IF(('Activity Planner'!$C$5:$C$1004=$A17)*('Activity Planner'!$X$5:$X$1004=1),ROW('Activity Planner'!$B$5:$B$1004)-4),{1,2,3})),""))&amp;IF(Calc!K13&gt;3,CHAR(10)&amp;"+"&amp;(Calc!K13-3)&amp;" more",""))</f>
        <v>0</v>
      </c>
      <c r="L17" s="15">
        <f t="array" ref="L17">IF($A17="","",_xlfn.TEXTJOIN(CHAR(10),TRUE,IFERROR(INDEX('Activity Planner'!$B$5:$B$1004,SMALL(IF(('Activity Planner'!$C$5:$C$1004=$A17)*('Activity Planner'!$Y$5:$Y$1004=1),ROW('Activity Planner'!$B$5:$B$1004)-4),{1,2,3})),""))&amp;IF(Calc!L13&gt;3,CHAR(10)&amp;"+"&amp;(Calc!L13-3)&amp;" more",""))</f>
        <v>0</v>
      </c>
      <c r="M17" s="15">
        <f t="array" ref="M17">IF($A17="","",_xlfn.TEXTJOIN(CHAR(10),TRUE,IFERROR(INDEX('Activity Planner'!$B$5:$B$1004,SMALL(IF(('Activity Planner'!$C$5:$C$1004=$A17)*('Activity Planner'!$Z$5:$Z$1004=1),ROW('Activity Planner'!$B$5:$B$1004)-4),{1,2,3})),""))&amp;IF(Calc!M13&gt;3,CHAR(10)&amp;"+"&amp;(Calc!M13-3)&amp;" more",""))</f>
        <v>0</v>
      </c>
    </row>
    <row r="18" spans="1:14" ht="44" customHeight="1">
      <c r="A18" s="14">
        <f>IF(Lists!$B$16="","",Lists!$B$16)</f>
        <v>0</v>
      </c>
      <c r="B18" s="15">
        <f t="array" ref="B18">IF($A18="","",_xlfn.TEXTJOIN(CHAR(10),TRUE,IFERROR(INDEX('Activity Planner'!$B$5:$B$1004,SMALL(IF(('Activity Planner'!$C$5:$C$1004=$A18)*('Activity Planner'!$O$5:$O$1004=1),ROW('Activity Planner'!$B$5:$B$1004)-4),{1,2,3})),""))&amp;IF(Calc!B14&gt;3,CHAR(10)&amp;"+"&amp;(Calc!B14-3)&amp;" more",""))</f>
        <v>0</v>
      </c>
      <c r="C18" s="15">
        <f t="array" ref="C18">IF($A18="","",_xlfn.TEXTJOIN(CHAR(10),TRUE,IFERROR(INDEX('Activity Planner'!$B$5:$B$1004,SMALL(IF(('Activity Planner'!$C$5:$C$1004=$A18)*('Activity Planner'!$P$5:$P$1004=1),ROW('Activity Planner'!$B$5:$B$1004)-4),{1,2,3})),""))&amp;IF(Calc!C14&gt;3,CHAR(10)&amp;"+"&amp;(Calc!C14-3)&amp;" more",""))</f>
        <v>0</v>
      </c>
      <c r="D18" s="15">
        <f t="array" ref="D18">IF($A18="","",_xlfn.TEXTJOIN(CHAR(10),TRUE,IFERROR(INDEX('Activity Planner'!$B$5:$B$1004,SMALL(IF(('Activity Planner'!$C$5:$C$1004=$A18)*('Activity Planner'!$Q$5:$Q$1004=1),ROW('Activity Planner'!$B$5:$B$1004)-4),{1,2,3})),""))&amp;IF(Calc!D14&gt;3,CHAR(10)&amp;"+"&amp;(Calc!D14-3)&amp;" more",""))</f>
        <v>0</v>
      </c>
      <c r="E18" s="15">
        <f t="array" ref="E18">IF($A18="","",_xlfn.TEXTJOIN(CHAR(10),TRUE,IFERROR(INDEX('Activity Planner'!$B$5:$B$1004,SMALL(IF(('Activity Planner'!$C$5:$C$1004=$A18)*('Activity Planner'!$R$5:$R$1004=1),ROW('Activity Planner'!$B$5:$B$1004)-4),{1,2,3})),""))&amp;IF(Calc!E14&gt;3,CHAR(10)&amp;"+"&amp;(Calc!E14-3)&amp;" more",""))</f>
        <v>0</v>
      </c>
      <c r="F18" s="15">
        <f t="array" ref="F18">IF($A18="","",_xlfn.TEXTJOIN(CHAR(10),TRUE,IFERROR(INDEX('Activity Planner'!$B$5:$B$1004,SMALL(IF(('Activity Planner'!$C$5:$C$1004=$A18)*('Activity Planner'!$S$5:$S$1004=1),ROW('Activity Planner'!$B$5:$B$1004)-4),{1,2,3})),""))&amp;IF(Calc!F14&gt;3,CHAR(10)&amp;"+"&amp;(Calc!F14-3)&amp;" more",""))</f>
        <v>0</v>
      </c>
      <c r="G18" s="15">
        <f t="array" ref="G18">IF($A18="","",_xlfn.TEXTJOIN(CHAR(10),TRUE,IFERROR(INDEX('Activity Planner'!$B$5:$B$1004,SMALL(IF(('Activity Planner'!$C$5:$C$1004=$A18)*('Activity Planner'!$T$5:$T$1004=1),ROW('Activity Planner'!$B$5:$B$1004)-4),{1,2,3})),""))&amp;IF(Calc!G14&gt;3,CHAR(10)&amp;"+"&amp;(Calc!G14-3)&amp;" more",""))</f>
        <v>0</v>
      </c>
      <c r="H18" s="15">
        <f t="array" ref="H18">IF($A18="","",_xlfn.TEXTJOIN(CHAR(10),TRUE,IFERROR(INDEX('Activity Planner'!$B$5:$B$1004,SMALL(IF(('Activity Planner'!$C$5:$C$1004=$A18)*('Activity Planner'!$U$5:$U$1004=1),ROW('Activity Planner'!$B$5:$B$1004)-4),{1,2,3})),""))&amp;IF(Calc!H14&gt;3,CHAR(10)&amp;"+"&amp;(Calc!H14-3)&amp;" more",""))</f>
        <v>0</v>
      </c>
      <c r="I18" s="15">
        <f t="array" ref="I18">IF($A18="","",_xlfn.TEXTJOIN(CHAR(10),TRUE,IFERROR(INDEX('Activity Planner'!$B$5:$B$1004,SMALL(IF(('Activity Planner'!$C$5:$C$1004=$A18)*('Activity Planner'!$V$5:$V$1004=1),ROW('Activity Planner'!$B$5:$B$1004)-4),{1,2,3})),""))&amp;IF(Calc!I14&gt;3,CHAR(10)&amp;"+"&amp;(Calc!I14-3)&amp;" more",""))</f>
        <v>0</v>
      </c>
      <c r="J18" s="15">
        <f t="array" ref="J18">IF($A18="","",_xlfn.TEXTJOIN(CHAR(10),TRUE,IFERROR(INDEX('Activity Planner'!$B$5:$B$1004,SMALL(IF(('Activity Planner'!$C$5:$C$1004=$A18)*('Activity Planner'!$W$5:$W$1004=1),ROW('Activity Planner'!$B$5:$B$1004)-4),{1,2,3})),""))&amp;IF(Calc!J14&gt;3,CHAR(10)&amp;"+"&amp;(Calc!J14-3)&amp;" more",""))</f>
        <v>0</v>
      </c>
      <c r="K18" s="15">
        <f t="array" ref="K18">IF($A18="","",_xlfn.TEXTJOIN(CHAR(10),TRUE,IFERROR(INDEX('Activity Planner'!$B$5:$B$1004,SMALL(IF(('Activity Planner'!$C$5:$C$1004=$A18)*('Activity Planner'!$X$5:$X$1004=1),ROW('Activity Planner'!$B$5:$B$1004)-4),{1,2,3})),""))&amp;IF(Calc!K14&gt;3,CHAR(10)&amp;"+"&amp;(Calc!K14-3)&amp;" more",""))</f>
        <v>0</v>
      </c>
      <c r="L18" s="15">
        <f t="array" ref="L18">IF($A18="","",_xlfn.TEXTJOIN(CHAR(10),TRUE,IFERROR(INDEX('Activity Planner'!$B$5:$B$1004,SMALL(IF(('Activity Planner'!$C$5:$C$1004=$A18)*('Activity Planner'!$Y$5:$Y$1004=1),ROW('Activity Planner'!$B$5:$B$1004)-4),{1,2,3})),""))&amp;IF(Calc!L14&gt;3,CHAR(10)&amp;"+"&amp;(Calc!L14-3)&amp;" more",""))</f>
        <v>0</v>
      </c>
      <c r="M18" s="15">
        <f t="array" ref="M18">IF($A18="","",_xlfn.TEXTJOIN(CHAR(10),TRUE,IFERROR(INDEX('Activity Planner'!$B$5:$B$1004,SMALL(IF(('Activity Planner'!$C$5:$C$1004=$A18)*('Activity Planner'!$Z$5:$Z$1004=1),ROW('Activity Planner'!$B$5:$B$1004)-4),{1,2,3})),""))&amp;IF(Calc!M14&gt;3,CHAR(10)&amp;"+"&amp;(Calc!M14-3)&amp;" more",""))</f>
        <v>0</v>
      </c>
    </row>
    <row r="20" spans="1:14">
      <c r="A20" s="16" t="s">
        <v>120</v>
      </c>
      <c r="B20" s="17" t="s">
        <v>25</v>
      </c>
      <c r="C20" s="17"/>
      <c r="D20" s="18" t="s">
        <v>26</v>
      </c>
      <c r="E20" s="18"/>
      <c r="F20" s="19" t="s">
        <v>27</v>
      </c>
      <c r="G20" s="19"/>
    </row>
    <row r="22" spans="1:14">
      <c r="A22" s="16" t="s">
        <v>127</v>
      </c>
      <c r="B22" s="20" t="s">
        <v>121</v>
      </c>
      <c r="C22" s="20"/>
      <c r="D22" s="20"/>
      <c r="E22" s="20"/>
      <c r="F22" s="20" t="s">
        <v>123</v>
      </c>
      <c r="G22" s="20"/>
      <c r="H22" s="20"/>
      <c r="I22" s="20"/>
      <c r="J22" s="20" t="s">
        <v>125</v>
      </c>
      <c r="K22" s="20"/>
      <c r="L22" s="20"/>
      <c r="M22" s="20"/>
    </row>
    <row r="23" spans="1:14">
      <c r="B23" s="21" t="s">
        <v>122</v>
      </c>
      <c r="C23" s="21"/>
      <c r="D23" s="21"/>
      <c r="E23" s="21"/>
      <c r="F23" s="21" t="s">
        <v>124</v>
      </c>
      <c r="G23" s="21"/>
      <c r="H23" s="21"/>
      <c r="I23" s="21"/>
      <c r="J23" s="21" t="s">
        <v>126</v>
      </c>
      <c r="K23" s="21"/>
      <c r="L23" s="21"/>
      <c r="M23" s="21"/>
    </row>
    <row r="24" spans="1:14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6" spans="1:14">
      <c r="A26" s="4" t="s">
        <v>128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12"/>
      <c r="B27" s="13" t="s">
        <v>108</v>
      </c>
      <c r="C27" s="13" t="s">
        <v>109</v>
      </c>
      <c r="D27" s="13" t="s">
        <v>110</v>
      </c>
      <c r="E27" s="13" t="s">
        <v>111</v>
      </c>
      <c r="F27" s="13" t="s">
        <v>112</v>
      </c>
      <c r="G27" s="13" t="s">
        <v>113</v>
      </c>
      <c r="H27" s="13" t="s">
        <v>114</v>
      </c>
      <c r="I27" s="13" t="s">
        <v>115</v>
      </c>
      <c r="J27" s="13" t="s">
        <v>116</v>
      </c>
      <c r="K27" s="13" t="s">
        <v>117</v>
      </c>
      <c r="L27" s="13" t="s">
        <v>118</v>
      </c>
      <c r="M27" s="13" t="s">
        <v>119</v>
      </c>
      <c r="N27" s="13" t="s">
        <v>129</v>
      </c>
    </row>
    <row r="28" spans="1:14">
      <c r="A28" s="22" t="s">
        <v>130</v>
      </c>
      <c r="B28" s="23">
        <f>SUM(Calc!B3:B14)</f>
        <v>0</v>
      </c>
      <c r="C28" s="23">
        <f>SUM(Calc!C3:C14)</f>
        <v>0</v>
      </c>
      <c r="D28" s="23">
        <f>SUM(Calc!D3:D14)</f>
        <v>0</v>
      </c>
      <c r="E28" s="23">
        <f>SUM(Calc!E3:E14)</f>
        <v>0</v>
      </c>
      <c r="F28" s="23">
        <f>SUM(Calc!F3:F14)</f>
        <v>0</v>
      </c>
      <c r="G28" s="23">
        <f>SUM(Calc!G3:G14)</f>
        <v>0</v>
      </c>
      <c r="H28" s="23">
        <f>SUM(Calc!H3:H14)</f>
        <v>0</v>
      </c>
      <c r="I28" s="23">
        <f>SUM(Calc!I3:I14)</f>
        <v>0</v>
      </c>
      <c r="J28" s="23">
        <f>SUM(Calc!J3:J14)</f>
        <v>0</v>
      </c>
      <c r="K28" s="23">
        <f>SUM(Calc!K3:K14)</f>
        <v>0</v>
      </c>
      <c r="L28" s="23">
        <f>SUM(Calc!L3:L14)</f>
        <v>0</v>
      </c>
      <c r="M28" s="23">
        <f>SUM(Calc!M3:M14)</f>
        <v>0</v>
      </c>
      <c r="N28" s="23">
        <f>COUNTIFS('Activity Planner'!$AA$5:$AA$1004,"&gt;0")</f>
        <v>0</v>
      </c>
    </row>
    <row r="29" spans="1:14">
      <c r="A29" s="22" t="s">
        <v>131</v>
      </c>
      <c r="B29" s="24">
        <f>SUM(Calc!B63:B74)</f>
        <v>0</v>
      </c>
      <c r="C29" s="24">
        <f>SUM(Calc!C63:C74)</f>
        <v>0</v>
      </c>
      <c r="D29" s="24">
        <f>SUM(Calc!D63:D74)</f>
        <v>0</v>
      </c>
      <c r="E29" s="24">
        <f>SUM(Calc!E63:E74)</f>
        <v>0</v>
      </c>
      <c r="F29" s="24">
        <f>SUM(Calc!F63:F74)</f>
        <v>0</v>
      </c>
      <c r="G29" s="24">
        <f>SUM(Calc!G63:G74)</f>
        <v>0</v>
      </c>
      <c r="H29" s="24">
        <f>SUM(Calc!H63:H74)</f>
        <v>0</v>
      </c>
      <c r="I29" s="24">
        <f>SUM(Calc!I63:I74)</f>
        <v>0</v>
      </c>
      <c r="J29" s="24">
        <f>SUM(Calc!J63:J74)</f>
        <v>0</v>
      </c>
      <c r="K29" s="24">
        <f>SUM(Calc!K63:K74)</f>
        <v>0</v>
      </c>
      <c r="L29" s="24">
        <f>SUM(Calc!L63:L74)</f>
        <v>0</v>
      </c>
      <c r="M29" s="24">
        <f>SUM(Calc!M63:M74)</f>
        <v>0</v>
      </c>
      <c r="N29" s="24">
        <f>COUNTIFS('Activity Planner'!$AA$5:$AA$1004,"&gt;0",'Activity Planner'!$E$5:$E$1004,"Event")</f>
        <v>0</v>
      </c>
    </row>
    <row r="30" spans="1:14">
      <c r="A30" s="22" t="s">
        <v>132</v>
      </c>
      <c r="B30" s="24">
        <f>B28-B29</f>
        <v>0</v>
      </c>
      <c r="C30" s="24">
        <f>C28-C29</f>
        <v>0</v>
      </c>
      <c r="D30" s="24">
        <f>D28-D29</f>
        <v>0</v>
      </c>
      <c r="E30" s="24">
        <f>E28-E29</f>
        <v>0</v>
      </c>
      <c r="F30" s="24">
        <f>F28-F29</f>
        <v>0</v>
      </c>
      <c r="G30" s="24">
        <f>G28-G29</f>
        <v>0</v>
      </c>
      <c r="H30" s="24">
        <f>H28-H29</f>
        <v>0</v>
      </c>
      <c r="I30" s="24">
        <f>I28-I29</f>
        <v>0</v>
      </c>
      <c r="J30" s="24">
        <f>J28-J29</f>
        <v>0</v>
      </c>
      <c r="K30" s="24">
        <f>K28-K29</f>
        <v>0</v>
      </c>
      <c r="L30" s="24">
        <f>L28-L29</f>
        <v>0</v>
      </c>
      <c r="M30" s="24">
        <f>M28-M29</f>
        <v>0</v>
      </c>
      <c r="N30" s="24">
        <f>N28-N29</f>
        <v>0</v>
      </c>
    </row>
    <row r="31" spans="1:14">
      <c r="A31" s="22" t="s">
        <v>25</v>
      </c>
      <c r="B31" s="24">
        <f>SUM(Calc!B18:B29)</f>
        <v>0</v>
      </c>
      <c r="C31" s="24">
        <f>SUM(Calc!C18:C29)</f>
        <v>0</v>
      </c>
      <c r="D31" s="24">
        <f>SUM(Calc!D18:D29)</f>
        <v>0</v>
      </c>
      <c r="E31" s="24">
        <f>SUM(Calc!E18:E29)</f>
        <v>0</v>
      </c>
      <c r="F31" s="24">
        <f>SUM(Calc!F18:F29)</f>
        <v>0</v>
      </c>
      <c r="G31" s="24">
        <f>SUM(Calc!G18:G29)</f>
        <v>0</v>
      </c>
      <c r="H31" s="24">
        <f>SUM(Calc!H18:H29)</f>
        <v>0</v>
      </c>
      <c r="I31" s="24">
        <f>SUM(Calc!I18:I29)</f>
        <v>0</v>
      </c>
      <c r="J31" s="24">
        <f>SUM(Calc!J18:J29)</f>
        <v>0</v>
      </c>
      <c r="K31" s="24">
        <f>SUM(Calc!K18:K29)</f>
        <v>0</v>
      </c>
      <c r="L31" s="24">
        <f>SUM(Calc!L18:L29)</f>
        <v>0</v>
      </c>
      <c r="M31" s="24">
        <f>SUM(Calc!M18:M29)</f>
        <v>0</v>
      </c>
      <c r="N31" s="24">
        <f>COUNTIFS('Activity Planner'!$AA$5:$AA$1004,"&gt;0",'Activity Planner'!$D$5:$D$1004,Lists!$E$5)</f>
        <v>0</v>
      </c>
    </row>
    <row r="32" spans="1:14">
      <c r="A32" s="22" t="s">
        <v>26</v>
      </c>
      <c r="B32" s="24">
        <f>SUM(Calc!B33:B44)</f>
        <v>0</v>
      </c>
      <c r="C32" s="24">
        <f>SUM(Calc!C33:C44)</f>
        <v>0</v>
      </c>
      <c r="D32" s="24">
        <f>SUM(Calc!D33:D44)</f>
        <v>0</v>
      </c>
      <c r="E32" s="24">
        <f>SUM(Calc!E33:E44)</f>
        <v>0</v>
      </c>
      <c r="F32" s="24">
        <f>SUM(Calc!F33:F44)</f>
        <v>0</v>
      </c>
      <c r="G32" s="24">
        <f>SUM(Calc!G33:G44)</f>
        <v>0</v>
      </c>
      <c r="H32" s="24">
        <f>SUM(Calc!H33:H44)</f>
        <v>0</v>
      </c>
      <c r="I32" s="24">
        <f>SUM(Calc!I33:I44)</f>
        <v>0</v>
      </c>
      <c r="J32" s="24">
        <f>SUM(Calc!J33:J44)</f>
        <v>0</v>
      </c>
      <c r="K32" s="24">
        <f>SUM(Calc!K33:K44)</f>
        <v>0</v>
      </c>
      <c r="L32" s="24">
        <f>SUM(Calc!L33:L44)</f>
        <v>0</v>
      </c>
      <c r="M32" s="24">
        <f>SUM(Calc!M33:M44)</f>
        <v>0</v>
      </c>
      <c r="N32" s="24">
        <f>COUNTIFS('Activity Planner'!$AA$5:$AA$1004,"&gt;0",'Activity Planner'!$D$5:$D$1004,Lists!$E$6)</f>
        <v>0</v>
      </c>
    </row>
    <row r="33" spans="1:14">
      <c r="A33" s="22" t="s">
        <v>27</v>
      </c>
      <c r="B33" s="24">
        <f>SUM(Calc!B48:B59)</f>
        <v>0</v>
      </c>
      <c r="C33" s="24">
        <f>SUM(Calc!C48:C59)</f>
        <v>0</v>
      </c>
      <c r="D33" s="24">
        <f>SUM(Calc!D48:D59)</f>
        <v>0</v>
      </c>
      <c r="E33" s="24">
        <f>SUM(Calc!E48:E59)</f>
        <v>0</v>
      </c>
      <c r="F33" s="24">
        <f>SUM(Calc!F48:F59)</f>
        <v>0</v>
      </c>
      <c r="G33" s="24">
        <f>SUM(Calc!G48:G59)</f>
        <v>0</v>
      </c>
      <c r="H33" s="24">
        <f>SUM(Calc!H48:H59)</f>
        <v>0</v>
      </c>
      <c r="I33" s="24">
        <f>SUM(Calc!I48:I59)</f>
        <v>0</v>
      </c>
      <c r="J33" s="24">
        <f>SUM(Calc!J48:J59)</f>
        <v>0</v>
      </c>
      <c r="K33" s="24">
        <f>SUM(Calc!K48:K59)</f>
        <v>0</v>
      </c>
      <c r="L33" s="24">
        <f>SUM(Calc!L48:L59)</f>
        <v>0</v>
      </c>
      <c r="M33" s="24">
        <f>SUM(Calc!M48:M59)</f>
        <v>0</v>
      </c>
      <c r="N33" s="24">
        <f>COUNTIFS('Activity Planner'!$AA$5:$AA$1004,"&gt;0",'Activity Planner'!$D$5:$D$1004,Lists!$E$7)</f>
        <v>0</v>
      </c>
    </row>
    <row r="36" spans="1:14">
      <c r="A36" s="4" t="s">
        <v>133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30" customHeight="1">
      <c r="A37" s="12" t="s">
        <v>134</v>
      </c>
      <c r="B37" s="25" t="s">
        <v>135</v>
      </c>
      <c r="C37" s="26" t="s">
        <v>136</v>
      </c>
      <c r="D37" s="27" t="s">
        <v>137</v>
      </c>
      <c r="E37" s="25" t="s">
        <v>138</v>
      </c>
      <c r="F37" s="25" t="s">
        <v>139</v>
      </c>
    </row>
    <row r="38" spans="1:14">
      <c r="A38" s="22">
        <f>$A7</f>
        <v>0</v>
      </c>
      <c r="B38" s="24">
        <f>IF($A38="","",COUNTIFS('Activity Planner'!$C$5:$C$1004,$A38,'Activity Planner'!$D$5:$D$1004,Lists!$E$5,'Activity Planner'!$AA$5:$AA$1004,"&gt;0"))</f>
        <v>0</v>
      </c>
      <c r="C38" s="24">
        <f>IF($A38="","",COUNTIFS('Activity Planner'!$C$5:$C$1004,$A38,'Activity Planner'!$D$5:$D$1004,Lists!$E$6,'Activity Planner'!$AA$5:$AA$1004,"&gt;0"))</f>
        <v>0</v>
      </c>
      <c r="D38" s="24">
        <f>IF($A38="","",COUNTIFS('Activity Planner'!$C$5:$C$1004,$A38,'Activity Planner'!$D$5:$D$1004,Lists!$E$7,'Activity Planner'!$AA$5:$AA$1004,"&gt;0"))</f>
        <v>0</v>
      </c>
      <c r="E38" s="23">
        <f>IF($A38="","",COUNTIFS('Activity Planner'!$C$5:$C$1004,$A38,'Activity Planner'!$AA$5:$AA$1004,"&gt;0"))</f>
        <v>0</v>
      </c>
      <c r="F38" s="24">
        <f>IF($A38="","",COUNTIFS('Activity Planner'!$C$5:$C$1004,$A38,'Activity Planner'!$E$5:$E$1004,"Event",'Activity Planner'!$AA$5:$AA$1004,"&gt;0"))</f>
        <v>0</v>
      </c>
    </row>
    <row r="39" spans="1:14">
      <c r="A39" s="22">
        <f>$A8</f>
        <v>0</v>
      </c>
      <c r="B39" s="24">
        <f>IF($A39="","",COUNTIFS('Activity Planner'!$C$5:$C$1004,$A39,'Activity Planner'!$D$5:$D$1004,Lists!$E$5,'Activity Planner'!$AA$5:$AA$1004,"&gt;0"))</f>
        <v>0</v>
      </c>
      <c r="C39" s="24">
        <f>IF($A39="","",COUNTIFS('Activity Planner'!$C$5:$C$1004,$A39,'Activity Planner'!$D$5:$D$1004,Lists!$E$6,'Activity Planner'!$AA$5:$AA$1004,"&gt;0"))</f>
        <v>0</v>
      </c>
      <c r="D39" s="24">
        <f>IF($A39="","",COUNTIFS('Activity Planner'!$C$5:$C$1004,$A39,'Activity Planner'!$D$5:$D$1004,Lists!$E$7,'Activity Planner'!$AA$5:$AA$1004,"&gt;0"))</f>
        <v>0</v>
      </c>
      <c r="E39" s="23">
        <f>IF($A39="","",COUNTIFS('Activity Planner'!$C$5:$C$1004,$A39,'Activity Planner'!$AA$5:$AA$1004,"&gt;0"))</f>
        <v>0</v>
      </c>
      <c r="F39" s="24">
        <f>IF($A39="","",COUNTIFS('Activity Planner'!$C$5:$C$1004,$A39,'Activity Planner'!$E$5:$E$1004,"Event",'Activity Planner'!$AA$5:$AA$1004,"&gt;0"))</f>
        <v>0</v>
      </c>
    </row>
    <row r="40" spans="1:14">
      <c r="A40" s="22">
        <f>$A9</f>
        <v>0</v>
      </c>
      <c r="B40" s="24">
        <f>IF($A40="","",COUNTIFS('Activity Planner'!$C$5:$C$1004,$A40,'Activity Planner'!$D$5:$D$1004,Lists!$E$5,'Activity Planner'!$AA$5:$AA$1004,"&gt;0"))</f>
        <v>0</v>
      </c>
      <c r="C40" s="24">
        <f>IF($A40="","",COUNTIFS('Activity Planner'!$C$5:$C$1004,$A40,'Activity Planner'!$D$5:$D$1004,Lists!$E$6,'Activity Planner'!$AA$5:$AA$1004,"&gt;0"))</f>
        <v>0</v>
      </c>
      <c r="D40" s="24">
        <f>IF($A40="","",COUNTIFS('Activity Planner'!$C$5:$C$1004,$A40,'Activity Planner'!$D$5:$D$1004,Lists!$E$7,'Activity Planner'!$AA$5:$AA$1004,"&gt;0"))</f>
        <v>0</v>
      </c>
      <c r="E40" s="23">
        <f>IF($A40="","",COUNTIFS('Activity Planner'!$C$5:$C$1004,$A40,'Activity Planner'!$AA$5:$AA$1004,"&gt;0"))</f>
        <v>0</v>
      </c>
      <c r="F40" s="24">
        <f>IF($A40="","",COUNTIFS('Activity Planner'!$C$5:$C$1004,$A40,'Activity Planner'!$E$5:$E$1004,"Event",'Activity Planner'!$AA$5:$AA$1004,"&gt;0"))</f>
        <v>0</v>
      </c>
    </row>
    <row r="41" spans="1:14">
      <c r="A41" s="22">
        <f>$A10</f>
        <v>0</v>
      </c>
      <c r="B41" s="24">
        <f>IF($A41="","",COUNTIFS('Activity Planner'!$C$5:$C$1004,$A41,'Activity Planner'!$D$5:$D$1004,Lists!$E$5,'Activity Planner'!$AA$5:$AA$1004,"&gt;0"))</f>
        <v>0</v>
      </c>
      <c r="C41" s="24">
        <f>IF($A41="","",COUNTIFS('Activity Planner'!$C$5:$C$1004,$A41,'Activity Planner'!$D$5:$D$1004,Lists!$E$6,'Activity Planner'!$AA$5:$AA$1004,"&gt;0"))</f>
        <v>0</v>
      </c>
      <c r="D41" s="24">
        <f>IF($A41="","",COUNTIFS('Activity Planner'!$C$5:$C$1004,$A41,'Activity Planner'!$D$5:$D$1004,Lists!$E$7,'Activity Planner'!$AA$5:$AA$1004,"&gt;0"))</f>
        <v>0</v>
      </c>
      <c r="E41" s="23">
        <f>IF($A41="","",COUNTIFS('Activity Planner'!$C$5:$C$1004,$A41,'Activity Planner'!$AA$5:$AA$1004,"&gt;0"))</f>
        <v>0</v>
      </c>
      <c r="F41" s="24">
        <f>IF($A41="","",COUNTIFS('Activity Planner'!$C$5:$C$1004,$A41,'Activity Planner'!$E$5:$E$1004,"Event",'Activity Planner'!$AA$5:$AA$1004,"&gt;0"))</f>
        <v>0</v>
      </c>
    </row>
    <row r="42" spans="1:14">
      <c r="A42" s="22">
        <f>$A11</f>
        <v>0</v>
      </c>
      <c r="B42" s="24">
        <f>IF($A42="","",COUNTIFS('Activity Planner'!$C$5:$C$1004,$A42,'Activity Planner'!$D$5:$D$1004,Lists!$E$5,'Activity Planner'!$AA$5:$AA$1004,"&gt;0"))</f>
        <v>0</v>
      </c>
      <c r="C42" s="24">
        <f>IF($A42="","",COUNTIFS('Activity Planner'!$C$5:$C$1004,$A42,'Activity Planner'!$D$5:$D$1004,Lists!$E$6,'Activity Planner'!$AA$5:$AA$1004,"&gt;0"))</f>
        <v>0</v>
      </c>
      <c r="D42" s="24">
        <f>IF($A42="","",COUNTIFS('Activity Planner'!$C$5:$C$1004,$A42,'Activity Planner'!$D$5:$D$1004,Lists!$E$7,'Activity Planner'!$AA$5:$AA$1004,"&gt;0"))</f>
        <v>0</v>
      </c>
      <c r="E42" s="23">
        <f>IF($A42="","",COUNTIFS('Activity Planner'!$C$5:$C$1004,$A42,'Activity Planner'!$AA$5:$AA$1004,"&gt;0"))</f>
        <v>0</v>
      </c>
      <c r="F42" s="24">
        <f>IF($A42="","",COUNTIFS('Activity Planner'!$C$5:$C$1004,$A42,'Activity Planner'!$E$5:$E$1004,"Event",'Activity Planner'!$AA$5:$AA$1004,"&gt;0"))</f>
        <v>0</v>
      </c>
    </row>
    <row r="43" spans="1:14">
      <c r="A43" s="22">
        <f>$A12</f>
        <v>0</v>
      </c>
      <c r="B43" s="24">
        <f>IF($A43="","",COUNTIFS('Activity Planner'!$C$5:$C$1004,$A43,'Activity Planner'!$D$5:$D$1004,Lists!$E$5,'Activity Planner'!$AA$5:$AA$1004,"&gt;0"))</f>
        <v>0</v>
      </c>
      <c r="C43" s="24">
        <f>IF($A43="","",COUNTIFS('Activity Planner'!$C$5:$C$1004,$A43,'Activity Planner'!$D$5:$D$1004,Lists!$E$6,'Activity Planner'!$AA$5:$AA$1004,"&gt;0"))</f>
        <v>0</v>
      </c>
      <c r="D43" s="24">
        <f>IF($A43="","",COUNTIFS('Activity Planner'!$C$5:$C$1004,$A43,'Activity Planner'!$D$5:$D$1004,Lists!$E$7,'Activity Planner'!$AA$5:$AA$1004,"&gt;0"))</f>
        <v>0</v>
      </c>
      <c r="E43" s="23">
        <f>IF($A43="","",COUNTIFS('Activity Planner'!$C$5:$C$1004,$A43,'Activity Planner'!$AA$5:$AA$1004,"&gt;0"))</f>
        <v>0</v>
      </c>
      <c r="F43" s="24">
        <f>IF($A43="","",COUNTIFS('Activity Planner'!$C$5:$C$1004,$A43,'Activity Planner'!$E$5:$E$1004,"Event",'Activity Planner'!$AA$5:$AA$1004,"&gt;0"))</f>
        <v>0</v>
      </c>
    </row>
    <row r="44" spans="1:14">
      <c r="A44" s="22">
        <f>$A13</f>
        <v>0</v>
      </c>
      <c r="B44" s="24">
        <f>IF($A44="","",COUNTIFS('Activity Planner'!$C$5:$C$1004,$A44,'Activity Planner'!$D$5:$D$1004,Lists!$E$5,'Activity Planner'!$AA$5:$AA$1004,"&gt;0"))</f>
        <v>0</v>
      </c>
      <c r="C44" s="24">
        <f>IF($A44="","",COUNTIFS('Activity Planner'!$C$5:$C$1004,$A44,'Activity Planner'!$D$5:$D$1004,Lists!$E$6,'Activity Planner'!$AA$5:$AA$1004,"&gt;0"))</f>
        <v>0</v>
      </c>
      <c r="D44" s="24">
        <f>IF($A44="","",COUNTIFS('Activity Planner'!$C$5:$C$1004,$A44,'Activity Planner'!$D$5:$D$1004,Lists!$E$7,'Activity Planner'!$AA$5:$AA$1004,"&gt;0"))</f>
        <v>0</v>
      </c>
      <c r="E44" s="23">
        <f>IF($A44="","",COUNTIFS('Activity Planner'!$C$5:$C$1004,$A44,'Activity Planner'!$AA$5:$AA$1004,"&gt;0"))</f>
        <v>0</v>
      </c>
      <c r="F44" s="24">
        <f>IF($A44="","",COUNTIFS('Activity Planner'!$C$5:$C$1004,$A44,'Activity Planner'!$E$5:$E$1004,"Event",'Activity Planner'!$AA$5:$AA$1004,"&gt;0"))</f>
        <v>0</v>
      </c>
    </row>
    <row r="45" spans="1:14">
      <c r="A45" s="22">
        <f>$A14</f>
        <v>0</v>
      </c>
      <c r="B45" s="24">
        <f>IF($A45="","",COUNTIFS('Activity Planner'!$C$5:$C$1004,$A45,'Activity Planner'!$D$5:$D$1004,Lists!$E$5,'Activity Planner'!$AA$5:$AA$1004,"&gt;0"))</f>
        <v>0</v>
      </c>
      <c r="C45" s="24">
        <f>IF($A45="","",COUNTIFS('Activity Planner'!$C$5:$C$1004,$A45,'Activity Planner'!$D$5:$D$1004,Lists!$E$6,'Activity Planner'!$AA$5:$AA$1004,"&gt;0"))</f>
        <v>0</v>
      </c>
      <c r="D45" s="24">
        <f>IF($A45="","",COUNTIFS('Activity Planner'!$C$5:$C$1004,$A45,'Activity Planner'!$D$5:$D$1004,Lists!$E$7,'Activity Planner'!$AA$5:$AA$1004,"&gt;0"))</f>
        <v>0</v>
      </c>
      <c r="E45" s="23">
        <f>IF($A45="","",COUNTIFS('Activity Planner'!$C$5:$C$1004,$A45,'Activity Planner'!$AA$5:$AA$1004,"&gt;0"))</f>
        <v>0</v>
      </c>
      <c r="F45" s="24">
        <f>IF($A45="","",COUNTIFS('Activity Planner'!$C$5:$C$1004,$A45,'Activity Planner'!$E$5:$E$1004,"Event",'Activity Planner'!$AA$5:$AA$1004,"&gt;0"))</f>
        <v>0</v>
      </c>
    </row>
    <row r="46" spans="1:14">
      <c r="A46" s="22">
        <f>$A15</f>
        <v>0</v>
      </c>
      <c r="B46" s="24">
        <f>IF($A46="","",COUNTIFS('Activity Planner'!$C$5:$C$1004,$A46,'Activity Planner'!$D$5:$D$1004,Lists!$E$5,'Activity Planner'!$AA$5:$AA$1004,"&gt;0"))</f>
        <v>0</v>
      </c>
      <c r="C46" s="24">
        <f>IF($A46="","",COUNTIFS('Activity Planner'!$C$5:$C$1004,$A46,'Activity Planner'!$D$5:$D$1004,Lists!$E$6,'Activity Planner'!$AA$5:$AA$1004,"&gt;0"))</f>
        <v>0</v>
      </c>
      <c r="D46" s="24">
        <f>IF($A46="","",COUNTIFS('Activity Planner'!$C$5:$C$1004,$A46,'Activity Planner'!$D$5:$D$1004,Lists!$E$7,'Activity Planner'!$AA$5:$AA$1004,"&gt;0"))</f>
        <v>0</v>
      </c>
      <c r="E46" s="23">
        <f>IF($A46="","",COUNTIFS('Activity Planner'!$C$5:$C$1004,$A46,'Activity Planner'!$AA$5:$AA$1004,"&gt;0"))</f>
        <v>0</v>
      </c>
      <c r="F46" s="24">
        <f>IF($A46="","",COUNTIFS('Activity Planner'!$C$5:$C$1004,$A46,'Activity Planner'!$E$5:$E$1004,"Event",'Activity Planner'!$AA$5:$AA$1004,"&gt;0"))</f>
        <v>0</v>
      </c>
    </row>
    <row r="47" spans="1:14">
      <c r="A47" s="22">
        <f>$A16</f>
        <v>0</v>
      </c>
      <c r="B47" s="24">
        <f>IF($A47="","",COUNTIFS('Activity Planner'!$C$5:$C$1004,$A47,'Activity Planner'!$D$5:$D$1004,Lists!$E$5,'Activity Planner'!$AA$5:$AA$1004,"&gt;0"))</f>
        <v>0</v>
      </c>
      <c r="C47" s="24">
        <f>IF($A47="","",COUNTIFS('Activity Planner'!$C$5:$C$1004,$A47,'Activity Planner'!$D$5:$D$1004,Lists!$E$6,'Activity Planner'!$AA$5:$AA$1004,"&gt;0"))</f>
        <v>0</v>
      </c>
      <c r="D47" s="24">
        <f>IF($A47="","",COUNTIFS('Activity Planner'!$C$5:$C$1004,$A47,'Activity Planner'!$D$5:$D$1004,Lists!$E$7,'Activity Planner'!$AA$5:$AA$1004,"&gt;0"))</f>
        <v>0</v>
      </c>
      <c r="E47" s="23">
        <f>IF($A47="","",COUNTIFS('Activity Planner'!$C$5:$C$1004,$A47,'Activity Planner'!$AA$5:$AA$1004,"&gt;0"))</f>
        <v>0</v>
      </c>
      <c r="F47" s="24">
        <f>IF($A47="","",COUNTIFS('Activity Planner'!$C$5:$C$1004,$A47,'Activity Planner'!$E$5:$E$1004,"Event",'Activity Planner'!$AA$5:$AA$1004,"&gt;0"))</f>
        <v>0</v>
      </c>
    </row>
    <row r="48" spans="1:14">
      <c r="A48" s="22">
        <f>$A17</f>
        <v>0</v>
      </c>
      <c r="B48" s="24">
        <f>IF($A48="","",COUNTIFS('Activity Planner'!$C$5:$C$1004,$A48,'Activity Planner'!$D$5:$D$1004,Lists!$E$5,'Activity Planner'!$AA$5:$AA$1004,"&gt;0"))</f>
        <v>0</v>
      </c>
      <c r="C48" s="24">
        <f>IF($A48="","",COUNTIFS('Activity Planner'!$C$5:$C$1004,$A48,'Activity Planner'!$D$5:$D$1004,Lists!$E$6,'Activity Planner'!$AA$5:$AA$1004,"&gt;0"))</f>
        <v>0</v>
      </c>
      <c r="D48" s="24">
        <f>IF($A48="","",COUNTIFS('Activity Planner'!$C$5:$C$1004,$A48,'Activity Planner'!$D$5:$D$1004,Lists!$E$7,'Activity Planner'!$AA$5:$AA$1004,"&gt;0"))</f>
        <v>0</v>
      </c>
      <c r="E48" s="23">
        <f>IF($A48="","",COUNTIFS('Activity Planner'!$C$5:$C$1004,$A48,'Activity Planner'!$AA$5:$AA$1004,"&gt;0"))</f>
        <v>0</v>
      </c>
      <c r="F48" s="24">
        <f>IF($A48="","",COUNTIFS('Activity Planner'!$C$5:$C$1004,$A48,'Activity Planner'!$E$5:$E$1004,"Event",'Activity Planner'!$AA$5:$AA$1004,"&gt;0"))</f>
        <v>0</v>
      </c>
    </row>
    <row r="49" spans="1:14">
      <c r="A49" s="22">
        <f>$A18</f>
        <v>0</v>
      </c>
      <c r="B49" s="24">
        <f>IF($A49="","",COUNTIFS('Activity Planner'!$C$5:$C$1004,$A49,'Activity Planner'!$D$5:$D$1004,Lists!$E$5,'Activity Planner'!$AA$5:$AA$1004,"&gt;0"))</f>
        <v>0</v>
      </c>
      <c r="C49" s="24">
        <f>IF($A49="","",COUNTIFS('Activity Planner'!$C$5:$C$1004,$A49,'Activity Planner'!$D$5:$D$1004,Lists!$E$6,'Activity Planner'!$AA$5:$AA$1004,"&gt;0"))</f>
        <v>0</v>
      </c>
      <c r="D49" s="24">
        <f>IF($A49="","",COUNTIFS('Activity Planner'!$C$5:$C$1004,$A49,'Activity Planner'!$D$5:$D$1004,Lists!$E$7,'Activity Planner'!$AA$5:$AA$1004,"&gt;0"))</f>
        <v>0</v>
      </c>
      <c r="E49" s="23">
        <f>IF($A49="","",COUNTIFS('Activity Planner'!$C$5:$C$1004,$A49,'Activity Planner'!$AA$5:$AA$1004,"&gt;0"))</f>
        <v>0</v>
      </c>
      <c r="F49" s="24">
        <f>IF($A49="","",COUNTIFS('Activity Planner'!$C$5:$C$1004,$A49,'Activity Planner'!$E$5:$E$1004,"Event",'Activity Planner'!$AA$5:$AA$1004,"&gt;0"))</f>
        <v>0</v>
      </c>
    </row>
    <row r="52" spans="1:14">
      <c r="A52" s="4" t="s">
        <v>140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12"/>
      <c r="B53" s="13" t="s">
        <v>108</v>
      </c>
      <c r="C53" s="13" t="s">
        <v>109</v>
      </c>
      <c r="D53" s="13" t="s">
        <v>110</v>
      </c>
      <c r="E53" s="13" t="s">
        <v>111</v>
      </c>
      <c r="F53" s="13" t="s">
        <v>112</v>
      </c>
      <c r="G53" s="13" t="s">
        <v>113</v>
      </c>
      <c r="H53" s="13" t="s">
        <v>114</v>
      </c>
      <c r="I53" s="13" t="s">
        <v>115</v>
      </c>
      <c r="J53" s="13" t="s">
        <v>116</v>
      </c>
      <c r="K53" s="13" t="s">
        <v>117</v>
      </c>
      <c r="L53" s="13" t="s">
        <v>118</v>
      </c>
      <c r="M53" s="13" t="s">
        <v>119</v>
      </c>
    </row>
    <row r="54" spans="1:14">
      <c r="A54" s="22">
        <f>$A7</f>
        <v>0</v>
      </c>
      <c r="B54" s="28">
        <f>IF($A54="","",Calc!B3)</f>
        <v>0</v>
      </c>
      <c r="C54" s="28">
        <f>IF($A54="","",Calc!C3)</f>
        <v>0</v>
      </c>
      <c r="D54" s="28">
        <f>IF($A54="","",Calc!D3)</f>
        <v>0</v>
      </c>
      <c r="E54" s="28">
        <f>IF($A54="","",Calc!E3)</f>
        <v>0</v>
      </c>
      <c r="F54" s="28">
        <f>IF($A54="","",Calc!F3)</f>
        <v>0</v>
      </c>
      <c r="G54" s="28">
        <f>IF($A54="","",Calc!G3)</f>
        <v>0</v>
      </c>
      <c r="H54" s="28">
        <f>IF($A54="","",Calc!H3)</f>
        <v>0</v>
      </c>
      <c r="I54" s="28">
        <f>IF($A54="","",Calc!I3)</f>
        <v>0</v>
      </c>
      <c r="J54" s="28">
        <f>IF($A54="","",Calc!J3)</f>
        <v>0</v>
      </c>
      <c r="K54" s="28">
        <f>IF($A54="","",Calc!K3)</f>
        <v>0</v>
      </c>
      <c r="L54" s="28">
        <f>IF($A54="","",Calc!L3)</f>
        <v>0</v>
      </c>
      <c r="M54" s="28">
        <f>IF($A54="","",Calc!M3)</f>
        <v>0</v>
      </c>
    </row>
    <row r="55" spans="1:14">
      <c r="A55" s="22">
        <f>$A8</f>
        <v>0</v>
      </c>
      <c r="B55" s="28">
        <f>IF($A55="","",Calc!B4)</f>
        <v>0</v>
      </c>
      <c r="C55" s="28">
        <f>IF($A55="","",Calc!C4)</f>
        <v>0</v>
      </c>
      <c r="D55" s="28">
        <f>IF($A55="","",Calc!D4)</f>
        <v>0</v>
      </c>
      <c r="E55" s="28">
        <f>IF($A55="","",Calc!E4)</f>
        <v>0</v>
      </c>
      <c r="F55" s="28">
        <f>IF($A55="","",Calc!F4)</f>
        <v>0</v>
      </c>
      <c r="G55" s="28">
        <f>IF($A55="","",Calc!G4)</f>
        <v>0</v>
      </c>
      <c r="H55" s="28">
        <f>IF($A55="","",Calc!H4)</f>
        <v>0</v>
      </c>
      <c r="I55" s="28">
        <f>IF($A55="","",Calc!I4)</f>
        <v>0</v>
      </c>
      <c r="J55" s="28">
        <f>IF($A55="","",Calc!J4)</f>
        <v>0</v>
      </c>
      <c r="K55" s="28">
        <f>IF($A55="","",Calc!K4)</f>
        <v>0</v>
      </c>
      <c r="L55" s="28">
        <f>IF($A55="","",Calc!L4)</f>
        <v>0</v>
      </c>
      <c r="M55" s="28">
        <f>IF($A55="","",Calc!M4)</f>
        <v>0</v>
      </c>
    </row>
    <row r="56" spans="1:14">
      <c r="A56" s="22">
        <f>$A9</f>
        <v>0</v>
      </c>
      <c r="B56" s="28">
        <f>IF($A56="","",Calc!B5)</f>
        <v>0</v>
      </c>
      <c r="C56" s="28">
        <f>IF($A56="","",Calc!C5)</f>
        <v>0</v>
      </c>
      <c r="D56" s="28">
        <f>IF($A56="","",Calc!D5)</f>
        <v>0</v>
      </c>
      <c r="E56" s="28">
        <f>IF($A56="","",Calc!E5)</f>
        <v>0</v>
      </c>
      <c r="F56" s="28">
        <f>IF($A56="","",Calc!F5)</f>
        <v>0</v>
      </c>
      <c r="G56" s="28">
        <f>IF($A56="","",Calc!G5)</f>
        <v>0</v>
      </c>
      <c r="H56" s="28">
        <f>IF($A56="","",Calc!H5)</f>
        <v>0</v>
      </c>
      <c r="I56" s="28">
        <f>IF($A56="","",Calc!I5)</f>
        <v>0</v>
      </c>
      <c r="J56" s="28">
        <f>IF($A56="","",Calc!J5)</f>
        <v>0</v>
      </c>
      <c r="K56" s="28">
        <f>IF($A56="","",Calc!K5)</f>
        <v>0</v>
      </c>
      <c r="L56" s="28">
        <f>IF($A56="","",Calc!L5)</f>
        <v>0</v>
      </c>
      <c r="M56" s="28">
        <f>IF($A56="","",Calc!M5)</f>
        <v>0</v>
      </c>
    </row>
    <row r="57" spans="1:14">
      <c r="A57" s="22">
        <f>$A10</f>
        <v>0</v>
      </c>
      <c r="B57" s="28">
        <f>IF($A57="","",Calc!B6)</f>
        <v>0</v>
      </c>
      <c r="C57" s="28">
        <f>IF($A57="","",Calc!C6)</f>
        <v>0</v>
      </c>
      <c r="D57" s="28">
        <f>IF($A57="","",Calc!D6)</f>
        <v>0</v>
      </c>
      <c r="E57" s="28">
        <f>IF($A57="","",Calc!E6)</f>
        <v>0</v>
      </c>
      <c r="F57" s="28">
        <f>IF($A57="","",Calc!F6)</f>
        <v>0</v>
      </c>
      <c r="G57" s="28">
        <f>IF($A57="","",Calc!G6)</f>
        <v>0</v>
      </c>
      <c r="H57" s="28">
        <f>IF($A57="","",Calc!H6)</f>
        <v>0</v>
      </c>
      <c r="I57" s="28">
        <f>IF($A57="","",Calc!I6)</f>
        <v>0</v>
      </c>
      <c r="J57" s="28">
        <f>IF($A57="","",Calc!J6)</f>
        <v>0</v>
      </c>
      <c r="K57" s="28">
        <f>IF($A57="","",Calc!K6)</f>
        <v>0</v>
      </c>
      <c r="L57" s="28">
        <f>IF($A57="","",Calc!L6)</f>
        <v>0</v>
      </c>
      <c r="M57" s="28">
        <f>IF($A57="","",Calc!M6)</f>
        <v>0</v>
      </c>
    </row>
    <row r="58" spans="1:14">
      <c r="A58" s="22">
        <f>$A11</f>
        <v>0</v>
      </c>
      <c r="B58" s="28">
        <f>IF($A58="","",Calc!B7)</f>
        <v>0</v>
      </c>
      <c r="C58" s="28">
        <f>IF($A58="","",Calc!C7)</f>
        <v>0</v>
      </c>
      <c r="D58" s="28">
        <f>IF($A58="","",Calc!D7)</f>
        <v>0</v>
      </c>
      <c r="E58" s="28">
        <f>IF($A58="","",Calc!E7)</f>
        <v>0</v>
      </c>
      <c r="F58" s="28">
        <f>IF($A58="","",Calc!F7)</f>
        <v>0</v>
      </c>
      <c r="G58" s="28">
        <f>IF($A58="","",Calc!G7)</f>
        <v>0</v>
      </c>
      <c r="H58" s="28">
        <f>IF($A58="","",Calc!H7)</f>
        <v>0</v>
      </c>
      <c r="I58" s="28">
        <f>IF($A58="","",Calc!I7)</f>
        <v>0</v>
      </c>
      <c r="J58" s="28">
        <f>IF($A58="","",Calc!J7)</f>
        <v>0</v>
      </c>
      <c r="K58" s="28">
        <f>IF($A58="","",Calc!K7)</f>
        <v>0</v>
      </c>
      <c r="L58" s="28">
        <f>IF($A58="","",Calc!L7)</f>
        <v>0</v>
      </c>
      <c r="M58" s="28">
        <f>IF($A58="","",Calc!M7)</f>
        <v>0</v>
      </c>
    </row>
    <row r="59" spans="1:14">
      <c r="A59" s="22">
        <f>$A12</f>
        <v>0</v>
      </c>
      <c r="B59" s="28">
        <f>IF($A59="","",Calc!B8)</f>
        <v>0</v>
      </c>
      <c r="C59" s="28">
        <f>IF($A59="","",Calc!C8)</f>
        <v>0</v>
      </c>
      <c r="D59" s="28">
        <f>IF($A59="","",Calc!D8)</f>
        <v>0</v>
      </c>
      <c r="E59" s="28">
        <f>IF($A59="","",Calc!E8)</f>
        <v>0</v>
      </c>
      <c r="F59" s="28">
        <f>IF($A59="","",Calc!F8)</f>
        <v>0</v>
      </c>
      <c r="G59" s="28">
        <f>IF($A59="","",Calc!G8)</f>
        <v>0</v>
      </c>
      <c r="H59" s="28">
        <f>IF($A59="","",Calc!H8)</f>
        <v>0</v>
      </c>
      <c r="I59" s="28">
        <f>IF($A59="","",Calc!I8)</f>
        <v>0</v>
      </c>
      <c r="J59" s="28">
        <f>IF($A59="","",Calc!J8)</f>
        <v>0</v>
      </c>
      <c r="K59" s="28">
        <f>IF($A59="","",Calc!K8)</f>
        <v>0</v>
      </c>
      <c r="L59" s="28">
        <f>IF($A59="","",Calc!L8)</f>
        <v>0</v>
      </c>
      <c r="M59" s="28">
        <f>IF($A59="","",Calc!M8)</f>
        <v>0</v>
      </c>
    </row>
    <row r="60" spans="1:14">
      <c r="A60" s="22">
        <f>$A13</f>
        <v>0</v>
      </c>
      <c r="B60" s="28">
        <f>IF($A60="","",Calc!B9)</f>
        <v>0</v>
      </c>
      <c r="C60" s="28">
        <f>IF($A60="","",Calc!C9)</f>
        <v>0</v>
      </c>
      <c r="D60" s="28">
        <f>IF($A60="","",Calc!D9)</f>
        <v>0</v>
      </c>
      <c r="E60" s="28">
        <f>IF($A60="","",Calc!E9)</f>
        <v>0</v>
      </c>
      <c r="F60" s="28">
        <f>IF($A60="","",Calc!F9)</f>
        <v>0</v>
      </c>
      <c r="G60" s="28">
        <f>IF($A60="","",Calc!G9)</f>
        <v>0</v>
      </c>
      <c r="H60" s="28">
        <f>IF($A60="","",Calc!H9)</f>
        <v>0</v>
      </c>
      <c r="I60" s="28">
        <f>IF($A60="","",Calc!I9)</f>
        <v>0</v>
      </c>
      <c r="J60" s="28">
        <f>IF($A60="","",Calc!J9)</f>
        <v>0</v>
      </c>
      <c r="K60" s="28">
        <f>IF($A60="","",Calc!K9)</f>
        <v>0</v>
      </c>
      <c r="L60" s="28">
        <f>IF($A60="","",Calc!L9)</f>
        <v>0</v>
      </c>
      <c r="M60" s="28">
        <f>IF($A60="","",Calc!M9)</f>
        <v>0</v>
      </c>
    </row>
    <row r="61" spans="1:14">
      <c r="A61" s="22">
        <f>$A14</f>
        <v>0</v>
      </c>
      <c r="B61" s="28">
        <f>IF($A61="","",Calc!B10)</f>
        <v>0</v>
      </c>
      <c r="C61" s="28">
        <f>IF($A61="","",Calc!C10)</f>
        <v>0</v>
      </c>
      <c r="D61" s="28">
        <f>IF($A61="","",Calc!D10)</f>
        <v>0</v>
      </c>
      <c r="E61" s="28">
        <f>IF($A61="","",Calc!E10)</f>
        <v>0</v>
      </c>
      <c r="F61" s="28">
        <f>IF($A61="","",Calc!F10)</f>
        <v>0</v>
      </c>
      <c r="G61" s="28">
        <f>IF($A61="","",Calc!G10)</f>
        <v>0</v>
      </c>
      <c r="H61" s="28">
        <f>IF($A61="","",Calc!H10)</f>
        <v>0</v>
      </c>
      <c r="I61" s="28">
        <f>IF($A61="","",Calc!I10)</f>
        <v>0</v>
      </c>
      <c r="J61" s="28">
        <f>IF($A61="","",Calc!J10)</f>
        <v>0</v>
      </c>
      <c r="K61" s="28">
        <f>IF($A61="","",Calc!K10)</f>
        <v>0</v>
      </c>
      <c r="L61" s="28">
        <f>IF($A61="","",Calc!L10)</f>
        <v>0</v>
      </c>
      <c r="M61" s="28">
        <f>IF($A61="","",Calc!M10)</f>
        <v>0</v>
      </c>
    </row>
    <row r="62" spans="1:14">
      <c r="A62" s="22">
        <f>$A15</f>
        <v>0</v>
      </c>
      <c r="B62" s="28">
        <f>IF($A62="","",Calc!B11)</f>
        <v>0</v>
      </c>
      <c r="C62" s="28">
        <f>IF($A62="","",Calc!C11)</f>
        <v>0</v>
      </c>
      <c r="D62" s="28">
        <f>IF($A62="","",Calc!D11)</f>
        <v>0</v>
      </c>
      <c r="E62" s="28">
        <f>IF($A62="","",Calc!E11)</f>
        <v>0</v>
      </c>
      <c r="F62" s="28">
        <f>IF($A62="","",Calc!F11)</f>
        <v>0</v>
      </c>
      <c r="G62" s="28">
        <f>IF($A62="","",Calc!G11)</f>
        <v>0</v>
      </c>
      <c r="H62" s="28">
        <f>IF($A62="","",Calc!H11)</f>
        <v>0</v>
      </c>
      <c r="I62" s="28">
        <f>IF($A62="","",Calc!I11)</f>
        <v>0</v>
      </c>
      <c r="J62" s="28">
        <f>IF($A62="","",Calc!J11)</f>
        <v>0</v>
      </c>
      <c r="K62" s="28">
        <f>IF($A62="","",Calc!K11)</f>
        <v>0</v>
      </c>
      <c r="L62" s="28">
        <f>IF($A62="","",Calc!L11)</f>
        <v>0</v>
      </c>
      <c r="M62" s="28">
        <f>IF($A62="","",Calc!M11)</f>
        <v>0</v>
      </c>
    </row>
    <row r="63" spans="1:14">
      <c r="A63" s="22">
        <f>$A16</f>
        <v>0</v>
      </c>
      <c r="B63" s="28">
        <f>IF($A63="","",Calc!B12)</f>
        <v>0</v>
      </c>
      <c r="C63" s="28">
        <f>IF($A63="","",Calc!C12)</f>
        <v>0</v>
      </c>
      <c r="D63" s="28">
        <f>IF($A63="","",Calc!D12)</f>
        <v>0</v>
      </c>
      <c r="E63" s="28">
        <f>IF($A63="","",Calc!E12)</f>
        <v>0</v>
      </c>
      <c r="F63" s="28">
        <f>IF($A63="","",Calc!F12)</f>
        <v>0</v>
      </c>
      <c r="G63" s="28">
        <f>IF($A63="","",Calc!G12)</f>
        <v>0</v>
      </c>
      <c r="H63" s="28">
        <f>IF($A63="","",Calc!H12)</f>
        <v>0</v>
      </c>
      <c r="I63" s="28">
        <f>IF($A63="","",Calc!I12)</f>
        <v>0</v>
      </c>
      <c r="J63" s="28">
        <f>IF($A63="","",Calc!J12)</f>
        <v>0</v>
      </c>
      <c r="K63" s="28">
        <f>IF($A63="","",Calc!K12)</f>
        <v>0</v>
      </c>
      <c r="L63" s="28">
        <f>IF($A63="","",Calc!L12)</f>
        <v>0</v>
      </c>
      <c r="M63" s="28">
        <f>IF($A63="","",Calc!M12)</f>
        <v>0</v>
      </c>
    </row>
    <row r="64" spans="1:14">
      <c r="A64" s="22">
        <f>$A17</f>
        <v>0</v>
      </c>
      <c r="B64" s="28">
        <f>IF($A64="","",Calc!B13)</f>
        <v>0</v>
      </c>
      <c r="C64" s="28">
        <f>IF($A64="","",Calc!C13)</f>
        <v>0</v>
      </c>
      <c r="D64" s="28">
        <f>IF($A64="","",Calc!D13)</f>
        <v>0</v>
      </c>
      <c r="E64" s="28">
        <f>IF($A64="","",Calc!E13)</f>
        <v>0</v>
      </c>
      <c r="F64" s="28">
        <f>IF($A64="","",Calc!F13)</f>
        <v>0</v>
      </c>
      <c r="G64" s="28">
        <f>IF($A64="","",Calc!G13)</f>
        <v>0</v>
      </c>
      <c r="H64" s="28">
        <f>IF($A64="","",Calc!H13)</f>
        <v>0</v>
      </c>
      <c r="I64" s="28">
        <f>IF($A64="","",Calc!I13)</f>
        <v>0</v>
      </c>
      <c r="J64" s="28">
        <f>IF($A64="","",Calc!J13)</f>
        <v>0</v>
      </c>
      <c r="K64" s="28">
        <f>IF($A64="","",Calc!K13)</f>
        <v>0</v>
      </c>
      <c r="L64" s="28">
        <f>IF($A64="","",Calc!L13)</f>
        <v>0</v>
      </c>
      <c r="M64" s="28">
        <f>IF($A64="","",Calc!M13)</f>
        <v>0</v>
      </c>
    </row>
    <row r="65" spans="1:13">
      <c r="A65" s="22">
        <f>$A18</f>
        <v>0</v>
      </c>
      <c r="B65" s="28">
        <f>IF($A65="","",Calc!B14)</f>
        <v>0</v>
      </c>
      <c r="C65" s="28">
        <f>IF($A65="","",Calc!C14)</f>
        <v>0</v>
      </c>
      <c r="D65" s="28">
        <f>IF($A65="","",Calc!D14)</f>
        <v>0</v>
      </c>
      <c r="E65" s="28">
        <f>IF($A65="","",Calc!E14)</f>
        <v>0</v>
      </c>
      <c r="F65" s="28">
        <f>IF($A65="","",Calc!F14)</f>
        <v>0</v>
      </c>
      <c r="G65" s="28">
        <f>IF($A65="","",Calc!G14)</f>
        <v>0</v>
      </c>
      <c r="H65" s="28">
        <f>IF($A65="","",Calc!H14)</f>
        <v>0</v>
      </c>
      <c r="I65" s="28">
        <f>IF($A65="","",Calc!I14)</f>
        <v>0</v>
      </c>
      <c r="J65" s="28">
        <f>IF($A65="","",Calc!J14)</f>
        <v>0</v>
      </c>
      <c r="K65" s="28">
        <f>IF($A65="","",Calc!K14)</f>
        <v>0</v>
      </c>
      <c r="L65" s="28">
        <f>IF($A65="","",Calc!L14)</f>
        <v>0</v>
      </c>
      <c r="M65" s="28">
        <f>IF($A65="","",Calc!M14)</f>
        <v>0</v>
      </c>
    </row>
    <row r="66" spans="1:13">
      <c r="A66" s="11">
        <f>"Orange = crowded ("&amp;CollisionThreshold&amp;"+ in one month)   Grey = gap   Blue = active"</f>
        <v>0</v>
      </c>
    </row>
  </sheetData>
  <sheetProtection sheet="1" objects="1" scenarios="1" formatColumns="0" formatRows="0"/>
  <mergeCells count="12">
    <mergeCell ref="B20:C20"/>
    <mergeCell ref="D20:E20"/>
    <mergeCell ref="F20:G20"/>
    <mergeCell ref="B22:E22"/>
    <mergeCell ref="B23:E24"/>
    <mergeCell ref="F22:I22"/>
    <mergeCell ref="F23:I24"/>
    <mergeCell ref="J22:M22"/>
    <mergeCell ref="J23:M24"/>
    <mergeCell ref="A26:N26"/>
    <mergeCell ref="A36:N36"/>
    <mergeCell ref="A52:N52"/>
  </mergeCells>
  <conditionalFormatting sqref="B54:M65">
    <cfRule type="expression" dxfId="16" priority="37">
      <formula>AND(ISNUMBER(B54),B54&gt;=CollisionThreshold)</formula>
    </cfRule>
    <cfRule type="expression" dxfId="17" priority="38">
      <formula>AND(ISNUMBER(B54),B54=0)</formula>
    </cfRule>
    <cfRule type="expression" dxfId="18" priority="39">
      <formula>AND(ISNUMBER(B54),B54&gt;0)</formula>
    </cfRule>
  </conditionalFormatting>
  <conditionalFormatting sqref="B7:B18">
    <cfRule type="expression" dxfId="13" priority="1">
      <formula>Calc!B78=3</formula>
    </cfRule>
    <cfRule type="expression" dxfId="14" priority="2">
      <formula>Calc!B78=2</formula>
    </cfRule>
    <cfRule type="expression" dxfId="15" priority="3">
      <formula>Calc!B78=1</formula>
    </cfRule>
  </conditionalFormatting>
  <conditionalFormatting sqref="C7:C18">
    <cfRule type="expression" dxfId="13" priority="4">
      <formula>Calc!C78=3</formula>
    </cfRule>
    <cfRule type="expression" dxfId="14" priority="5">
      <formula>Calc!C78=2</formula>
    </cfRule>
    <cfRule type="expression" dxfId="15" priority="6">
      <formula>Calc!C78=1</formula>
    </cfRule>
  </conditionalFormatting>
  <conditionalFormatting sqref="D7:D18">
    <cfRule type="expression" dxfId="13" priority="7">
      <formula>Calc!D78=3</formula>
    </cfRule>
    <cfRule type="expression" dxfId="14" priority="8">
      <formula>Calc!D78=2</formula>
    </cfRule>
    <cfRule type="expression" dxfId="15" priority="9">
      <formula>Calc!D78=1</formula>
    </cfRule>
  </conditionalFormatting>
  <conditionalFormatting sqref="E7:E18">
    <cfRule type="expression" dxfId="13" priority="10">
      <formula>Calc!E78=3</formula>
    </cfRule>
    <cfRule type="expression" dxfId="14" priority="11">
      <formula>Calc!E78=2</formula>
    </cfRule>
    <cfRule type="expression" dxfId="15" priority="12">
      <formula>Calc!E78=1</formula>
    </cfRule>
  </conditionalFormatting>
  <conditionalFormatting sqref="F7:F18">
    <cfRule type="expression" dxfId="13" priority="13">
      <formula>Calc!F78=3</formula>
    </cfRule>
    <cfRule type="expression" dxfId="14" priority="14">
      <formula>Calc!F78=2</formula>
    </cfRule>
    <cfRule type="expression" dxfId="15" priority="15">
      <formula>Calc!F78=1</formula>
    </cfRule>
  </conditionalFormatting>
  <conditionalFormatting sqref="G7:G18">
    <cfRule type="expression" dxfId="13" priority="16">
      <formula>Calc!G78=3</formula>
    </cfRule>
    <cfRule type="expression" dxfId="14" priority="17">
      <formula>Calc!G78=2</formula>
    </cfRule>
    <cfRule type="expression" dxfId="15" priority="18">
      <formula>Calc!G78=1</formula>
    </cfRule>
  </conditionalFormatting>
  <conditionalFormatting sqref="H7:H18">
    <cfRule type="expression" dxfId="13" priority="19">
      <formula>Calc!H78=3</formula>
    </cfRule>
    <cfRule type="expression" dxfId="14" priority="20">
      <formula>Calc!H78=2</formula>
    </cfRule>
    <cfRule type="expression" dxfId="15" priority="21">
      <formula>Calc!H78=1</formula>
    </cfRule>
  </conditionalFormatting>
  <conditionalFormatting sqref="I7:I18">
    <cfRule type="expression" dxfId="13" priority="22">
      <formula>Calc!I78=3</formula>
    </cfRule>
    <cfRule type="expression" dxfId="14" priority="23">
      <formula>Calc!I78=2</formula>
    </cfRule>
    <cfRule type="expression" dxfId="15" priority="24">
      <formula>Calc!I78=1</formula>
    </cfRule>
  </conditionalFormatting>
  <conditionalFormatting sqref="J7:J18">
    <cfRule type="expression" dxfId="13" priority="25">
      <formula>Calc!J78=3</formula>
    </cfRule>
    <cfRule type="expression" dxfId="14" priority="26">
      <formula>Calc!J78=2</formula>
    </cfRule>
    <cfRule type="expression" dxfId="15" priority="27">
      <formula>Calc!J78=1</formula>
    </cfRule>
  </conditionalFormatting>
  <conditionalFormatting sqref="K7:K18">
    <cfRule type="expression" dxfId="13" priority="28">
      <formula>Calc!K78=3</formula>
    </cfRule>
    <cfRule type="expression" dxfId="14" priority="29">
      <formula>Calc!K78=2</formula>
    </cfRule>
    <cfRule type="expression" dxfId="15" priority="30">
      <formula>Calc!K78=1</formula>
    </cfRule>
  </conditionalFormatting>
  <conditionalFormatting sqref="L7:L18">
    <cfRule type="expression" dxfId="13" priority="31">
      <formula>Calc!L78=3</formula>
    </cfRule>
    <cfRule type="expression" dxfId="14" priority="32">
      <formula>Calc!L78=2</formula>
    </cfRule>
    <cfRule type="expression" dxfId="15" priority="33">
      <formula>Calc!L78=1</formula>
    </cfRule>
  </conditionalFormatting>
  <conditionalFormatting sqref="M7:M18">
    <cfRule type="expression" dxfId="13" priority="34">
      <formula>Calc!M78=3</formula>
    </cfRule>
    <cfRule type="expression" dxfId="14" priority="35">
      <formula>Calc!M78=2</formula>
    </cfRule>
    <cfRule type="expression" dxfId="15" priority="36">
      <formula>Calc!M78=1</formula>
    </cfRule>
  </conditionalFormatting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4"/>
  <sheetViews>
    <sheetView showGridLines="0" workbookViewId="0"/>
  </sheetViews>
  <sheetFormatPr defaultRowHeight="15"/>
  <cols>
    <col min="1" max="1" width="28.7109375" customWidth="1"/>
    <col min="2" max="2" width="16.7109375" customWidth="1"/>
    <col min="3" max="3" width="30.7109375" customWidth="1"/>
    <col min="4" max="4" width="22.7109375" customWidth="1"/>
    <col min="5" max="5" width="26.7109375" customWidth="1"/>
    <col min="6" max="6" width="16.7109375" customWidth="1"/>
    <col min="7" max="7" width="14.7109375" customWidth="1"/>
    <col min="8" max="8" width="18.7109375" customWidth="1"/>
    <col min="11" max="11" width="6.7109375" hidden="1" customWidth="1"/>
  </cols>
  <sheetData>
    <row r="1" spans="1:11">
      <c r="A1" s="1" t="s">
        <v>141</v>
      </c>
      <c r="K1">
        <f>MATCH($B$5,MonthList,0)</f>
        <v>0</v>
      </c>
    </row>
    <row r="2" spans="1:11" ht="32" customHeight="1">
      <c r="A2" s="2" t="s">
        <v>142</v>
      </c>
    </row>
    <row r="3" spans="1:11">
      <c r="A3" s="3" t="s">
        <v>143</v>
      </c>
    </row>
    <row r="5" spans="1:11">
      <c r="A5" s="29" t="s">
        <v>144</v>
      </c>
      <c r="B5" s="30" t="s">
        <v>34</v>
      </c>
      <c r="C5" s="11">
        <f>"Planning year "&amp;PlanYear&amp;"   |   Showing: "&amp;StatusFilter</f>
        <v>0</v>
      </c>
    </row>
    <row r="7" spans="1:11" ht="28" customHeight="1">
      <c r="A7" s="31" t="s">
        <v>145</v>
      </c>
      <c r="B7" s="31" t="s">
        <v>139</v>
      </c>
      <c r="C7" s="31" t="s">
        <v>135</v>
      </c>
      <c r="D7" s="32" t="s">
        <v>136</v>
      </c>
      <c r="E7" s="33" t="s">
        <v>137</v>
      </c>
    </row>
    <row r="8" spans="1:11" ht="36" customHeight="1">
      <c r="A8" s="34">
        <f>SUMPRODUCT(INDEX('Activity Planner'!$O$5:$Z$1004,0,SelMonthNum))</f>
        <v>0</v>
      </c>
      <c r="B8" s="34">
        <f>SUMPRODUCT(INDEX('Activity Planner'!$O$5:$Z$1004,0,SelMonthNum)*('Activity Planner'!$E$5:$E$1004="Event"))</f>
        <v>0</v>
      </c>
      <c r="C8" s="34">
        <f>SUMPRODUCT(INDEX('Activity Planner'!$O$5:$Z$1004,0,SelMonthNum)*('Activity Planner'!$D$5:$D$1004=Lists!$E$5))</f>
        <v>0</v>
      </c>
      <c r="D8" s="34">
        <f>SUMPRODUCT(INDEX('Activity Planner'!$O$5:$Z$1004,0,SelMonthNum)*('Activity Planner'!$D$5:$D$1004=Lists!$E$6))</f>
        <v>0</v>
      </c>
      <c r="E8" s="34">
        <f>SUMPRODUCT(INDEX('Activity Planner'!$O$5:$Z$1004,0,SelMonthNum)*('Activity Planner'!$D$5:$D$1004=Lists!$E$7))</f>
        <v>0</v>
      </c>
    </row>
    <row r="11" spans="1:11">
      <c r="A11" s="4" t="s">
        <v>146</v>
      </c>
      <c r="B11" s="4"/>
      <c r="C11" s="4"/>
      <c r="D11" s="4"/>
      <c r="E11" s="4"/>
      <c r="F11" s="4"/>
      <c r="G11" s="4"/>
      <c r="H11" s="4"/>
    </row>
    <row r="12" spans="1:11" ht="30" customHeight="1">
      <c r="A12" s="12" t="s">
        <v>134</v>
      </c>
      <c r="B12" s="31" t="s">
        <v>25</v>
      </c>
      <c r="C12" s="32" t="s">
        <v>26</v>
      </c>
      <c r="D12" s="33" t="s">
        <v>27</v>
      </c>
      <c r="E12" s="31" t="s">
        <v>138</v>
      </c>
    </row>
    <row r="13" spans="1:11">
      <c r="A13" s="22">
        <f>IF(Lists!$B$5="","",Lists!$B$5)</f>
        <v>0</v>
      </c>
      <c r="B13" s="24">
        <f>IF($A13="","",SUMPRODUCT(INDEX('Activity Planner'!$O$5:$Z$1004,0,SelMonthNum)*('Activity Planner'!$C$5:$C$1004=$A13)*('Activity Planner'!$D$5:$D$1004=Lists!$E$5)))</f>
        <v>0</v>
      </c>
      <c r="C13" s="24">
        <f>IF($A13="","",SUMPRODUCT(INDEX('Activity Planner'!$O$5:$Z$1004,0,SelMonthNum)*('Activity Planner'!$C$5:$C$1004=$A13)*('Activity Planner'!$D$5:$D$1004=Lists!$E$6)))</f>
        <v>0</v>
      </c>
      <c r="D13" s="24">
        <f>IF($A13="","",SUMPRODUCT(INDEX('Activity Planner'!$O$5:$Z$1004,0,SelMonthNum)*('Activity Planner'!$C$5:$C$1004=$A13)*('Activity Planner'!$D$5:$D$1004=Lists!$E$7)))</f>
        <v>0</v>
      </c>
      <c r="E13" s="23">
        <f>IF($A13="","",SUM(B13:D13))</f>
        <v>0</v>
      </c>
    </row>
    <row r="14" spans="1:11">
      <c r="A14" s="22">
        <f>IF(Lists!$B$6="","",Lists!$B$6)</f>
        <v>0</v>
      </c>
      <c r="B14" s="24">
        <f>IF($A14="","",SUMPRODUCT(INDEX('Activity Planner'!$O$5:$Z$1004,0,SelMonthNum)*('Activity Planner'!$C$5:$C$1004=$A14)*('Activity Planner'!$D$5:$D$1004=Lists!$E$5)))</f>
        <v>0</v>
      </c>
      <c r="C14" s="24">
        <f>IF($A14="","",SUMPRODUCT(INDEX('Activity Planner'!$O$5:$Z$1004,0,SelMonthNum)*('Activity Planner'!$C$5:$C$1004=$A14)*('Activity Planner'!$D$5:$D$1004=Lists!$E$6)))</f>
        <v>0</v>
      </c>
      <c r="D14" s="24">
        <f>IF($A14="","",SUMPRODUCT(INDEX('Activity Planner'!$O$5:$Z$1004,0,SelMonthNum)*('Activity Planner'!$C$5:$C$1004=$A14)*('Activity Planner'!$D$5:$D$1004=Lists!$E$7)))</f>
        <v>0</v>
      </c>
      <c r="E14" s="23">
        <f>IF($A14="","",SUM(B14:D14))</f>
        <v>0</v>
      </c>
    </row>
    <row r="15" spans="1:11">
      <c r="A15" s="22">
        <f>IF(Lists!$B$7="","",Lists!$B$7)</f>
        <v>0</v>
      </c>
      <c r="B15" s="24">
        <f>IF($A15="","",SUMPRODUCT(INDEX('Activity Planner'!$O$5:$Z$1004,0,SelMonthNum)*('Activity Planner'!$C$5:$C$1004=$A15)*('Activity Planner'!$D$5:$D$1004=Lists!$E$5)))</f>
        <v>0</v>
      </c>
      <c r="C15" s="24">
        <f>IF($A15="","",SUMPRODUCT(INDEX('Activity Planner'!$O$5:$Z$1004,0,SelMonthNum)*('Activity Planner'!$C$5:$C$1004=$A15)*('Activity Planner'!$D$5:$D$1004=Lists!$E$6)))</f>
        <v>0</v>
      </c>
      <c r="D15" s="24">
        <f>IF($A15="","",SUMPRODUCT(INDEX('Activity Planner'!$O$5:$Z$1004,0,SelMonthNum)*('Activity Planner'!$C$5:$C$1004=$A15)*('Activity Planner'!$D$5:$D$1004=Lists!$E$7)))</f>
        <v>0</v>
      </c>
      <c r="E15" s="23">
        <f>IF($A15="","",SUM(B15:D15))</f>
        <v>0</v>
      </c>
    </row>
    <row r="16" spans="1:11">
      <c r="A16" s="22">
        <f>IF(Lists!$B$8="","",Lists!$B$8)</f>
        <v>0</v>
      </c>
      <c r="B16" s="24">
        <f>IF($A16="","",SUMPRODUCT(INDEX('Activity Planner'!$O$5:$Z$1004,0,SelMonthNum)*('Activity Planner'!$C$5:$C$1004=$A16)*('Activity Planner'!$D$5:$D$1004=Lists!$E$5)))</f>
        <v>0</v>
      </c>
      <c r="C16" s="24">
        <f>IF($A16="","",SUMPRODUCT(INDEX('Activity Planner'!$O$5:$Z$1004,0,SelMonthNum)*('Activity Planner'!$C$5:$C$1004=$A16)*('Activity Planner'!$D$5:$D$1004=Lists!$E$6)))</f>
        <v>0</v>
      </c>
      <c r="D16" s="24">
        <f>IF($A16="","",SUMPRODUCT(INDEX('Activity Planner'!$O$5:$Z$1004,0,SelMonthNum)*('Activity Planner'!$C$5:$C$1004=$A16)*('Activity Planner'!$D$5:$D$1004=Lists!$E$7)))</f>
        <v>0</v>
      </c>
      <c r="E16" s="23">
        <f>IF($A16="","",SUM(B16:D16))</f>
        <v>0</v>
      </c>
    </row>
    <row r="17" spans="1:8">
      <c r="A17" s="22">
        <f>IF(Lists!$B$9="","",Lists!$B$9)</f>
        <v>0</v>
      </c>
      <c r="B17" s="24">
        <f>IF($A17="","",SUMPRODUCT(INDEX('Activity Planner'!$O$5:$Z$1004,0,SelMonthNum)*('Activity Planner'!$C$5:$C$1004=$A17)*('Activity Planner'!$D$5:$D$1004=Lists!$E$5)))</f>
        <v>0</v>
      </c>
      <c r="C17" s="24">
        <f>IF($A17="","",SUMPRODUCT(INDEX('Activity Planner'!$O$5:$Z$1004,0,SelMonthNum)*('Activity Planner'!$C$5:$C$1004=$A17)*('Activity Planner'!$D$5:$D$1004=Lists!$E$6)))</f>
        <v>0</v>
      </c>
      <c r="D17" s="24">
        <f>IF($A17="","",SUMPRODUCT(INDEX('Activity Planner'!$O$5:$Z$1004,0,SelMonthNum)*('Activity Planner'!$C$5:$C$1004=$A17)*('Activity Planner'!$D$5:$D$1004=Lists!$E$7)))</f>
        <v>0</v>
      </c>
      <c r="E17" s="23">
        <f>IF($A17="","",SUM(B17:D17))</f>
        <v>0</v>
      </c>
    </row>
    <row r="18" spans="1:8">
      <c r="A18" s="22">
        <f>IF(Lists!$B$10="","",Lists!$B$10)</f>
        <v>0</v>
      </c>
      <c r="B18" s="24">
        <f>IF($A18="","",SUMPRODUCT(INDEX('Activity Planner'!$O$5:$Z$1004,0,SelMonthNum)*('Activity Planner'!$C$5:$C$1004=$A18)*('Activity Planner'!$D$5:$D$1004=Lists!$E$5)))</f>
        <v>0</v>
      </c>
      <c r="C18" s="24">
        <f>IF($A18="","",SUMPRODUCT(INDEX('Activity Planner'!$O$5:$Z$1004,0,SelMonthNum)*('Activity Planner'!$C$5:$C$1004=$A18)*('Activity Planner'!$D$5:$D$1004=Lists!$E$6)))</f>
        <v>0</v>
      </c>
      <c r="D18" s="24">
        <f>IF($A18="","",SUMPRODUCT(INDEX('Activity Planner'!$O$5:$Z$1004,0,SelMonthNum)*('Activity Planner'!$C$5:$C$1004=$A18)*('Activity Planner'!$D$5:$D$1004=Lists!$E$7)))</f>
        <v>0</v>
      </c>
      <c r="E18" s="23">
        <f>IF($A18="","",SUM(B18:D18))</f>
        <v>0</v>
      </c>
    </row>
    <row r="19" spans="1:8">
      <c r="A19" s="22">
        <f>IF(Lists!$B$11="","",Lists!$B$11)</f>
        <v>0</v>
      </c>
      <c r="B19" s="24">
        <f>IF($A19="","",SUMPRODUCT(INDEX('Activity Planner'!$O$5:$Z$1004,0,SelMonthNum)*('Activity Planner'!$C$5:$C$1004=$A19)*('Activity Planner'!$D$5:$D$1004=Lists!$E$5)))</f>
        <v>0</v>
      </c>
      <c r="C19" s="24">
        <f>IF($A19="","",SUMPRODUCT(INDEX('Activity Planner'!$O$5:$Z$1004,0,SelMonthNum)*('Activity Planner'!$C$5:$C$1004=$A19)*('Activity Planner'!$D$5:$D$1004=Lists!$E$6)))</f>
        <v>0</v>
      </c>
      <c r="D19" s="24">
        <f>IF($A19="","",SUMPRODUCT(INDEX('Activity Planner'!$O$5:$Z$1004,0,SelMonthNum)*('Activity Planner'!$C$5:$C$1004=$A19)*('Activity Planner'!$D$5:$D$1004=Lists!$E$7)))</f>
        <v>0</v>
      </c>
      <c r="E19" s="23">
        <f>IF($A19="","",SUM(B19:D19))</f>
        <v>0</v>
      </c>
    </row>
    <row r="20" spans="1:8">
      <c r="A20" s="22">
        <f>IF(Lists!$B$12="","",Lists!$B$12)</f>
        <v>0</v>
      </c>
      <c r="B20" s="24">
        <f>IF($A20="","",SUMPRODUCT(INDEX('Activity Planner'!$O$5:$Z$1004,0,SelMonthNum)*('Activity Planner'!$C$5:$C$1004=$A20)*('Activity Planner'!$D$5:$D$1004=Lists!$E$5)))</f>
        <v>0</v>
      </c>
      <c r="C20" s="24">
        <f>IF($A20="","",SUMPRODUCT(INDEX('Activity Planner'!$O$5:$Z$1004,0,SelMonthNum)*('Activity Planner'!$C$5:$C$1004=$A20)*('Activity Planner'!$D$5:$D$1004=Lists!$E$6)))</f>
        <v>0</v>
      </c>
      <c r="D20" s="24">
        <f>IF($A20="","",SUMPRODUCT(INDEX('Activity Planner'!$O$5:$Z$1004,0,SelMonthNum)*('Activity Planner'!$C$5:$C$1004=$A20)*('Activity Planner'!$D$5:$D$1004=Lists!$E$7)))</f>
        <v>0</v>
      </c>
      <c r="E20" s="23">
        <f>IF($A20="","",SUM(B20:D20))</f>
        <v>0</v>
      </c>
    </row>
    <row r="21" spans="1:8">
      <c r="A21" s="22">
        <f>IF(Lists!$B$13="","",Lists!$B$13)</f>
        <v>0</v>
      </c>
      <c r="B21" s="24">
        <f>IF($A21="","",SUMPRODUCT(INDEX('Activity Planner'!$O$5:$Z$1004,0,SelMonthNum)*('Activity Planner'!$C$5:$C$1004=$A21)*('Activity Planner'!$D$5:$D$1004=Lists!$E$5)))</f>
        <v>0</v>
      </c>
      <c r="C21" s="24">
        <f>IF($A21="","",SUMPRODUCT(INDEX('Activity Planner'!$O$5:$Z$1004,0,SelMonthNum)*('Activity Planner'!$C$5:$C$1004=$A21)*('Activity Planner'!$D$5:$D$1004=Lists!$E$6)))</f>
        <v>0</v>
      </c>
      <c r="D21" s="24">
        <f>IF($A21="","",SUMPRODUCT(INDEX('Activity Planner'!$O$5:$Z$1004,0,SelMonthNum)*('Activity Planner'!$C$5:$C$1004=$A21)*('Activity Planner'!$D$5:$D$1004=Lists!$E$7)))</f>
        <v>0</v>
      </c>
      <c r="E21" s="23">
        <f>IF($A21="","",SUM(B21:D21))</f>
        <v>0</v>
      </c>
    </row>
    <row r="22" spans="1:8">
      <c r="A22" s="22">
        <f>IF(Lists!$B$14="","",Lists!$B$14)</f>
        <v>0</v>
      </c>
      <c r="B22" s="24">
        <f>IF($A22="","",SUMPRODUCT(INDEX('Activity Planner'!$O$5:$Z$1004,0,SelMonthNum)*('Activity Planner'!$C$5:$C$1004=$A22)*('Activity Planner'!$D$5:$D$1004=Lists!$E$5)))</f>
        <v>0</v>
      </c>
      <c r="C22" s="24">
        <f>IF($A22="","",SUMPRODUCT(INDEX('Activity Planner'!$O$5:$Z$1004,0,SelMonthNum)*('Activity Planner'!$C$5:$C$1004=$A22)*('Activity Planner'!$D$5:$D$1004=Lists!$E$6)))</f>
        <v>0</v>
      </c>
      <c r="D22" s="24">
        <f>IF($A22="","",SUMPRODUCT(INDEX('Activity Planner'!$O$5:$Z$1004,0,SelMonthNum)*('Activity Planner'!$C$5:$C$1004=$A22)*('Activity Planner'!$D$5:$D$1004=Lists!$E$7)))</f>
        <v>0</v>
      </c>
      <c r="E22" s="23">
        <f>IF($A22="","",SUM(B22:D22))</f>
        <v>0</v>
      </c>
    </row>
    <row r="23" spans="1:8">
      <c r="A23" s="22">
        <f>IF(Lists!$B$15="","",Lists!$B$15)</f>
        <v>0</v>
      </c>
      <c r="B23" s="24">
        <f>IF($A23="","",SUMPRODUCT(INDEX('Activity Planner'!$O$5:$Z$1004,0,SelMonthNum)*('Activity Planner'!$C$5:$C$1004=$A23)*('Activity Planner'!$D$5:$D$1004=Lists!$E$5)))</f>
        <v>0</v>
      </c>
      <c r="C23" s="24">
        <f>IF($A23="","",SUMPRODUCT(INDEX('Activity Planner'!$O$5:$Z$1004,0,SelMonthNum)*('Activity Planner'!$C$5:$C$1004=$A23)*('Activity Planner'!$D$5:$D$1004=Lists!$E$6)))</f>
        <v>0</v>
      </c>
      <c r="D23" s="24">
        <f>IF($A23="","",SUMPRODUCT(INDEX('Activity Planner'!$O$5:$Z$1004,0,SelMonthNum)*('Activity Planner'!$C$5:$C$1004=$A23)*('Activity Planner'!$D$5:$D$1004=Lists!$E$7)))</f>
        <v>0</v>
      </c>
      <c r="E23" s="23">
        <f>IF($A23="","",SUM(B23:D23))</f>
        <v>0</v>
      </c>
    </row>
    <row r="24" spans="1:8">
      <c r="A24" s="22">
        <f>IF(Lists!$B$16="","",Lists!$B$16)</f>
        <v>0</v>
      </c>
      <c r="B24" s="24">
        <f>IF($A24="","",SUMPRODUCT(INDEX('Activity Planner'!$O$5:$Z$1004,0,SelMonthNum)*('Activity Planner'!$C$5:$C$1004=$A24)*('Activity Planner'!$D$5:$D$1004=Lists!$E$5)))</f>
        <v>0</v>
      </c>
      <c r="C24" s="24">
        <f>IF($A24="","",SUMPRODUCT(INDEX('Activity Planner'!$O$5:$Z$1004,0,SelMonthNum)*('Activity Planner'!$C$5:$C$1004=$A24)*('Activity Planner'!$D$5:$D$1004=Lists!$E$6)))</f>
        <v>0</v>
      </c>
      <c r="D24" s="24">
        <f>IF($A24="","",SUMPRODUCT(INDEX('Activity Planner'!$O$5:$Z$1004,0,SelMonthNum)*('Activity Planner'!$C$5:$C$1004=$A24)*('Activity Planner'!$D$5:$D$1004=Lists!$E$7)))</f>
        <v>0</v>
      </c>
      <c r="E24" s="23">
        <f>IF($A24="","",SUM(B24:D24))</f>
        <v>0</v>
      </c>
    </row>
    <row r="26" spans="1:8">
      <c r="A26" s="4" t="s">
        <v>147</v>
      </c>
      <c r="B26" s="4"/>
      <c r="C26" s="4"/>
      <c r="D26" s="4"/>
      <c r="E26" s="4"/>
      <c r="F26" s="4"/>
      <c r="G26" s="4"/>
      <c r="H26" s="4"/>
    </row>
    <row r="27" spans="1:8">
      <c r="A27" s="12"/>
      <c r="B27" s="13">
        <f>IF(1&gt;DAY(EOMONTH(DATE(PlanYear,SelMonthNum,1),0)),"","Week 1  ("&amp;1&amp;"-"&amp;MIN(7,DAY(EOMONTH(DATE(PlanYear,SelMonthNum,1),0)))&amp;")")</f>
        <v>0</v>
      </c>
      <c r="C27" s="13">
        <f>IF(8&gt;DAY(EOMONTH(DATE(PlanYear,SelMonthNum,1),0)),"","Week 2  ("&amp;8&amp;"-"&amp;MIN(14,DAY(EOMONTH(DATE(PlanYear,SelMonthNum,1),0)))&amp;")")</f>
        <v>0</v>
      </c>
      <c r="D27" s="13">
        <f>IF(15&gt;DAY(EOMONTH(DATE(PlanYear,SelMonthNum,1),0)),"","Week 3  ("&amp;15&amp;"-"&amp;MIN(21,DAY(EOMONTH(DATE(PlanYear,SelMonthNum,1),0)))&amp;")")</f>
        <v>0</v>
      </c>
      <c r="E27" s="13">
        <f>IF(22&gt;DAY(EOMONTH(DATE(PlanYear,SelMonthNum,1),0)),"","Week 4  ("&amp;22&amp;"-"&amp;MIN(28,DAY(EOMONTH(DATE(PlanYear,SelMonthNum,1),0)))&amp;")")</f>
        <v>0</v>
      </c>
      <c r="F27" s="13">
        <f>IF(29&gt;DAY(EOMONTH(DATE(PlanYear,SelMonthNum,1),0)),"","Week 5  ("&amp;29&amp;"-"&amp;MIN(35,DAY(EOMONTH(DATE(PlanYear,SelMonthNum,1),0)))&amp;")")</f>
        <v>0</v>
      </c>
    </row>
    <row r="28" spans="1:8">
      <c r="A28" s="22" t="s">
        <v>148</v>
      </c>
      <c r="B28" s="23">
        <f>IF(1&gt;DAY(EOMONTH(DATE(PlanYear,SelMonthNum,1),0)),"",SUMPRODUCT(('Activity Planner'!$N$5:$N$1004=1)*('Activity Planner'!$F$5:$F$1004&lt;=MIN(DATE(PlanYear,SelMonthNum,7),EOMONTH(DATE(PlanYear,SelMonthNum,1),0)))*(IF(ISNUMBER('Activity Planner'!$G$5:$G$1004),'Activity Planner'!$G$5:$G$1004,'Activity Planner'!$F$5:$F$1004)&gt;=DATE(PlanYear,SelMonthNum,1))))</f>
        <v>0</v>
      </c>
      <c r="C28" s="23">
        <f>IF(8&gt;DAY(EOMONTH(DATE(PlanYear,SelMonthNum,1),0)),"",SUMPRODUCT(('Activity Planner'!$N$5:$N$1004=1)*('Activity Planner'!$F$5:$F$1004&lt;=MIN(DATE(PlanYear,SelMonthNum,14),EOMONTH(DATE(PlanYear,SelMonthNum,1),0)))*(IF(ISNUMBER('Activity Planner'!$G$5:$G$1004),'Activity Planner'!$G$5:$G$1004,'Activity Planner'!$F$5:$F$1004)&gt;=DATE(PlanYear,SelMonthNum,8))))</f>
        <v>0</v>
      </c>
      <c r="D28" s="23">
        <f>IF(15&gt;DAY(EOMONTH(DATE(PlanYear,SelMonthNum,1),0)),"",SUMPRODUCT(('Activity Planner'!$N$5:$N$1004=1)*('Activity Planner'!$F$5:$F$1004&lt;=MIN(DATE(PlanYear,SelMonthNum,21),EOMONTH(DATE(PlanYear,SelMonthNum,1),0)))*(IF(ISNUMBER('Activity Planner'!$G$5:$G$1004),'Activity Planner'!$G$5:$G$1004,'Activity Planner'!$F$5:$F$1004)&gt;=DATE(PlanYear,SelMonthNum,15))))</f>
        <v>0</v>
      </c>
      <c r="E28" s="23">
        <f>IF(22&gt;DAY(EOMONTH(DATE(PlanYear,SelMonthNum,1),0)),"",SUMPRODUCT(('Activity Planner'!$N$5:$N$1004=1)*('Activity Planner'!$F$5:$F$1004&lt;=MIN(DATE(PlanYear,SelMonthNum,28),EOMONTH(DATE(PlanYear,SelMonthNum,1),0)))*(IF(ISNUMBER('Activity Planner'!$G$5:$G$1004),'Activity Planner'!$G$5:$G$1004,'Activity Planner'!$F$5:$F$1004)&gt;=DATE(PlanYear,SelMonthNum,22))))</f>
        <v>0</v>
      </c>
      <c r="F28" s="23">
        <f>IF(29&gt;DAY(EOMONTH(DATE(PlanYear,SelMonthNum,1),0)),"",SUMPRODUCT(('Activity Planner'!$N$5:$N$1004=1)*('Activity Planner'!$F$5:$F$1004&lt;=MIN(DATE(PlanYear,SelMonthNum,35),EOMONTH(DATE(PlanYear,SelMonthNum,1),0)))*(IF(ISNUMBER('Activity Planner'!$G$5:$G$1004),'Activity Planner'!$G$5:$G$1004,'Activity Planner'!$F$5:$F$1004)&gt;=DATE(PlanYear,SelMonthNum,29))))</f>
        <v>0</v>
      </c>
    </row>
    <row r="29" spans="1:8" ht="96" customHeight="1">
      <c r="A29" s="22" t="s">
        <v>149</v>
      </c>
      <c r="B29" s="15">
        <f t="array" ref="B29">IF(1&gt;DAY(EOMONTH(DATE(PlanYear,SelMonthNum,1),0)),"",_xlfn.TEXTJOIN(CHAR(10),TRUE,IFERROR(INDEX('Activity Planner'!$B$5:$B$1004,SMALL(IF(('Activity Planner'!$N$5:$N$1004=1)*('Activity Planner'!$F$5:$F$1004&lt;=MIN(DATE(PlanYear,SelMonthNum,7),EOMONTH(DATE(PlanYear,SelMonthNum,1),0)))*(IF(ISNUMBER('Activity Planner'!$G$5:$G$1004),'Activity Planner'!$G$5:$G$1004,'Activity Planner'!$F$5:$F$1004)&gt;=DATE(PlanYear,SelMonthNum,1)),ROW('Activity Planner'!$B$5:$B$1004)-4),{1,2,3,4,5})),""))&amp;IF(B28&gt;5,CHAR(10)&amp;"+"&amp;(B28-5)&amp;" more",""))</f>
        <v>0</v>
      </c>
      <c r="C29" s="15">
        <f t="array" ref="C29">IF(8&gt;DAY(EOMONTH(DATE(PlanYear,SelMonthNum,1),0)),"",_xlfn.TEXTJOIN(CHAR(10),TRUE,IFERROR(INDEX('Activity Planner'!$B$5:$B$1004,SMALL(IF(('Activity Planner'!$N$5:$N$1004=1)*('Activity Planner'!$F$5:$F$1004&lt;=MIN(DATE(PlanYear,SelMonthNum,14),EOMONTH(DATE(PlanYear,SelMonthNum,1),0)))*(IF(ISNUMBER('Activity Planner'!$G$5:$G$1004),'Activity Planner'!$G$5:$G$1004,'Activity Planner'!$F$5:$F$1004)&gt;=DATE(PlanYear,SelMonthNum,8)),ROW('Activity Planner'!$B$5:$B$1004)-4),{1,2,3,4,5})),""))&amp;IF(C28&gt;5,CHAR(10)&amp;"+"&amp;(C28-5)&amp;" more",""))</f>
        <v>0</v>
      </c>
      <c r="D29" s="15">
        <f t="array" ref="D29">IF(15&gt;DAY(EOMONTH(DATE(PlanYear,SelMonthNum,1),0)),"",_xlfn.TEXTJOIN(CHAR(10),TRUE,IFERROR(INDEX('Activity Planner'!$B$5:$B$1004,SMALL(IF(('Activity Planner'!$N$5:$N$1004=1)*('Activity Planner'!$F$5:$F$1004&lt;=MIN(DATE(PlanYear,SelMonthNum,21),EOMONTH(DATE(PlanYear,SelMonthNum,1),0)))*(IF(ISNUMBER('Activity Planner'!$G$5:$G$1004),'Activity Planner'!$G$5:$G$1004,'Activity Planner'!$F$5:$F$1004)&gt;=DATE(PlanYear,SelMonthNum,15)),ROW('Activity Planner'!$B$5:$B$1004)-4),{1,2,3,4,5})),""))&amp;IF(D28&gt;5,CHAR(10)&amp;"+"&amp;(D28-5)&amp;" more",""))</f>
        <v>0</v>
      </c>
      <c r="E29" s="15">
        <f t="array" ref="E29">IF(22&gt;DAY(EOMONTH(DATE(PlanYear,SelMonthNum,1),0)),"",_xlfn.TEXTJOIN(CHAR(10),TRUE,IFERROR(INDEX('Activity Planner'!$B$5:$B$1004,SMALL(IF(('Activity Planner'!$N$5:$N$1004=1)*('Activity Planner'!$F$5:$F$1004&lt;=MIN(DATE(PlanYear,SelMonthNum,28),EOMONTH(DATE(PlanYear,SelMonthNum,1),0)))*(IF(ISNUMBER('Activity Planner'!$G$5:$G$1004),'Activity Planner'!$G$5:$G$1004,'Activity Planner'!$F$5:$F$1004)&gt;=DATE(PlanYear,SelMonthNum,22)),ROW('Activity Planner'!$B$5:$B$1004)-4),{1,2,3,4,5})),""))&amp;IF(E28&gt;5,CHAR(10)&amp;"+"&amp;(E28-5)&amp;" more",""))</f>
        <v>0</v>
      </c>
      <c r="F29" s="15">
        <f t="array" ref="F29">IF(29&gt;DAY(EOMONTH(DATE(PlanYear,SelMonthNum,1),0)),"",_xlfn.TEXTJOIN(CHAR(10),TRUE,IFERROR(INDEX('Activity Planner'!$B$5:$B$1004,SMALL(IF(('Activity Planner'!$N$5:$N$1004=1)*('Activity Planner'!$F$5:$F$1004&lt;=MIN(DATE(PlanYear,SelMonthNum,35),EOMONTH(DATE(PlanYear,SelMonthNum,1),0)))*(IF(ISNUMBER('Activity Planner'!$G$5:$G$1004),'Activity Planner'!$G$5:$G$1004,'Activity Planner'!$F$5:$F$1004)&gt;=DATE(PlanYear,SelMonthNum,29)),ROW('Activity Planner'!$B$5:$B$1004)-4),{1,2,3,4,5})),""))&amp;IF(F28&gt;5,CHAR(10)&amp;"+"&amp;(F28-5)&amp;" more",""))</f>
        <v>0</v>
      </c>
    </row>
    <row r="31" spans="1:8">
      <c r="A31" s="4">
        <f>"ACTIVITIES IN "&amp;UPPER($B$5)&amp;" (sorted by start date)"</f>
        <v>0</v>
      </c>
      <c r="B31" s="4"/>
      <c r="C31" s="4"/>
      <c r="D31" s="4"/>
      <c r="E31" s="4"/>
      <c r="F31" s="4"/>
      <c r="G31" s="4"/>
      <c r="H31" s="4"/>
    </row>
    <row r="32" spans="1:8">
      <c r="A32" s="12" t="s">
        <v>150</v>
      </c>
      <c r="B32" s="13" t="s">
        <v>151</v>
      </c>
      <c r="C32" s="13" t="s">
        <v>152</v>
      </c>
      <c r="D32" s="13" t="s">
        <v>134</v>
      </c>
      <c r="E32" s="13" t="s">
        <v>153</v>
      </c>
      <c r="F32" s="13" t="s">
        <v>154</v>
      </c>
      <c r="G32" s="13" t="s">
        <v>155</v>
      </c>
      <c r="H32" s="13" t="s">
        <v>156</v>
      </c>
    </row>
    <row r="33" spans="1:11">
      <c r="A33" s="35">
        <f>IF($K33="","",IF(INDEX('Activity Planner'!$B$5:$B$1004,$K33)="","",INDEX('Activity Planner'!$B$5:$B$1004,$K33)))</f>
        <v>0</v>
      </c>
      <c r="B33" s="36">
        <f>IF($K33="","",IF(INDEX('Activity Planner'!$F$5:$F$1004,$K33)="","",INDEX('Activity Planner'!$F$5:$F$1004,$K33)))</f>
        <v>0</v>
      </c>
      <c r="C33" s="36">
        <f>IF($K33="","",IF(INDEX('Activity Planner'!$G$5:$G$1004,$K33)="","",INDEX('Activity Planner'!$G$5:$G$1004,$K33)))</f>
        <v>0</v>
      </c>
      <c r="D33" s="35">
        <f>IF($K33="","",IF(INDEX('Activity Planner'!$C$5:$C$1004,$K33)="","",INDEX('Activity Planner'!$C$5:$C$1004,$K33)))</f>
        <v>0</v>
      </c>
      <c r="E33" s="35">
        <f>IF($K33="","",IF(INDEX('Activity Planner'!$D$5:$D$1004,$K33)="","",INDEX('Activity Planner'!$D$5:$D$1004,$K33)))</f>
        <v>0</v>
      </c>
      <c r="F33" s="35">
        <f>IF($K33="","",IF(INDEX('Activity Planner'!$E$5:$E$1004,$K33)="","",INDEX('Activity Planner'!$E$5:$E$1004,$K33)))</f>
        <v>0</v>
      </c>
      <c r="G33" s="35">
        <f>IF($K33="","",IF(INDEX('Activity Planner'!$H$5:$H$1004,$K33)="","",INDEX('Activity Planner'!$H$5:$H$1004,$K33)))</f>
        <v>0</v>
      </c>
      <c r="H33" s="35">
        <f>IF($K33="","",IF(INDEX('Activity Planner'!$I$5:$I$1004,$K33)="","",INDEX('Activity Planner'!$I$5:$I$1004,$K33)))</f>
        <v>0</v>
      </c>
      <c r="K33">
        <f>IFERROR(MATCH(SMALL(Calc!$Q$5:$Q$1004,1),Calc!$Q$5:$Q$1004,0),"")</f>
        <v>0</v>
      </c>
    </row>
    <row r="34" spans="1:11">
      <c r="A34" s="35">
        <f>IF($K34="","",IF(INDEX('Activity Planner'!$B$5:$B$1004,$K34)="","",INDEX('Activity Planner'!$B$5:$B$1004,$K34)))</f>
        <v>0</v>
      </c>
      <c r="B34" s="36">
        <f>IF($K34="","",IF(INDEX('Activity Planner'!$F$5:$F$1004,$K34)="","",INDEX('Activity Planner'!$F$5:$F$1004,$K34)))</f>
        <v>0</v>
      </c>
      <c r="C34" s="36">
        <f>IF($K34="","",IF(INDEX('Activity Planner'!$G$5:$G$1004,$K34)="","",INDEX('Activity Planner'!$G$5:$G$1004,$K34)))</f>
        <v>0</v>
      </c>
      <c r="D34" s="35">
        <f>IF($K34="","",IF(INDEX('Activity Planner'!$C$5:$C$1004,$K34)="","",INDEX('Activity Planner'!$C$5:$C$1004,$K34)))</f>
        <v>0</v>
      </c>
      <c r="E34" s="35">
        <f>IF($K34="","",IF(INDEX('Activity Planner'!$D$5:$D$1004,$K34)="","",INDEX('Activity Planner'!$D$5:$D$1004,$K34)))</f>
        <v>0</v>
      </c>
      <c r="F34" s="35">
        <f>IF($K34="","",IF(INDEX('Activity Planner'!$E$5:$E$1004,$K34)="","",INDEX('Activity Planner'!$E$5:$E$1004,$K34)))</f>
        <v>0</v>
      </c>
      <c r="G34" s="35">
        <f>IF($K34="","",IF(INDEX('Activity Planner'!$H$5:$H$1004,$K34)="","",INDEX('Activity Planner'!$H$5:$H$1004,$K34)))</f>
        <v>0</v>
      </c>
      <c r="H34" s="35">
        <f>IF($K34="","",IF(INDEX('Activity Planner'!$I$5:$I$1004,$K34)="","",INDEX('Activity Planner'!$I$5:$I$1004,$K34)))</f>
        <v>0</v>
      </c>
      <c r="K34">
        <f>IFERROR(MATCH(SMALL(Calc!$Q$5:$Q$1004,2),Calc!$Q$5:$Q$1004,0),"")</f>
        <v>0</v>
      </c>
    </row>
    <row r="35" spans="1:11">
      <c r="A35" s="35">
        <f>IF($K35="","",IF(INDEX('Activity Planner'!$B$5:$B$1004,$K35)="","",INDEX('Activity Planner'!$B$5:$B$1004,$K35)))</f>
        <v>0</v>
      </c>
      <c r="B35" s="36">
        <f>IF($K35="","",IF(INDEX('Activity Planner'!$F$5:$F$1004,$K35)="","",INDEX('Activity Planner'!$F$5:$F$1004,$K35)))</f>
        <v>0</v>
      </c>
      <c r="C35" s="36">
        <f>IF($K35="","",IF(INDEX('Activity Planner'!$G$5:$G$1004,$K35)="","",INDEX('Activity Planner'!$G$5:$G$1004,$K35)))</f>
        <v>0</v>
      </c>
      <c r="D35" s="35">
        <f>IF($K35="","",IF(INDEX('Activity Planner'!$C$5:$C$1004,$K35)="","",INDEX('Activity Planner'!$C$5:$C$1004,$K35)))</f>
        <v>0</v>
      </c>
      <c r="E35" s="35">
        <f>IF($K35="","",IF(INDEX('Activity Planner'!$D$5:$D$1004,$K35)="","",INDEX('Activity Planner'!$D$5:$D$1004,$K35)))</f>
        <v>0</v>
      </c>
      <c r="F35" s="35">
        <f>IF($K35="","",IF(INDEX('Activity Planner'!$E$5:$E$1004,$K35)="","",INDEX('Activity Planner'!$E$5:$E$1004,$K35)))</f>
        <v>0</v>
      </c>
      <c r="G35" s="35">
        <f>IF($K35="","",IF(INDEX('Activity Planner'!$H$5:$H$1004,$K35)="","",INDEX('Activity Planner'!$H$5:$H$1004,$K35)))</f>
        <v>0</v>
      </c>
      <c r="H35" s="35">
        <f>IF($K35="","",IF(INDEX('Activity Planner'!$I$5:$I$1004,$K35)="","",INDEX('Activity Planner'!$I$5:$I$1004,$K35)))</f>
        <v>0</v>
      </c>
      <c r="K35">
        <f>IFERROR(MATCH(SMALL(Calc!$Q$5:$Q$1004,3),Calc!$Q$5:$Q$1004,0),"")</f>
        <v>0</v>
      </c>
    </row>
    <row r="36" spans="1:11">
      <c r="A36" s="35">
        <f>IF($K36="","",IF(INDEX('Activity Planner'!$B$5:$B$1004,$K36)="","",INDEX('Activity Planner'!$B$5:$B$1004,$K36)))</f>
        <v>0</v>
      </c>
      <c r="B36" s="36">
        <f>IF($K36="","",IF(INDEX('Activity Planner'!$F$5:$F$1004,$K36)="","",INDEX('Activity Planner'!$F$5:$F$1004,$K36)))</f>
        <v>0</v>
      </c>
      <c r="C36" s="36">
        <f>IF($K36="","",IF(INDEX('Activity Planner'!$G$5:$G$1004,$K36)="","",INDEX('Activity Planner'!$G$5:$G$1004,$K36)))</f>
        <v>0</v>
      </c>
      <c r="D36" s="35">
        <f>IF($K36="","",IF(INDEX('Activity Planner'!$C$5:$C$1004,$K36)="","",INDEX('Activity Planner'!$C$5:$C$1004,$K36)))</f>
        <v>0</v>
      </c>
      <c r="E36" s="35">
        <f>IF($K36="","",IF(INDEX('Activity Planner'!$D$5:$D$1004,$K36)="","",INDEX('Activity Planner'!$D$5:$D$1004,$K36)))</f>
        <v>0</v>
      </c>
      <c r="F36" s="35">
        <f>IF($K36="","",IF(INDEX('Activity Planner'!$E$5:$E$1004,$K36)="","",INDEX('Activity Planner'!$E$5:$E$1004,$K36)))</f>
        <v>0</v>
      </c>
      <c r="G36" s="35">
        <f>IF($K36="","",IF(INDEX('Activity Planner'!$H$5:$H$1004,$K36)="","",INDEX('Activity Planner'!$H$5:$H$1004,$K36)))</f>
        <v>0</v>
      </c>
      <c r="H36" s="35">
        <f>IF($K36="","",IF(INDEX('Activity Planner'!$I$5:$I$1004,$K36)="","",INDEX('Activity Planner'!$I$5:$I$1004,$K36)))</f>
        <v>0</v>
      </c>
      <c r="K36">
        <f>IFERROR(MATCH(SMALL(Calc!$Q$5:$Q$1004,4),Calc!$Q$5:$Q$1004,0),"")</f>
        <v>0</v>
      </c>
    </row>
    <row r="37" spans="1:11">
      <c r="A37" s="35">
        <f>IF($K37="","",IF(INDEX('Activity Planner'!$B$5:$B$1004,$K37)="","",INDEX('Activity Planner'!$B$5:$B$1004,$K37)))</f>
        <v>0</v>
      </c>
      <c r="B37" s="36">
        <f>IF($K37="","",IF(INDEX('Activity Planner'!$F$5:$F$1004,$K37)="","",INDEX('Activity Planner'!$F$5:$F$1004,$K37)))</f>
        <v>0</v>
      </c>
      <c r="C37" s="36">
        <f>IF($K37="","",IF(INDEX('Activity Planner'!$G$5:$G$1004,$K37)="","",INDEX('Activity Planner'!$G$5:$G$1004,$K37)))</f>
        <v>0</v>
      </c>
      <c r="D37" s="35">
        <f>IF($K37="","",IF(INDEX('Activity Planner'!$C$5:$C$1004,$K37)="","",INDEX('Activity Planner'!$C$5:$C$1004,$K37)))</f>
        <v>0</v>
      </c>
      <c r="E37" s="35">
        <f>IF($K37="","",IF(INDEX('Activity Planner'!$D$5:$D$1004,$K37)="","",INDEX('Activity Planner'!$D$5:$D$1004,$K37)))</f>
        <v>0</v>
      </c>
      <c r="F37" s="35">
        <f>IF($K37="","",IF(INDEX('Activity Planner'!$E$5:$E$1004,$K37)="","",INDEX('Activity Planner'!$E$5:$E$1004,$K37)))</f>
        <v>0</v>
      </c>
      <c r="G37" s="35">
        <f>IF($K37="","",IF(INDEX('Activity Planner'!$H$5:$H$1004,$K37)="","",INDEX('Activity Planner'!$H$5:$H$1004,$K37)))</f>
        <v>0</v>
      </c>
      <c r="H37" s="35">
        <f>IF($K37="","",IF(INDEX('Activity Planner'!$I$5:$I$1004,$K37)="","",INDEX('Activity Planner'!$I$5:$I$1004,$K37)))</f>
        <v>0</v>
      </c>
      <c r="K37">
        <f>IFERROR(MATCH(SMALL(Calc!$Q$5:$Q$1004,5),Calc!$Q$5:$Q$1004,0),"")</f>
        <v>0</v>
      </c>
    </row>
    <row r="38" spans="1:11">
      <c r="A38" s="35">
        <f>IF($K38="","",IF(INDEX('Activity Planner'!$B$5:$B$1004,$K38)="","",INDEX('Activity Planner'!$B$5:$B$1004,$K38)))</f>
        <v>0</v>
      </c>
      <c r="B38" s="36">
        <f>IF($K38="","",IF(INDEX('Activity Planner'!$F$5:$F$1004,$K38)="","",INDEX('Activity Planner'!$F$5:$F$1004,$K38)))</f>
        <v>0</v>
      </c>
      <c r="C38" s="36">
        <f>IF($K38="","",IF(INDEX('Activity Planner'!$G$5:$G$1004,$K38)="","",INDEX('Activity Planner'!$G$5:$G$1004,$K38)))</f>
        <v>0</v>
      </c>
      <c r="D38" s="35">
        <f>IF($K38="","",IF(INDEX('Activity Planner'!$C$5:$C$1004,$K38)="","",INDEX('Activity Planner'!$C$5:$C$1004,$K38)))</f>
        <v>0</v>
      </c>
      <c r="E38" s="35">
        <f>IF($K38="","",IF(INDEX('Activity Planner'!$D$5:$D$1004,$K38)="","",INDEX('Activity Planner'!$D$5:$D$1004,$K38)))</f>
        <v>0</v>
      </c>
      <c r="F38" s="35">
        <f>IF($K38="","",IF(INDEX('Activity Planner'!$E$5:$E$1004,$K38)="","",INDEX('Activity Planner'!$E$5:$E$1004,$K38)))</f>
        <v>0</v>
      </c>
      <c r="G38" s="35">
        <f>IF($K38="","",IF(INDEX('Activity Planner'!$H$5:$H$1004,$K38)="","",INDEX('Activity Planner'!$H$5:$H$1004,$K38)))</f>
        <v>0</v>
      </c>
      <c r="H38" s="35">
        <f>IF($K38="","",IF(INDEX('Activity Planner'!$I$5:$I$1004,$K38)="","",INDEX('Activity Planner'!$I$5:$I$1004,$K38)))</f>
        <v>0</v>
      </c>
      <c r="K38">
        <f>IFERROR(MATCH(SMALL(Calc!$Q$5:$Q$1004,6),Calc!$Q$5:$Q$1004,0),"")</f>
        <v>0</v>
      </c>
    </row>
    <row r="39" spans="1:11">
      <c r="A39" s="35">
        <f>IF($K39="","",IF(INDEX('Activity Planner'!$B$5:$B$1004,$K39)="","",INDEX('Activity Planner'!$B$5:$B$1004,$K39)))</f>
        <v>0</v>
      </c>
      <c r="B39" s="36">
        <f>IF($K39="","",IF(INDEX('Activity Planner'!$F$5:$F$1004,$K39)="","",INDEX('Activity Planner'!$F$5:$F$1004,$K39)))</f>
        <v>0</v>
      </c>
      <c r="C39" s="36">
        <f>IF($K39="","",IF(INDEX('Activity Planner'!$G$5:$G$1004,$K39)="","",INDEX('Activity Planner'!$G$5:$G$1004,$K39)))</f>
        <v>0</v>
      </c>
      <c r="D39" s="35">
        <f>IF($K39="","",IF(INDEX('Activity Planner'!$C$5:$C$1004,$K39)="","",INDEX('Activity Planner'!$C$5:$C$1004,$K39)))</f>
        <v>0</v>
      </c>
      <c r="E39" s="35">
        <f>IF($K39="","",IF(INDEX('Activity Planner'!$D$5:$D$1004,$K39)="","",INDEX('Activity Planner'!$D$5:$D$1004,$K39)))</f>
        <v>0</v>
      </c>
      <c r="F39" s="35">
        <f>IF($K39="","",IF(INDEX('Activity Planner'!$E$5:$E$1004,$K39)="","",INDEX('Activity Planner'!$E$5:$E$1004,$K39)))</f>
        <v>0</v>
      </c>
      <c r="G39" s="35">
        <f>IF($K39="","",IF(INDEX('Activity Planner'!$H$5:$H$1004,$K39)="","",INDEX('Activity Planner'!$H$5:$H$1004,$K39)))</f>
        <v>0</v>
      </c>
      <c r="H39" s="35">
        <f>IF($K39="","",IF(INDEX('Activity Planner'!$I$5:$I$1004,$K39)="","",INDEX('Activity Planner'!$I$5:$I$1004,$K39)))</f>
        <v>0</v>
      </c>
      <c r="K39">
        <f>IFERROR(MATCH(SMALL(Calc!$Q$5:$Q$1004,7),Calc!$Q$5:$Q$1004,0),"")</f>
        <v>0</v>
      </c>
    </row>
    <row r="40" spans="1:11">
      <c r="A40" s="35">
        <f>IF($K40="","",IF(INDEX('Activity Planner'!$B$5:$B$1004,$K40)="","",INDEX('Activity Planner'!$B$5:$B$1004,$K40)))</f>
        <v>0</v>
      </c>
      <c r="B40" s="36">
        <f>IF($K40="","",IF(INDEX('Activity Planner'!$F$5:$F$1004,$K40)="","",INDEX('Activity Planner'!$F$5:$F$1004,$K40)))</f>
        <v>0</v>
      </c>
      <c r="C40" s="36">
        <f>IF($K40="","",IF(INDEX('Activity Planner'!$G$5:$G$1004,$K40)="","",INDEX('Activity Planner'!$G$5:$G$1004,$K40)))</f>
        <v>0</v>
      </c>
      <c r="D40" s="35">
        <f>IF($K40="","",IF(INDEX('Activity Planner'!$C$5:$C$1004,$K40)="","",INDEX('Activity Planner'!$C$5:$C$1004,$K40)))</f>
        <v>0</v>
      </c>
      <c r="E40" s="35">
        <f>IF($K40="","",IF(INDEX('Activity Planner'!$D$5:$D$1004,$K40)="","",INDEX('Activity Planner'!$D$5:$D$1004,$K40)))</f>
        <v>0</v>
      </c>
      <c r="F40" s="35">
        <f>IF($K40="","",IF(INDEX('Activity Planner'!$E$5:$E$1004,$K40)="","",INDEX('Activity Planner'!$E$5:$E$1004,$K40)))</f>
        <v>0</v>
      </c>
      <c r="G40" s="35">
        <f>IF($K40="","",IF(INDEX('Activity Planner'!$H$5:$H$1004,$K40)="","",INDEX('Activity Planner'!$H$5:$H$1004,$K40)))</f>
        <v>0</v>
      </c>
      <c r="H40" s="35">
        <f>IF($K40="","",IF(INDEX('Activity Planner'!$I$5:$I$1004,$K40)="","",INDEX('Activity Planner'!$I$5:$I$1004,$K40)))</f>
        <v>0</v>
      </c>
      <c r="K40">
        <f>IFERROR(MATCH(SMALL(Calc!$Q$5:$Q$1004,8),Calc!$Q$5:$Q$1004,0),"")</f>
        <v>0</v>
      </c>
    </row>
    <row r="41" spans="1:11">
      <c r="A41" s="35">
        <f>IF($K41="","",IF(INDEX('Activity Planner'!$B$5:$B$1004,$K41)="","",INDEX('Activity Planner'!$B$5:$B$1004,$K41)))</f>
        <v>0</v>
      </c>
      <c r="B41" s="36">
        <f>IF($K41="","",IF(INDEX('Activity Planner'!$F$5:$F$1004,$K41)="","",INDEX('Activity Planner'!$F$5:$F$1004,$K41)))</f>
        <v>0</v>
      </c>
      <c r="C41" s="36">
        <f>IF($K41="","",IF(INDEX('Activity Planner'!$G$5:$G$1004,$K41)="","",INDEX('Activity Planner'!$G$5:$G$1004,$K41)))</f>
        <v>0</v>
      </c>
      <c r="D41" s="35">
        <f>IF($K41="","",IF(INDEX('Activity Planner'!$C$5:$C$1004,$K41)="","",INDEX('Activity Planner'!$C$5:$C$1004,$K41)))</f>
        <v>0</v>
      </c>
      <c r="E41" s="35">
        <f>IF($K41="","",IF(INDEX('Activity Planner'!$D$5:$D$1004,$K41)="","",INDEX('Activity Planner'!$D$5:$D$1004,$K41)))</f>
        <v>0</v>
      </c>
      <c r="F41" s="35">
        <f>IF($K41="","",IF(INDEX('Activity Planner'!$E$5:$E$1004,$K41)="","",INDEX('Activity Planner'!$E$5:$E$1004,$K41)))</f>
        <v>0</v>
      </c>
      <c r="G41" s="35">
        <f>IF($K41="","",IF(INDEX('Activity Planner'!$H$5:$H$1004,$K41)="","",INDEX('Activity Planner'!$H$5:$H$1004,$K41)))</f>
        <v>0</v>
      </c>
      <c r="H41" s="35">
        <f>IF($K41="","",IF(INDEX('Activity Planner'!$I$5:$I$1004,$K41)="","",INDEX('Activity Planner'!$I$5:$I$1004,$K41)))</f>
        <v>0</v>
      </c>
      <c r="K41">
        <f>IFERROR(MATCH(SMALL(Calc!$Q$5:$Q$1004,9),Calc!$Q$5:$Q$1004,0),"")</f>
        <v>0</v>
      </c>
    </row>
    <row r="42" spans="1:11">
      <c r="A42" s="35">
        <f>IF($K42="","",IF(INDEX('Activity Planner'!$B$5:$B$1004,$K42)="","",INDEX('Activity Planner'!$B$5:$B$1004,$K42)))</f>
        <v>0</v>
      </c>
      <c r="B42" s="36">
        <f>IF($K42="","",IF(INDEX('Activity Planner'!$F$5:$F$1004,$K42)="","",INDEX('Activity Planner'!$F$5:$F$1004,$K42)))</f>
        <v>0</v>
      </c>
      <c r="C42" s="36">
        <f>IF($K42="","",IF(INDEX('Activity Planner'!$G$5:$G$1004,$K42)="","",INDEX('Activity Planner'!$G$5:$G$1004,$K42)))</f>
        <v>0</v>
      </c>
      <c r="D42" s="35">
        <f>IF($K42="","",IF(INDEX('Activity Planner'!$C$5:$C$1004,$K42)="","",INDEX('Activity Planner'!$C$5:$C$1004,$K42)))</f>
        <v>0</v>
      </c>
      <c r="E42" s="35">
        <f>IF($K42="","",IF(INDEX('Activity Planner'!$D$5:$D$1004,$K42)="","",INDEX('Activity Planner'!$D$5:$D$1004,$K42)))</f>
        <v>0</v>
      </c>
      <c r="F42" s="35">
        <f>IF($K42="","",IF(INDEX('Activity Planner'!$E$5:$E$1004,$K42)="","",INDEX('Activity Planner'!$E$5:$E$1004,$K42)))</f>
        <v>0</v>
      </c>
      <c r="G42" s="35">
        <f>IF($K42="","",IF(INDEX('Activity Planner'!$H$5:$H$1004,$K42)="","",INDEX('Activity Planner'!$H$5:$H$1004,$K42)))</f>
        <v>0</v>
      </c>
      <c r="H42" s="35">
        <f>IF($K42="","",IF(INDEX('Activity Planner'!$I$5:$I$1004,$K42)="","",INDEX('Activity Planner'!$I$5:$I$1004,$K42)))</f>
        <v>0</v>
      </c>
      <c r="K42">
        <f>IFERROR(MATCH(SMALL(Calc!$Q$5:$Q$1004,10),Calc!$Q$5:$Q$1004,0),"")</f>
        <v>0</v>
      </c>
    </row>
    <row r="43" spans="1:11">
      <c r="A43" s="35">
        <f>IF($K43="","",IF(INDEX('Activity Planner'!$B$5:$B$1004,$K43)="","",INDEX('Activity Planner'!$B$5:$B$1004,$K43)))</f>
        <v>0</v>
      </c>
      <c r="B43" s="36">
        <f>IF($K43="","",IF(INDEX('Activity Planner'!$F$5:$F$1004,$K43)="","",INDEX('Activity Planner'!$F$5:$F$1004,$K43)))</f>
        <v>0</v>
      </c>
      <c r="C43" s="36">
        <f>IF($K43="","",IF(INDEX('Activity Planner'!$G$5:$G$1004,$K43)="","",INDEX('Activity Planner'!$G$5:$G$1004,$K43)))</f>
        <v>0</v>
      </c>
      <c r="D43" s="35">
        <f>IF($K43="","",IF(INDEX('Activity Planner'!$C$5:$C$1004,$K43)="","",INDEX('Activity Planner'!$C$5:$C$1004,$K43)))</f>
        <v>0</v>
      </c>
      <c r="E43" s="35">
        <f>IF($K43="","",IF(INDEX('Activity Planner'!$D$5:$D$1004,$K43)="","",INDEX('Activity Planner'!$D$5:$D$1004,$K43)))</f>
        <v>0</v>
      </c>
      <c r="F43" s="35">
        <f>IF($K43="","",IF(INDEX('Activity Planner'!$E$5:$E$1004,$K43)="","",INDEX('Activity Planner'!$E$5:$E$1004,$K43)))</f>
        <v>0</v>
      </c>
      <c r="G43" s="35">
        <f>IF($K43="","",IF(INDEX('Activity Planner'!$H$5:$H$1004,$K43)="","",INDEX('Activity Planner'!$H$5:$H$1004,$K43)))</f>
        <v>0</v>
      </c>
      <c r="H43" s="35">
        <f>IF($K43="","",IF(INDEX('Activity Planner'!$I$5:$I$1004,$K43)="","",INDEX('Activity Planner'!$I$5:$I$1004,$K43)))</f>
        <v>0</v>
      </c>
      <c r="K43">
        <f>IFERROR(MATCH(SMALL(Calc!$Q$5:$Q$1004,11),Calc!$Q$5:$Q$1004,0),"")</f>
        <v>0</v>
      </c>
    </row>
    <row r="44" spans="1:11">
      <c r="A44" s="35">
        <f>IF($K44="","",IF(INDEX('Activity Planner'!$B$5:$B$1004,$K44)="","",INDEX('Activity Planner'!$B$5:$B$1004,$K44)))</f>
        <v>0</v>
      </c>
      <c r="B44" s="36">
        <f>IF($K44="","",IF(INDEX('Activity Planner'!$F$5:$F$1004,$K44)="","",INDEX('Activity Planner'!$F$5:$F$1004,$K44)))</f>
        <v>0</v>
      </c>
      <c r="C44" s="36">
        <f>IF($K44="","",IF(INDEX('Activity Planner'!$G$5:$G$1004,$K44)="","",INDEX('Activity Planner'!$G$5:$G$1004,$K44)))</f>
        <v>0</v>
      </c>
      <c r="D44" s="35">
        <f>IF($K44="","",IF(INDEX('Activity Planner'!$C$5:$C$1004,$K44)="","",INDEX('Activity Planner'!$C$5:$C$1004,$K44)))</f>
        <v>0</v>
      </c>
      <c r="E44" s="35">
        <f>IF($K44="","",IF(INDEX('Activity Planner'!$D$5:$D$1004,$K44)="","",INDEX('Activity Planner'!$D$5:$D$1004,$K44)))</f>
        <v>0</v>
      </c>
      <c r="F44" s="35">
        <f>IF($K44="","",IF(INDEX('Activity Planner'!$E$5:$E$1004,$K44)="","",INDEX('Activity Planner'!$E$5:$E$1004,$K44)))</f>
        <v>0</v>
      </c>
      <c r="G44" s="35">
        <f>IF($K44="","",IF(INDEX('Activity Planner'!$H$5:$H$1004,$K44)="","",INDEX('Activity Planner'!$H$5:$H$1004,$K44)))</f>
        <v>0</v>
      </c>
      <c r="H44" s="35">
        <f>IF($K44="","",IF(INDEX('Activity Planner'!$I$5:$I$1004,$K44)="","",INDEX('Activity Planner'!$I$5:$I$1004,$K44)))</f>
        <v>0</v>
      </c>
      <c r="K44">
        <f>IFERROR(MATCH(SMALL(Calc!$Q$5:$Q$1004,12),Calc!$Q$5:$Q$1004,0),"")</f>
        <v>0</v>
      </c>
    </row>
    <row r="45" spans="1:11">
      <c r="A45" s="35">
        <f>IF($K45="","",IF(INDEX('Activity Planner'!$B$5:$B$1004,$K45)="","",INDEX('Activity Planner'!$B$5:$B$1004,$K45)))</f>
        <v>0</v>
      </c>
      <c r="B45" s="36">
        <f>IF($K45="","",IF(INDEX('Activity Planner'!$F$5:$F$1004,$K45)="","",INDEX('Activity Planner'!$F$5:$F$1004,$K45)))</f>
        <v>0</v>
      </c>
      <c r="C45" s="36">
        <f>IF($K45="","",IF(INDEX('Activity Planner'!$G$5:$G$1004,$K45)="","",INDEX('Activity Planner'!$G$5:$G$1004,$K45)))</f>
        <v>0</v>
      </c>
      <c r="D45" s="35">
        <f>IF($K45="","",IF(INDEX('Activity Planner'!$C$5:$C$1004,$K45)="","",INDEX('Activity Planner'!$C$5:$C$1004,$K45)))</f>
        <v>0</v>
      </c>
      <c r="E45" s="35">
        <f>IF($K45="","",IF(INDEX('Activity Planner'!$D$5:$D$1004,$K45)="","",INDEX('Activity Planner'!$D$5:$D$1004,$K45)))</f>
        <v>0</v>
      </c>
      <c r="F45" s="35">
        <f>IF($K45="","",IF(INDEX('Activity Planner'!$E$5:$E$1004,$K45)="","",INDEX('Activity Planner'!$E$5:$E$1004,$K45)))</f>
        <v>0</v>
      </c>
      <c r="G45" s="35">
        <f>IF($K45="","",IF(INDEX('Activity Planner'!$H$5:$H$1004,$K45)="","",INDEX('Activity Planner'!$H$5:$H$1004,$K45)))</f>
        <v>0</v>
      </c>
      <c r="H45" s="35">
        <f>IF($K45="","",IF(INDEX('Activity Planner'!$I$5:$I$1004,$K45)="","",INDEX('Activity Planner'!$I$5:$I$1004,$K45)))</f>
        <v>0</v>
      </c>
      <c r="K45">
        <f>IFERROR(MATCH(SMALL(Calc!$Q$5:$Q$1004,13),Calc!$Q$5:$Q$1004,0),"")</f>
        <v>0</v>
      </c>
    </row>
    <row r="46" spans="1:11">
      <c r="A46" s="35">
        <f>IF($K46="","",IF(INDEX('Activity Planner'!$B$5:$B$1004,$K46)="","",INDEX('Activity Planner'!$B$5:$B$1004,$K46)))</f>
        <v>0</v>
      </c>
      <c r="B46" s="36">
        <f>IF($K46="","",IF(INDEX('Activity Planner'!$F$5:$F$1004,$K46)="","",INDEX('Activity Planner'!$F$5:$F$1004,$K46)))</f>
        <v>0</v>
      </c>
      <c r="C46" s="36">
        <f>IF($K46="","",IF(INDEX('Activity Planner'!$G$5:$G$1004,$K46)="","",INDEX('Activity Planner'!$G$5:$G$1004,$K46)))</f>
        <v>0</v>
      </c>
      <c r="D46" s="35">
        <f>IF($K46="","",IF(INDEX('Activity Planner'!$C$5:$C$1004,$K46)="","",INDEX('Activity Planner'!$C$5:$C$1004,$K46)))</f>
        <v>0</v>
      </c>
      <c r="E46" s="35">
        <f>IF($K46="","",IF(INDEX('Activity Planner'!$D$5:$D$1004,$K46)="","",INDEX('Activity Planner'!$D$5:$D$1004,$K46)))</f>
        <v>0</v>
      </c>
      <c r="F46" s="35">
        <f>IF($K46="","",IF(INDEX('Activity Planner'!$E$5:$E$1004,$K46)="","",INDEX('Activity Planner'!$E$5:$E$1004,$K46)))</f>
        <v>0</v>
      </c>
      <c r="G46" s="35">
        <f>IF($K46="","",IF(INDEX('Activity Planner'!$H$5:$H$1004,$K46)="","",INDEX('Activity Planner'!$H$5:$H$1004,$K46)))</f>
        <v>0</v>
      </c>
      <c r="H46" s="35">
        <f>IF($K46="","",IF(INDEX('Activity Planner'!$I$5:$I$1004,$K46)="","",INDEX('Activity Planner'!$I$5:$I$1004,$K46)))</f>
        <v>0</v>
      </c>
      <c r="K46">
        <f>IFERROR(MATCH(SMALL(Calc!$Q$5:$Q$1004,14),Calc!$Q$5:$Q$1004,0),"")</f>
        <v>0</v>
      </c>
    </row>
    <row r="47" spans="1:11">
      <c r="A47" s="35">
        <f>IF($K47="","",IF(INDEX('Activity Planner'!$B$5:$B$1004,$K47)="","",INDEX('Activity Planner'!$B$5:$B$1004,$K47)))</f>
        <v>0</v>
      </c>
      <c r="B47" s="36">
        <f>IF($K47="","",IF(INDEX('Activity Planner'!$F$5:$F$1004,$K47)="","",INDEX('Activity Planner'!$F$5:$F$1004,$K47)))</f>
        <v>0</v>
      </c>
      <c r="C47" s="36">
        <f>IF($K47="","",IF(INDEX('Activity Planner'!$G$5:$G$1004,$K47)="","",INDEX('Activity Planner'!$G$5:$G$1004,$K47)))</f>
        <v>0</v>
      </c>
      <c r="D47" s="35">
        <f>IF($K47="","",IF(INDEX('Activity Planner'!$C$5:$C$1004,$K47)="","",INDEX('Activity Planner'!$C$5:$C$1004,$K47)))</f>
        <v>0</v>
      </c>
      <c r="E47" s="35">
        <f>IF($K47="","",IF(INDEX('Activity Planner'!$D$5:$D$1004,$K47)="","",INDEX('Activity Planner'!$D$5:$D$1004,$K47)))</f>
        <v>0</v>
      </c>
      <c r="F47" s="35">
        <f>IF($K47="","",IF(INDEX('Activity Planner'!$E$5:$E$1004,$K47)="","",INDEX('Activity Planner'!$E$5:$E$1004,$K47)))</f>
        <v>0</v>
      </c>
      <c r="G47" s="35">
        <f>IF($K47="","",IF(INDEX('Activity Planner'!$H$5:$H$1004,$K47)="","",INDEX('Activity Planner'!$H$5:$H$1004,$K47)))</f>
        <v>0</v>
      </c>
      <c r="H47" s="35">
        <f>IF($K47="","",IF(INDEX('Activity Planner'!$I$5:$I$1004,$K47)="","",INDEX('Activity Planner'!$I$5:$I$1004,$K47)))</f>
        <v>0</v>
      </c>
      <c r="K47">
        <f>IFERROR(MATCH(SMALL(Calc!$Q$5:$Q$1004,15),Calc!$Q$5:$Q$1004,0),"")</f>
        <v>0</v>
      </c>
    </row>
    <row r="48" spans="1:11">
      <c r="A48" s="35">
        <f>IF($K48="","",IF(INDEX('Activity Planner'!$B$5:$B$1004,$K48)="","",INDEX('Activity Planner'!$B$5:$B$1004,$K48)))</f>
        <v>0</v>
      </c>
      <c r="B48" s="36">
        <f>IF($K48="","",IF(INDEX('Activity Planner'!$F$5:$F$1004,$K48)="","",INDEX('Activity Planner'!$F$5:$F$1004,$K48)))</f>
        <v>0</v>
      </c>
      <c r="C48" s="36">
        <f>IF($K48="","",IF(INDEX('Activity Planner'!$G$5:$G$1004,$K48)="","",INDEX('Activity Planner'!$G$5:$G$1004,$K48)))</f>
        <v>0</v>
      </c>
      <c r="D48" s="35">
        <f>IF($K48="","",IF(INDEX('Activity Planner'!$C$5:$C$1004,$K48)="","",INDEX('Activity Planner'!$C$5:$C$1004,$K48)))</f>
        <v>0</v>
      </c>
      <c r="E48" s="35">
        <f>IF($K48="","",IF(INDEX('Activity Planner'!$D$5:$D$1004,$K48)="","",INDEX('Activity Planner'!$D$5:$D$1004,$K48)))</f>
        <v>0</v>
      </c>
      <c r="F48" s="35">
        <f>IF($K48="","",IF(INDEX('Activity Planner'!$E$5:$E$1004,$K48)="","",INDEX('Activity Planner'!$E$5:$E$1004,$K48)))</f>
        <v>0</v>
      </c>
      <c r="G48" s="35">
        <f>IF($K48="","",IF(INDEX('Activity Planner'!$H$5:$H$1004,$K48)="","",INDEX('Activity Planner'!$H$5:$H$1004,$K48)))</f>
        <v>0</v>
      </c>
      <c r="H48" s="35">
        <f>IF($K48="","",IF(INDEX('Activity Planner'!$I$5:$I$1004,$K48)="","",INDEX('Activity Planner'!$I$5:$I$1004,$K48)))</f>
        <v>0</v>
      </c>
      <c r="K48">
        <f>IFERROR(MATCH(SMALL(Calc!$Q$5:$Q$1004,16),Calc!$Q$5:$Q$1004,0),"")</f>
        <v>0</v>
      </c>
    </row>
    <row r="49" spans="1:11">
      <c r="A49" s="35">
        <f>IF($K49="","",IF(INDEX('Activity Planner'!$B$5:$B$1004,$K49)="","",INDEX('Activity Planner'!$B$5:$B$1004,$K49)))</f>
        <v>0</v>
      </c>
      <c r="B49" s="36">
        <f>IF($K49="","",IF(INDEX('Activity Planner'!$F$5:$F$1004,$K49)="","",INDEX('Activity Planner'!$F$5:$F$1004,$K49)))</f>
        <v>0</v>
      </c>
      <c r="C49" s="36">
        <f>IF($K49="","",IF(INDEX('Activity Planner'!$G$5:$G$1004,$K49)="","",INDEX('Activity Planner'!$G$5:$G$1004,$K49)))</f>
        <v>0</v>
      </c>
      <c r="D49" s="35">
        <f>IF($K49="","",IF(INDEX('Activity Planner'!$C$5:$C$1004,$K49)="","",INDEX('Activity Planner'!$C$5:$C$1004,$K49)))</f>
        <v>0</v>
      </c>
      <c r="E49" s="35">
        <f>IF($K49="","",IF(INDEX('Activity Planner'!$D$5:$D$1004,$K49)="","",INDEX('Activity Planner'!$D$5:$D$1004,$K49)))</f>
        <v>0</v>
      </c>
      <c r="F49" s="35">
        <f>IF($K49="","",IF(INDEX('Activity Planner'!$E$5:$E$1004,$K49)="","",INDEX('Activity Planner'!$E$5:$E$1004,$K49)))</f>
        <v>0</v>
      </c>
      <c r="G49" s="35">
        <f>IF($K49="","",IF(INDEX('Activity Planner'!$H$5:$H$1004,$K49)="","",INDEX('Activity Planner'!$H$5:$H$1004,$K49)))</f>
        <v>0</v>
      </c>
      <c r="H49" s="35">
        <f>IF($K49="","",IF(INDEX('Activity Planner'!$I$5:$I$1004,$K49)="","",INDEX('Activity Planner'!$I$5:$I$1004,$K49)))</f>
        <v>0</v>
      </c>
      <c r="K49">
        <f>IFERROR(MATCH(SMALL(Calc!$Q$5:$Q$1004,17),Calc!$Q$5:$Q$1004,0),"")</f>
        <v>0</v>
      </c>
    </row>
    <row r="50" spans="1:11">
      <c r="A50" s="35">
        <f>IF($K50="","",IF(INDEX('Activity Planner'!$B$5:$B$1004,$K50)="","",INDEX('Activity Planner'!$B$5:$B$1004,$K50)))</f>
        <v>0</v>
      </c>
      <c r="B50" s="36">
        <f>IF($K50="","",IF(INDEX('Activity Planner'!$F$5:$F$1004,$K50)="","",INDEX('Activity Planner'!$F$5:$F$1004,$K50)))</f>
        <v>0</v>
      </c>
      <c r="C50" s="36">
        <f>IF($K50="","",IF(INDEX('Activity Planner'!$G$5:$G$1004,$K50)="","",INDEX('Activity Planner'!$G$5:$G$1004,$K50)))</f>
        <v>0</v>
      </c>
      <c r="D50" s="35">
        <f>IF($K50="","",IF(INDEX('Activity Planner'!$C$5:$C$1004,$K50)="","",INDEX('Activity Planner'!$C$5:$C$1004,$K50)))</f>
        <v>0</v>
      </c>
      <c r="E50" s="35">
        <f>IF($K50="","",IF(INDEX('Activity Planner'!$D$5:$D$1004,$K50)="","",INDEX('Activity Planner'!$D$5:$D$1004,$K50)))</f>
        <v>0</v>
      </c>
      <c r="F50" s="35">
        <f>IF($K50="","",IF(INDEX('Activity Planner'!$E$5:$E$1004,$K50)="","",INDEX('Activity Planner'!$E$5:$E$1004,$K50)))</f>
        <v>0</v>
      </c>
      <c r="G50" s="35">
        <f>IF($K50="","",IF(INDEX('Activity Planner'!$H$5:$H$1004,$K50)="","",INDEX('Activity Planner'!$H$5:$H$1004,$K50)))</f>
        <v>0</v>
      </c>
      <c r="H50" s="35">
        <f>IF($K50="","",IF(INDEX('Activity Planner'!$I$5:$I$1004,$K50)="","",INDEX('Activity Planner'!$I$5:$I$1004,$K50)))</f>
        <v>0</v>
      </c>
      <c r="K50">
        <f>IFERROR(MATCH(SMALL(Calc!$Q$5:$Q$1004,18),Calc!$Q$5:$Q$1004,0),"")</f>
        <v>0</v>
      </c>
    </row>
    <row r="51" spans="1:11">
      <c r="A51" s="35">
        <f>IF($K51="","",IF(INDEX('Activity Planner'!$B$5:$B$1004,$K51)="","",INDEX('Activity Planner'!$B$5:$B$1004,$K51)))</f>
        <v>0</v>
      </c>
      <c r="B51" s="36">
        <f>IF($K51="","",IF(INDEX('Activity Planner'!$F$5:$F$1004,$K51)="","",INDEX('Activity Planner'!$F$5:$F$1004,$K51)))</f>
        <v>0</v>
      </c>
      <c r="C51" s="36">
        <f>IF($K51="","",IF(INDEX('Activity Planner'!$G$5:$G$1004,$K51)="","",INDEX('Activity Planner'!$G$5:$G$1004,$K51)))</f>
        <v>0</v>
      </c>
      <c r="D51" s="35">
        <f>IF($K51="","",IF(INDEX('Activity Planner'!$C$5:$C$1004,$K51)="","",INDEX('Activity Planner'!$C$5:$C$1004,$K51)))</f>
        <v>0</v>
      </c>
      <c r="E51" s="35">
        <f>IF($K51="","",IF(INDEX('Activity Planner'!$D$5:$D$1004,$K51)="","",INDEX('Activity Planner'!$D$5:$D$1004,$K51)))</f>
        <v>0</v>
      </c>
      <c r="F51" s="35">
        <f>IF($K51="","",IF(INDEX('Activity Planner'!$E$5:$E$1004,$K51)="","",INDEX('Activity Planner'!$E$5:$E$1004,$K51)))</f>
        <v>0</v>
      </c>
      <c r="G51" s="35">
        <f>IF($K51="","",IF(INDEX('Activity Planner'!$H$5:$H$1004,$K51)="","",INDEX('Activity Planner'!$H$5:$H$1004,$K51)))</f>
        <v>0</v>
      </c>
      <c r="H51" s="35">
        <f>IF($K51="","",IF(INDEX('Activity Planner'!$I$5:$I$1004,$K51)="","",INDEX('Activity Planner'!$I$5:$I$1004,$K51)))</f>
        <v>0</v>
      </c>
      <c r="K51">
        <f>IFERROR(MATCH(SMALL(Calc!$Q$5:$Q$1004,19),Calc!$Q$5:$Q$1004,0),"")</f>
        <v>0</v>
      </c>
    </row>
    <row r="52" spans="1:11">
      <c r="A52" s="35">
        <f>IF($K52="","",IF(INDEX('Activity Planner'!$B$5:$B$1004,$K52)="","",INDEX('Activity Planner'!$B$5:$B$1004,$K52)))</f>
        <v>0</v>
      </c>
      <c r="B52" s="36">
        <f>IF($K52="","",IF(INDEX('Activity Planner'!$F$5:$F$1004,$K52)="","",INDEX('Activity Planner'!$F$5:$F$1004,$K52)))</f>
        <v>0</v>
      </c>
      <c r="C52" s="36">
        <f>IF($K52="","",IF(INDEX('Activity Planner'!$G$5:$G$1004,$K52)="","",INDEX('Activity Planner'!$G$5:$G$1004,$K52)))</f>
        <v>0</v>
      </c>
      <c r="D52" s="35">
        <f>IF($K52="","",IF(INDEX('Activity Planner'!$C$5:$C$1004,$K52)="","",INDEX('Activity Planner'!$C$5:$C$1004,$K52)))</f>
        <v>0</v>
      </c>
      <c r="E52" s="35">
        <f>IF($K52="","",IF(INDEX('Activity Planner'!$D$5:$D$1004,$K52)="","",INDEX('Activity Planner'!$D$5:$D$1004,$K52)))</f>
        <v>0</v>
      </c>
      <c r="F52" s="35">
        <f>IF($K52="","",IF(INDEX('Activity Planner'!$E$5:$E$1004,$K52)="","",INDEX('Activity Planner'!$E$5:$E$1004,$K52)))</f>
        <v>0</v>
      </c>
      <c r="G52" s="35">
        <f>IF($K52="","",IF(INDEX('Activity Planner'!$H$5:$H$1004,$K52)="","",INDEX('Activity Planner'!$H$5:$H$1004,$K52)))</f>
        <v>0</v>
      </c>
      <c r="H52" s="35">
        <f>IF($K52="","",IF(INDEX('Activity Planner'!$I$5:$I$1004,$K52)="","",INDEX('Activity Planner'!$I$5:$I$1004,$K52)))</f>
        <v>0</v>
      </c>
      <c r="K52">
        <f>IFERROR(MATCH(SMALL(Calc!$Q$5:$Q$1004,20),Calc!$Q$5:$Q$1004,0),"")</f>
        <v>0</v>
      </c>
    </row>
    <row r="53" spans="1:11">
      <c r="A53" s="35">
        <f>IF($K53="","",IF(INDEX('Activity Planner'!$B$5:$B$1004,$K53)="","",INDEX('Activity Planner'!$B$5:$B$1004,$K53)))</f>
        <v>0</v>
      </c>
      <c r="B53" s="36">
        <f>IF($K53="","",IF(INDEX('Activity Planner'!$F$5:$F$1004,$K53)="","",INDEX('Activity Planner'!$F$5:$F$1004,$K53)))</f>
        <v>0</v>
      </c>
      <c r="C53" s="36">
        <f>IF($K53="","",IF(INDEX('Activity Planner'!$G$5:$G$1004,$K53)="","",INDEX('Activity Planner'!$G$5:$G$1004,$K53)))</f>
        <v>0</v>
      </c>
      <c r="D53" s="35">
        <f>IF($K53="","",IF(INDEX('Activity Planner'!$C$5:$C$1004,$K53)="","",INDEX('Activity Planner'!$C$5:$C$1004,$K53)))</f>
        <v>0</v>
      </c>
      <c r="E53" s="35">
        <f>IF($K53="","",IF(INDEX('Activity Planner'!$D$5:$D$1004,$K53)="","",INDEX('Activity Planner'!$D$5:$D$1004,$K53)))</f>
        <v>0</v>
      </c>
      <c r="F53" s="35">
        <f>IF($K53="","",IF(INDEX('Activity Planner'!$E$5:$E$1004,$K53)="","",INDEX('Activity Planner'!$E$5:$E$1004,$K53)))</f>
        <v>0</v>
      </c>
      <c r="G53" s="35">
        <f>IF($K53="","",IF(INDEX('Activity Planner'!$H$5:$H$1004,$K53)="","",INDEX('Activity Planner'!$H$5:$H$1004,$K53)))</f>
        <v>0</v>
      </c>
      <c r="H53" s="35">
        <f>IF($K53="","",IF(INDEX('Activity Planner'!$I$5:$I$1004,$K53)="","",INDEX('Activity Planner'!$I$5:$I$1004,$K53)))</f>
        <v>0</v>
      </c>
      <c r="K53">
        <f>IFERROR(MATCH(SMALL(Calc!$Q$5:$Q$1004,21),Calc!$Q$5:$Q$1004,0),"")</f>
        <v>0</v>
      </c>
    </row>
    <row r="54" spans="1:11">
      <c r="A54" s="35">
        <f>IF($K54="","",IF(INDEX('Activity Planner'!$B$5:$B$1004,$K54)="","",INDEX('Activity Planner'!$B$5:$B$1004,$K54)))</f>
        <v>0</v>
      </c>
      <c r="B54" s="36">
        <f>IF($K54="","",IF(INDEX('Activity Planner'!$F$5:$F$1004,$K54)="","",INDEX('Activity Planner'!$F$5:$F$1004,$K54)))</f>
        <v>0</v>
      </c>
      <c r="C54" s="36">
        <f>IF($K54="","",IF(INDEX('Activity Planner'!$G$5:$G$1004,$K54)="","",INDEX('Activity Planner'!$G$5:$G$1004,$K54)))</f>
        <v>0</v>
      </c>
      <c r="D54" s="35">
        <f>IF($K54="","",IF(INDEX('Activity Planner'!$C$5:$C$1004,$K54)="","",INDEX('Activity Planner'!$C$5:$C$1004,$K54)))</f>
        <v>0</v>
      </c>
      <c r="E54" s="35">
        <f>IF($K54="","",IF(INDEX('Activity Planner'!$D$5:$D$1004,$K54)="","",INDEX('Activity Planner'!$D$5:$D$1004,$K54)))</f>
        <v>0</v>
      </c>
      <c r="F54" s="35">
        <f>IF($K54="","",IF(INDEX('Activity Planner'!$E$5:$E$1004,$K54)="","",INDEX('Activity Planner'!$E$5:$E$1004,$K54)))</f>
        <v>0</v>
      </c>
      <c r="G54" s="35">
        <f>IF($K54="","",IF(INDEX('Activity Planner'!$H$5:$H$1004,$K54)="","",INDEX('Activity Planner'!$H$5:$H$1004,$K54)))</f>
        <v>0</v>
      </c>
      <c r="H54" s="35">
        <f>IF($K54="","",IF(INDEX('Activity Planner'!$I$5:$I$1004,$K54)="","",INDEX('Activity Planner'!$I$5:$I$1004,$K54)))</f>
        <v>0</v>
      </c>
      <c r="K54">
        <f>IFERROR(MATCH(SMALL(Calc!$Q$5:$Q$1004,22),Calc!$Q$5:$Q$1004,0),"")</f>
        <v>0</v>
      </c>
    </row>
    <row r="55" spans="1:11">
      <c r="A55" s="35">
        <f>IF($K55="","",IF(INDEX('Activity Planner'!$B$5:$B$1004,$K55)="","",INDEX('Activity Planner'!$B$5:$B$1004,$K55)))</f>
        <v>0</v>
      </c>
      <c r="B55" s="36">
        <f>IF($K55="","",IF(INDEX('Activity Planner'!$F$5:$F$1004,$K55)="","",INDEX('Activity Planner'!$F$5:$F$1004,$K55)))</f>
        <v>0</v>
      </c>
      <c r="C55" s="36">
        <f>IF($K55="","",IF(INDEX('Activity Planner'!$G$5:$G$1004,$K55)="","",INDEX('Activity Planner'!$G$5:$G$1004,$K55)))</f>
        <v>0</v>
      </c>
      <c r="D55" s="35">
        <f>IF($K55="","",IF(INDEX('Activity Planner'!$C$5:$C$1004,$K55)="","",INDEX('Activity Planner'!$C$5:$C$1004,$K55)))</f>
        <v>0</v>
      </c>
      <c r="E55" s="35">
        <f>IF($K55="","",IF(INDEX('Activity Planner'!$D$5:$D$1004,$K55)="","",INDEX('Activity Planner'!$D$5:$D$1004,$K55)))</f>
        <v>0</v>
      </c>
      <c r="F55" s="35">
        <f>IF($K55="","",IF(INDEX('Activity Planner'!$E$5:$E$1004,$K55)="","",INDEX('Activity Planner'!$E$5:$E$1004,$K55)))</f>
        <v>0</v>
      </c>
      <c r="G55" s="35">
        <f>IF($K55="","",IF(INDEX('Activity Planner'!$H$5:$H$1004,$K55)="","",INDEX('Activity Planner'!$H$5:$H$1004,$K55)))</f>
        <v>0</v>
      </c>
      <c r="H55" s="35">
        <f>IF($K55="","",IF(INDEX('Activity Planner'!$I$5:$I$1004,$K55)="","",INDEX('Activity Planner'!$I$5:$I$1004,$K55)))</f>
        <v>0</v>
      </c>
      <c r="K55">
        <f>IFERROR(MATCH(SMALL(Calc!$Q$5:$Q$1004,23),Calc!$Q$5:$Q$1004,0),"")</f>
        <v>0</v>
      </c>
    </row>
    <row r="56" spans="1:11">
      <c r="A56" s="35">
        <f>IF($K56="","",IF(INDEX('Activity Planner'!$B$5:$B$1004,$K56)="","",INDEX('Activity Planner'!$B$5:$B$1004,$K56)))</f>
        <v>0</v>
      </c>
      <c r="B56" s="36">
        <f>IF($K56="","",IF(INDEX('Activity Planner'!$F$5:$F$1004,$K56)="","",INDEX('Activity Planner'!$F$5:$F$1004,$K56)))</f>
        <v>0</v>
      </c>
      <c r="C56" s="36">
        <f>IF($K56="","",IF(INDEX('Activity Planner'!$G$5:$G$1004,$K56)="","",INDEX('Activity Planner'!$G$5:$G$1004,$K56)))</f>
        <v>0</v>
      </c>
      <c r="D56" s="35">
        <f>IF($K56="","",IF(INDEX('Activity Planner'!$C$5:$C$1004,$K56)="","",INDEX('Activity Planner'!$C$5:$C$1004,$K56)))</f>
        <v>0</v>
      </c>
      <c r="E56" s="35">
        <f>IF($K56="","",IF(INDEX('Activity Planner'!$D$5:$D$1004,$K56)="","",INDEX('Activity Planner'!$D$5:$D$1004,$K56)))</f>
        <v>0</v>
      </c>
      <c r="F56" s="35">
        <f>IF($K56="","",IF(INDEX('Activity Planner'!$E$5:$E$1004,$K56)="","",INDEX('Activity Planner'!$E$5:$E$1004,$K56)))</f>
        <v>0</v>
      </c>
      <c r="G56" s="35">
        <f>IF($K56="","",IF(INDEX('Activity Planner'!$H$5:$H$1004,$K56)="","",INDEX('Activity Planner'!$H$5:$H$1004,$K56)))</f>
        <v>0</v>
      </c>
      <c r="H56" s="35">
        <f>IF($K56="","",IF(INDEX('Activity Planner'!$I$5:$I$1004,$K56)="","",INDEX('Activity Planner'!$I$5:$I$1004,$K56)))</f>
        <v>0</v>
      </c>
      <c r="K56">
        <f>IFERROR(MATCH(SMALL(Calc!$Q$5:$Q$1004,24),Calc!$Q$5:$Q$1004,0),"")</f>
        <v>0</v>
      </c>
    </row>
    <row r="57" spans="1:11">
      <c r="A57" s="35">
        <f>IF($K57="","",IF(INDEX('Activity Planner'!$B$5:$B$1004,$K57)="","",INDEX('Activity Planner'!$B$5:$B$1004,$K57)))</f>
        <v>0</v>
      </c>
      <c r="B57" s="36">
        <f>IF($K57="","",IF(INDEX('Activity Planner'!$F$5:$F$1004,$K57)="","",INDEX('Activity Planner'!$F$5:$F$1004,$K57)))</f>
        <v>0</v>
      </c>
      <c r="C57" s="36">
        <f>IF($K57="","",IF(INDEX('Activity Planner'!$G$5:$G$1004,$K57)="","",INDEX('Activity Planner'!$G$5:$G$1004,$K57)))</f>
        <v>0</v>
      </c>
      <c r="D57" s="35">
        <f>IF($K57="","",IF(INDEX('Activity Planner'!$C$5:$C$1004,$K57)="","",INDEX('Activity Planner'!$C$5:$C$1004,$K57)))</f>
        <v>0</v>
      </c>
      <c r="E57" s="35">
        <f>IF($K57="","",IF(INDEX('Activity Planner'!$D$5:$D$1004,$K57)="","",INDEX('Activity Planner'!$D$5:$D$1004,$K57)))</f>
        <v>0</v>
      </c>
      <c r="F57" s="35">
        <f>IF($K57="","",IF(INDEX('Activity Planner'!$E$5:$E$1004,$K57)="","",INDEX('Activity Planner'!$E$5:$E$1004,$K57)))</f>
        <v>0</v>
      </c>
      <c r="G57" s="35">
        <f>IF($K57="","",IF(INDEX('Activity Planner'!$H$5:$H$1004,$K57)="","",INDEX('Activity Planner'!$H$5:$H$1004,$K57)))</f>
        <v>0</v>
      </c>
      <c r="H57" s="35">
        <f>IF($K57="","",IF(INDEX('Activity Planner'!$I$5:$I$1004,$K57)="","",INDEX('Activity Planner'!$I$5:$I$1004,$K57)))</f>
        <v>0</v>
      </c>
      <c r="K57">
        <f>IFERROR(MATCH(SMALL(Calc!$Q$5:$Q$1004,25),Calc!$Q$5:$Q$1004,0),"")</f>
        <v>0</v>
      </c>
    </row>
    <row r="58" spans="1:11">
      <c r="A58" s="35">
        <f>IF($K58="","",IF(INDEX('Activity Planner'!$B$5:$B$1004,$K58)="","",INDEX('Activity Planner'!$B$5:$B$1004,$K58)))</f>
        <v>0</v>
      </c>
      <c r="B58" s="36">
        <f>IF($K58="","",IF(INDEX('Activity Planner'!$F$5:$F$1004,$K58)="","",INDEX('Activity Planner'!$F$5:$F$1004,$K58)))</f>
        <v>0</v>
      </c>
      <c r="C58" s="36">
        <f>IF($K58="","",IF(INDEX('Activity Planner'!$G$5:$G$1004,$K58)="","",INDEX('Activity Planner'!$G$5:$G$1004,$K58)))</f>
        <v>0</v>
      </c>
      <c r="D58" s="35">
        <f>IF($K58="","",IF(INDEX('Activity Planner'!$C$5:$C$1004,$K58)="","",INDEX('Activity Planner'!$C$5:$C$1004,$K58)))</f>
        <v>0</v>
      </c>
      <c r="E58" s="35">
        <f>IF($K58="","",IF(INDEX('Activity Planner'!$D$5:$D$1004,$K58)="","",INDEX('Activity Planner'!$D$5:$D$1004,$K58)))</f>
        <v>0</v>
      </c>
      <c r="F58" s="35">
        <f>IF($K58="","",IF(INDEX('Activity Planner'!$E$5:$E$1004,$K58)="","",INDEX('Activity Planner'!$E$5:$E$1004,$K58)))</f>
        <v>0</v>
      </c>
      <c r="G58" s="35">
        <f>IF($K58="","",IF(INDEX('Activity Planner'!$H$5:$H$1004,$K58)="","",INDEX('Activity Planner'!$H$5:$H$1004,$K58)))</f>
        <v>0</v>
      </c>
      <c r="H58" s="35">
        <f>IF($K58="","",IF(INDEX('Activity Planner'!$I$5:$I$1004,$K58)="","",INDEX('Activity Planner'!$I$5:$I$1004,$K58)))</f>
        <v>0</v>
      </c>
      <c r="K58">
        <f>IFERROR(MATCH(SMALL(Calc!$Q$5:$Q$1004,26),Calc!$Q$5:$Q$1004,0),"")</f>
        <v>0</v>
      </c>
    </row>
    <row r="59" spans="1:11">
      <c r="A59" s="35">
        <f>IF($K59="","",IF(INDEX('Activity Planner'!$B$5:$B$1004,$K59)="","",INDEX('Activity Planner'!$B$5:$B$1004,$K59)))</f>
        <v>0</v>
      </c>
      <c r="B59" s="36">
        <f>IF($K59="","",IF(INDEX('Activity Planner'!$F$5:$F$1004,$K59)="","",INDEX('Activity Planner'!$F$5:$F$1004,$K59)))</f>
        <v>0</v>
      </c>
      <c r="C59" s="36">
        <f>IF($K59="","",IF(INDEX('Activity Planner'!$G$5:$G$1004,$K59)="","",INDEX('Activity Planner'!$G$5:$G$1004,$K59)))</f>
        <v>0</v>
      </c>
      <c r="D59" s="35">
        <f>IF($K59="","",IF(INDEX('Activity Planner'!$C$5:$C$1004,$K59)="","",INDEX('Activity Planner'!$C$5:$C$1004,$K59)))</f>
        <v>0</v>
      </c>
      <c r="E59" s="35">
        <f>IF($K59="","",IF(INDEX('Activity Planner'!$D$5:$D$1004,$K59)="","",INDEX('Activity Planner'!$D$5:$D$1004,$K59)))</f>
        <v>0</v>
      </c>
      <c r="F59" s="35">
        <f>IF($K59="","",IF(INDEX('Activity Planner'!$E$5:$E$1004,$K59)="","",INDEX('Activity Planner'!$E$5:$E$1004,$K59)))</f>
        <v>0</v>
      </c>
      <c r="G59" s="35">
        <f>IF($K59="","",IF(INDEX('Activity Planner'!$H$5:$H$1004,$K59)="","",INDEX('Activity Planner'!$H$5:$H$1004,$K59)))</f>
        <v>0</v>
      </c>
      <c r="H59" s="35">
        <f>IF($K59="","",IF(INDEX('Activity Planner'!$I$5:$I$1004,$K59)="","",INDEX('Activity Planner'!$I$5:$I$1004,$K59)))</f>
        <v>0</v>
      </c>
      <c r="K59">
        <f>IFERROR(MATCH(SMALL(Calc!$Q$5:$Q$1004,27),Calc!$Q$5:$Q$1004,0),"")</f>
        <v>0</v>
      </c>
    </row>
    <row r="60" spans="1:11">
      <c r="A60" s="35">
        <f>IF($K60="","",IF(INDEX('Activity Planner'!$B$5:$B$1004,$K60)="","",INDEX('Activity Planner'!$B$5:$B$1004,$K60)))</f>
        <v>0</v>
      </c>
      <c r="B60" s="36">
        <f>IF($K60="","",IF(INDEX('Activity Planner'!$F$5:$F$1004,$K60)="","",INDEX('Activity Planner'!$F$5:$F$1004,$K60)))</f>
        <v>0</v>
      </c>
      <c r="C60" s="36">
        <f>IF($K60="","",IF(INDEX('Activity Planner'!$G$5:$G$1004,$K60)="","",INDEX('Activity Planner'!$G$5:$G$1004,$K60)))</f>
        <v>0</v>
      </c>
      <c r="D60" s="35">
        <f>IF($K60="","",IF(INDEX('Activity Planner'!$C$5:$C$1004,$K60)="","",INDEX('Activity Planner'!$C$5:$C$1004,$K60)))</f>
        <v>0</v>
      </c>
      <c r="E60" s="35">
        <f>IF($K60="","",IF(INDEX('Activity Planner'!$D$5:$D$1004,$K60)="","",INDEX('Activity Planner'!$D$5:$D$1004,$K60)))</f>
        <v>0</v>
      </c>
      <c r="F60" s="35">
        <f>IF($K60="","",IF(INDEX('Activity Planner'!$E$5:$E$1004,$K60)="","",INDEX('Activity Planner'!$E$5:$E$1004,$K60)))</f>
        <v>0</v>
      </c>
      <c r="G60" s="35">
        <f>IF($K60="","",IF(INDEX('Activity Planner'!$H$5:$H$1004,$K60)="","",INDEX('Activity Planner'!$H$5:$H$1004,$K60)))</f>
        <v>0</v>
      </c>
      <c r="H60" s="35">
        <f>IF($K60="","",IF(INDEX('Activity Planner'!$I$5:$I$1004,$K60)="","",INDEX('Activity Planner'!$I$5:$I$1004,$K60)))</f>
        <v>0</v>
      </c>
      <c r="K60">
        <f>IFERROR(MATCH(SMALL(Calc!$Q$5:$Q$1004,28),Calc!$Q$5:$Q$1004,0),"")</f>
        <v>0</v>
      </c>
    </row>
    <row r="61" spans="1:11">
      <c r="A61" s="35">
        <f>IF($K61="","",IF(INDEX('Activity Planner'!$B$5:$B$1004,$K61)="","",INDEX('Activity Planner'!$B$5:$B$1004,$K61)))</f>
        <v>0</v>
      </c>
      <c r="B61" s="36">
        <f>IF($K61="","",IF(INDEX('Activity Planner'!$F$5:$F$1004,$K61)="","",INDEX('Activity Planner'!$F$5:$F$1004,$K61)))</f>
        <v>0</v>
      </c>
      <c r="C61" s="36">
        <f>IF($K61="","",IF(INDEX('Activity Planner'!$G$5:$G$1004,$K61)="","",INDEX('Activity Planner'!$G$5:$G$1004,$K61)))</f>
        <v>0</v>
      </c>
      <c r="D61" s="35">
        <f>IF($K61="","",IF(INDEX('Activity Planner'!$C$5:$C$1004,$K61)="","",INDEX('Activity Planner'!$C$5:$C$1004,$K61)))</f>
        <v>0</v>
      </c>
      <c r="E61" s="35">
        <f>IF($K61="","",IF(INDEX('Activity Planner'!$D$5:$D$1004,$K61)="","",INDEX('Activity Planner'!$D$5:$D$1004,$K61)))</f>
        <v>0</v>
      </c>
      <c r="F61" s="35">
        <f>IF($K61="","",IF(INDEX('Activity Planner'!$E$5:$E$1004,$K61)="","",INDEX('Activity Planner'!$E$5:$E$1004,$K61)))</f>
        <v>0</v>
      </c>
      <c r="G61" s="35">
        <f>IF($K61="","",IF(INDEX('Activity Planner'!$H$5:$H$1004,$K61)="","",INDEX('Activity Planner'!$H$5:$H$1004,$K61)))</f>
        <v>0</v>
      </c>
      <c r="H61" s="35">
        <f>IF($K61="","",IF(INDEX('Activity Planner'!$I$5:$I$1004,$K61)="","",INDEX('Activity Planner'!$I$5:$I$1004,$K61)))</f>
        <v>0</v>
      </c>
      <c r="K61">
        <f>IFERROR(MATCH(SMALL(Calc!$Q$5:$Q$1004,29),Calc!$Q$5:$Q$1004,0),"")</f>
        <v>0</v>
      </c>
    </row>
    <row r="62" spans="1:11">
      <c r="A62" s="35">
        <f>IF($K62="","",IF(INDEX('Activity Planner'!$B$5:$B$1004,$K62)="","",INDEX('Activity Planner'!$B$5:$B$1004,$K62)))</f>
        <v>0</v>
      </c>
      <c r="B62" s="36">
        <f>IF($K62="","",IF(INDEX('Activity Planner'!$F$5:$F$1004,$K62)="","",INDEX('Activity Planner'!$F$5:$F$1004,$K62)))</f>
        <v>0</v>
      </c>
      <c r="C62" s="36">
        <f>IF($K62="","",IF(INDEX('Activity Planner'!$G$5:$G$1004,$K62)="","",INDEX('Activity Planner'!$G$5:$G$1004,$K62)))</f>
        <v>0</v>
      </c>
      <c r="D62" s="35">
        <f>IF($K62="","",IF(INDEX('Activity Planner'!$C$5:$C$1004,$K62)="","",INDEX('Activity Planner'!$C$5:$C$1004,$K62)))</f>
        <v>0</v>
      </c>
      <c r="E62" s="35">
        <f>IF($K62="","",IF(INDEX('Activity Planner'!$D$5:$D$1004,$K62)="","",INDEX('Activity Planner'!$D$5:$D$1004,$K62)))</f>
        <v>0</v>
      </c>
      <c r="F62" s="35">
        <f>IF($K62="","",IF(INDEX('Activity Planner'!$E$5:$E$1004,$K62)="","",INDEX('Activity Planner'!$E$5:$E$1004,$K62)))</f>
        <v>0</v>
      </c>
      <c r="G62" s="35">
        <f>IF($K62="","",IF(INDEX('Activity Planner'!$H$5:$H$1004,$K62)="","",INDEX('Activity Planner'!$H$5:$H$1004,$K62)))</f>
        <v>0</v>
      </c>
      <c r="H62" s="35">
        <f>IF($K62="","",IF(INDEX('Activity Planner'!$I$5:$I$1004,$K62)="","",INDEX('Activity Planner'!$I$5:$I$1004,$K62)))</f>
        <v>0</v>
      </c>
      <c r="K62">
        <f>IFERROR(MATCH(SMALL(Calc!$Q$5:$Q$1004,30),Calc!$Q$5:$Q$1004,0),"")</f>
        <v>0</v>
      </c>
    </row>
    <row r="63" spans="1:11">
      <c r="A63" s="35">
        <f>IF($K63="","",IF(INDEX('Activity Planner'!$B$5:$B$1004,$K63)="","",INDEX('Activity Planner'!$B$5:$B$1004,$K63)))</f>
        <v>0</v>
      </c>
      <c r="B63" s="36">
        <f>IF($K63="","",IF(INDEX('Activity Planner'!$F$5:$F$1004,$K63)="","",INDEX('Activity Planner'!$F$5:$F$1004,$K63)))</f>
        <v>0</v>
      </c>
      <c r="C63" s="36">
        <f>IF($K63="","",IF(INDEX('Activity Planner'!$G$5:$G$1004,$K63)="","",INDEX('Activity Planner'!$G$5:$G$1004,$K63)))</f>
        <v>0</v>
      </c>
      <c r="D63" s="35">
        <f>IF($K63="","",IF(INDEX('Activity Planner'!$C$5:$C$1004,$K63)="","",INDEX('Activity Planner'!$C$5:$C$1004,$K63)))</f>
        <v>0</v>
      </c>
      <c r="E63" s="35">
        <f>IF($K63="","",IF(INDEX('Activity Planner'!$D$5:$D$1004,$K63)="","",INDEX('Activity Planner'!$D$5:$D$1004,$K63)))</f>
        <v>0</v>
      </c>
      <c r="F63" s="35">
        <f>IF($K63="","",IF(INDEX('Activity Planner'!$E$5:$E$1004,$K63)="","",INDEX('Activity Planner'!$E$5:$E$1004,$K63)))</f>
        <v>0</v>
      </c>
      <c r="G63" s="35">
        <f>IF($K63="","",IF(INDEX('Activity Planner'!$H$5:$H$1004,$K63)="","",INDEX('Activity Planner'!$H$5:$H$1004,$K63)))</f>
        <v>0</v>
      </c>
      <c r="H63" s="35">
        <f>IF($K63="","",IF(INDEX('Activity Planner'!$I$5:$I$1004,$K63)="","",INDEX('Activity Planner'!$I$5:$I$1004,$K63)))</f>
        <v>0</v>
      </c>
      <c r="K63">
        <f>IFERROR(MATCH(SMALL(Calc!$Q$5:$Q$1004,31),Calc!$Q$5:$Q$1004,0),"")</f>
        <v>0</v>
      </c>
    </row>
    <row r="64" spans="1:11">
      <c r="A64" s="35">
        <f>IF($K64="","",IF(INDEX('Activity Planner'!$B$5:$B$1004,$K64)="","",INDEX('Activity Planner'!$B$5:$B$1004,$K64)))</f>
        <v>0</v>
      </c>
      <c r="B64" s="36">
        <f>IF($K64="","",IF(INDEX('Activity Planner'!$F$5:$F$1004,$K64)="","",INDEX('Activity Planner'!$F$5:$F$1004,$K64)))</f>
        <v>0</v>
      </c>
      <c r="C64" s="36">
        <f>IF($K64="","",IF(INDEX('Activity Planner'!$G$5:$G$1004,$K64)="","",INDEX('Activity Planner'!$G$5:$G$1004,$K64)))</f>
        <v>0</v>
      </c>
      <c r="D64" s="35">
        <f>IF($K64="","",IF(INDEX('Activity Planner'!$C$5:$C$1004,$K64)="","",INDEX('Activity Planner'!$C$5:$C$1004,$K64)))</f>
        <v>0</v>
      </c>
      <c r="E64" s="35">
        <f>IF($K64="","",IF(INDEX('Activity Planner'!$D$5:$D$1004,$K64)="","",INDEX('Activity Planner'!$D$5:$D$1004,$K64)))</f>
        <v>0</v>
      </c>
      <c r="F64" s="35">
        <f>IF($K64="","",IF(INDEX('Activity Planner'!$E$5:$E$1004,$K64)="","",INDEX('Activity Planner'!$E$5:$E$1004,$K64)))</f>
        <v>0</v>
      </c>
      <c r="G64" s="35">
        <f>IF($K64="","",IF(INDEX('Activity Planner'!$H$5:$H$1004,$K64)="","",INDEX('Activity Planner'!$H$5:$H$1004,$K64)))</f>
        <v>0</v>
      </c>
      <c r="H64" s="35">
        <f>IF($K64="","",IF(INDEX('Activity Planner'!$I$5:$I$1004,$K64)="","",INDEX('Activity Planner'!$I$5:$I$1004,$K64)))</f>
        <v>0</v>
      </c>
      <c r="K64">
        <f>IFERROR(MATCH(SMALL(Calc!$Q$5:$Q$1004,32),Calc!$Q$5:$Q$1004,0),"")</f>
        <v>0</v>
      </c>
    </row>
    <row r="65" spans="1:11">
      <c r="A65" s="35">
        <f>IF($K65="","",IF(INDEX('Activity Planner'!$B$5:$B$1004,$K65)="","",INDEX('Activity Planner'!$B$5:$B$1004,$K65)))</f>
        <v>0</v>
      </c>
      <c r="B65" s="36">
        <f>IF($K65="","",IF(INDEX('Activity Planner'!$F$5:$F$1004,$K65)="","",INDEX('Activity Planner'!$F$5:$F$1004,$K65)))</f>
        <v>0</v>
      </c>
      <c r="C65" s="36">
        <f>IF($K65="","",IF(INDEX('Activity Planner'!$G$5:$G$1004,$K65)="","",INDEX('Activity Planner'!$G$5:$G$1004,$K65)))</f>
        <v>0</v>
      </c>
      <c r="D65" s="35">
        <f>IF($K65="","",IF(INDEX('Activity Planner'!$C$5:$C$1004,$K65)="","",INDEX('Activity Planner'!$C$5:$C$1004,$K65)))</f>
        <v>0</v>
      </c>
      <c r="E65" s="35">
        <f>IF($K65="","",IF(INDEX('Activity Planner'!$D$5:$D$1004,$K65)="","",INDEX('Activity Planner'!$D$5:$D$1004,$K65)))</f>
        <v>0</v>
      </c>
      <c r="F65" s="35">
        <f>IF($K65="","",IF(INDEX('Activity Planner'!$E$5:$E$1004,$K65)="","",INDEX('Activity Planner'!$E$5:$E$1004,$K65)))</f>
        <v>0</v>
      </c>
      <c r="G65" s="35">
        <f>IF($K65="","",IF(INDEX('Activity Planner'!$H$5:$H$1004,$K65)="","",INDEX('Activity Planner'!$H$5:$H$1004,$K65)))</f>
        <v>0</v>
      </c>
      <c r="H65" s="35">
        <f>IF($K65="","",IF(INDEX('Activity Planner'!$I$5:$I$1004,$K65)="","",INDEX('Activity Planner'!$I$5:$I$1004,$K65)))</f>
        <v>0</v>
      </c>
      <c r="K65">
        <f>IFERROR(MATCH(SMALL(Calc!$Q$5:$Q$1004,33),Calc!$Q$5:$Q$1004,0),"")</f>
        <v>0</v>
      </c>
    </row>
    <row r="66" spans="1:11">
      <c r="A66" s="35">
        <f>IF($K66="","",IF(INDEX('Activity Planner'!$B$5:$B$1004,$K66)="","",INDEX('Activity Planner'!$B$5:$B$1004,$K66)))</f>
        <v>0</v>
      </c>
      <c r="B66" s="36">
        <f>IF($K66="","",IF(INDEX('Activity Planner'!$F$5:$F$1004,$K66)="","",INDEX('Activity Planner'!$F$5:$F$1004,$K66)))</f>
        <v>0</v>
      </c>
      <c r="C66" s="36">
        <f>IF($K66="","",IF(INDEX('Activity Planner'!$G$5:$G$1004,$K66)="","",INDEX('Activity Planner'!$G$5:$G$1004,$K66)))</f>
        <v>0</v>
      </c>
      <c r="D66" s="35">
        <f>IF($K66="","",IF(INDEX('Activity Planner'!$C$5:$C$1004,$K66)="","",INDEX('Activity Planner'!$C$5:$C$1004,$K66)))</f>
        <v>0</v>
      </c>
      <c r="E66" s="35">
        <f>IF($K66="","",IF(INDEX('Activity Planner'!$D$5:$D$1004,$K66)="","",INDEX('Activity Planner'!$D$5:$D$1004,$K66)))</f>
        <v>0</v>
      </c>
      <c r="F66" s="35">
        <f>IF($K66="","",IF(INDEX('Activity Planner'!$E$5:$E$1004,$K66)="","",INDEX('Activity Planner'!$E$5:$E$1004,$K66)))</f>
        <v>0</v>
      </c>
      <c r="G66" s="35">
        <f>IF($K66="","",IF(INDEX('Activity Planner'!$H$5:$H$1004,$K66)="","",INDEX('Activity Planner'!$H$5:$H$1004,$K66)))</f>
        <v>0</v>
      </c>
      <c r="H66" s="35">
        <f>IF($K66="","",IF(INDEX('Activity Planner'!$I$5:$I$1004,$K66)="","",INDEX('Activity Planner'!$I$5:$I$1004,$K66)))</f>
        <v>0</v>
      </c>
      <c r="K66">
        <f>IFERROR(MATCH(SMALL(Calc!$Q$5:$Q$1004,34),Calc!$Q$5:$Q$1004,0),"")</f>
        <v>0</v>
      </c>
    </row>
    <row r="67" spans="1:11">
      <c r="A67" s="35">
        <f>IF($K67="","",IF(INDEX('Activity Planner'!$B$5:$B$1004,$K67)="","",INDEX('Activity Planner'!$B$5:$B$1004,$K67)))</f>
        <v>0</v>
      </c>
      <c r="B67" s="36">
        <f>IF($K67="","",IF(INDEX('Activity Planner'!$F$5:$F$1004,$K67)="","",INDEX('Activity Planner'!$F$5:$F$1004,$K67)))</f>
        <v>0</v>
      </c>
      <c r="C67" s="36">
        <f>IF($K67="","",IF(INDEX('Activity Planner'!$G$5:$G$1004,$K67)="","",INDEX('Activity Planner'!$G$5:$G$1004,$K67)))</f>
        <v>0</v>
      </c>
      <c r="D67" s="35">
        <f>IF($K67="","",IF(INDEX('Activity Planner'!$C$5:$C$1004,$K67)="","",INDEX('Activity Planner'!$C$5:$C$1004,$K67)))</f>
        <v>0</v>
      </c>
      <c r="E67" s="35">
        <f>IF($K67="","",IF(INDEX('Activity Planner'!$D$5:$D$1004,$K67)="","",INDEX('Activity Planner'!$D$5:$D$1004,$K67)))</f>
        <v>0</v>
      </c>
      <c r="F67" s="35">
        <f>IF($K67="","",IF(INDEX('Activity Planner'!$E$5:$E$1004,$K67)="","",INDEX('Activity Planner'!$E$5:$E$1004,$K67)))</f>
        <v>0</v>
      </c>
      <c r="G67" s="35">
        <f>IF($K67="","",IF(INDEX('Activity Planner'!$H$5:$H$1004,$K67)="","",INDEX('Activity Planner'!$H$5:$H$1004,$K67)))</f>
        <v>0</v>
      </c>
      <c r="H67" s="35">
        <f>IF($K67="","",IF(INDEX('Activity Planner'!$I$5:$I$1004,$K67)="","",INDEX('Activity Planner'!$I$5:$I$1004,$K67)))</f>
        <v>0</v>
      </c>
      <c r="K67">
        <f>IFERROR(MATCH(SMALL(Calc!$Q$5:$Q$1004,35),Calc!$Q$5:$Q$1004,0),"")</f>
        <v>0</v>
      </c>
    </row>
    <row r="68" spans="1:11">
      <c r="A68" s="35">
        <f>IF($K68="","",IF(INDEX('Activity Planner'!$B$5:$B$1004,$K68)="","",INDEX('Activity Planner'!$B$5:$B$1004,$K68)))</f>
        <v>0</v>
      </c>
      <c r="B68" s="36">
        <f>IF($K68="","",IF(INDEX('Activity Planner'!$F$5:$F$1004,$K68)="","",INDEX('Activity Planner'!$F$5:$F$1004,$K68)))</f>
        <v>0</v>
      </c>
      <c r="C68" s="36">
        <f>IF($K68="","",IF(INDEX('Activity Planner'!$G$5:$G$1004,$K68)="","",INDEX('Activity Planner'!$G$5:$G$1004,$K68)))</f>
        <v>0</v>
      </c>
      <c r="D68" s="35">
        <f>IF($K68="","",IF(INDEX('Activity Planner'!$C$5:$C$1004,$K68)="","",INDEX('Activity Planner'!$C$5:$C$1004,$K68)))</f>
        <v>0</v>
      </c>
      <c r="E68" s="35">
        <f>IF($K68="","",IF(INDEX('Activity Planner'!$D$5:$D$1004,$K68)="","",INDEX('Activity Planner'!$D$5:$D$1004,$K68)))</f>
        <v>0</v>
      </c>
      <c r="F68" s="35">
        <f>IF($K68="","",IF(INDEX('Activity Planner'!$E$5:$E$1004,$K68)="","",INDEX('Activity Planner'!$E$5:$E$1004,$K68)))</f>
        <v>0</v>
      </c>
      <c r="G68" s="35">
        <f>IF($K68="","",IF(INDEX('Activity Planner'!$H$5:$H$1004,$K68)="","",INDEX('Activity Planner'!$H$5:$H$1004,$K68)))</f>
        <v>0</v>
      </c>
      <c r="H68" s="35">
        <f>IF($K68="","",IF(INDEX('Activity Planner'!$I$5:$I$1004,$K68)="","",INDEX('Activity Planner'!$I$5:$I$1004,$K68)))</f>
        <v>0</v>
      </c>
      <c r="K68">
        <f>IFERROR(MATCH(SMALL(Calc!$Q$5:$Q$1004,36),Calc!$Q$5:$Q$1004,0),"")</f>
        <v>0</v>
      </c>
    </row>
    <row r="69" spans="1:11">
      <c r="A69" s="35">
        <f>IF($K69="","",IF(INDEX('Activity Planner'!$B$5:$B$1004,$K69)="","",INDEX('Activity Planner'!$B$5:$B$1004,$K69)))</f>
        <v>0</v>
      </c>
      <c r="B69" s="36">
        <f>IF($K69="","",IF(INDEX('Activity Planner'!$F$5:$F$1004,$K69)="","",INDEX('Activity Planner'!$F$5:$F$1004,$K69)))</f>
        <v>0</v>
      </c>
      <c r="C69" s="36">
        <f>IF($K69="","",IF(INDEX('Activity Planner'!$G$5:$G$1004,$K69)="","",INDEX('Activity Planner'!$G$5:$G$1004,$K69)))</f>
        <v>0</v>
      </c>
      <c r="D69" s="35">
        <f>IF($K69="","",IF(INDEX('Activity Planner'!$C$5:$C$1004,$K69)="","",INDEX('Activity Planner'!$C$5:$C$1004,$K69)))</f>
        <v>0</v>
      </c>
      <c r="E69" s="35">
        <f>IF($K69="","",IF(INDEX('Activity Planner'!$D$5:$D$1004,$K69)="","",INDEX('Activity Planner'!$D$5:$D$1004,$K69)))</f>
        <v>0</v>
      </c>
      <c r="F69" s="35">
        <f>IF($K69="","",IF(INDEX('Activity Planner'!$E$5:$E$1004,$K69)="","",INDEX('Activity Planner'!$E$5:$E$1004,$K69)))</f>
        <v>0</v>
      </c>
      <c r="G69" s="35">
        <f>IF($K69="","",IF(INDEX('Activity Planner'!$H$5:$H$1004,$K69)="","",INDEX('Activity Planner'!$H$5:$H$1004,$K69)))</f>
        <v>0</v>
      </c>
      <c r="H69" s="35">
        <f>IF($K69="","",IF(INDEX('Activity Planner'!$I$5:$I$1004,$K69)="","",INDEX('Activity Planner'!$I$5:$I$1004,$K69)))</f>
        <v>0</v>
      </c>
      <c r="K69">
        <f>IFERROR(MATCH(SMALL(Calc!$Q$5:$Q$1004,37),Calc!$Q$5:$Q$1004,0),"")</f>
        <v>0</v>
      </c>
    </row>
    <row r="70" spans="1:11">
      <c r="A70" s="35">
        <f>IF($K70="","",IF(INDEX('Activity Planner'!$B$5:$B$1004,$K70)="","",INDEX('Activity Planner'!$B$5:$B$1004,$K70)))</f>
        <v>0</v>
      </c>
      <c r="B70" s="36">
        <f>IF($K70="","",IF(INDEX('Activity Planner'!$F$5:$F$1004,$K70)="","",INDEX('Activity Planner'!$F$5:$F$1004,$K70)))</f>
        <v>0</v>
      </c>
      <c r="C70" s="36">
        <f>IF($K70="","",IF(INDEX('Activity Planner'!$G$5:$G$1004,$K70)="","",INDEX('Activity Planner'!$G$5:$G$1004,$K70)))</f>
        <v>0</v>
      </c>
      <c r="D70" s="35">
        <f>IF($K70="","",IF(INDEX('Activity Planner'!$C$5:$C$1004,$K70)="","",INDEX('Activity Planner'!$C$5:$C$1004,$K70)))</f>
        <v>0</v>
      </c>
      <c r="E70" s="35">
        <f>IF($K70="","",IF(INDEX('Activity Planner'!$D$5:$D$1004,$K70)="","",INDEX('Activity Planner'!$D$5:$D$1004,$K70)))</f>
        <v>0</v>
      </c>
      <c r="F70" s="35">
        <f>IF($K70="","",IF(INDEX('Activity Planner'!$E$5:$E$1004,$K70)="","",INDEX('Activity Planner'!$E$5:$E$1004,$K70)))</f>
        <v>0</v>
      </c>
      <c r="G70" s="35">
        <f>IF($K70="","",IF(INDEX('Activity Planner'!$H$5:$H$1004,$K70)="","",INDEX('Activity Planner'!$H$5:$H$1004,$K70)))</f>
        <v>0</v>
      </c>
      <c r="H70" s="35">
        <f>IF($K70="","",IF(INDEX('Activity Planner'!$I$5:$I$1004,$K70)="","",INDEX('Activity Planner'!$I$5:$I$1004,$K70)))</f>
        <v>0</v>
      </c>
      <c r="K70">
        <f>IFERROR(MATCH(SMALL(Calc!$Q$5:$Q$1004,38),Calc!$Q$5:$Q$1004,0),"")</f>
        <v>0</v>
      </c>
    </row>
    <row r="71" spans="1:11">
      <c r="A71" s="35">
        <f>IF($K71="","",IF(INDEX('Activity Planner'!$B$5:$B$1004,$K71)="","",INDEX('Activity Planner'!$B$5:$B$1004,$K71)))</f>
        <v>0</v>
      </c>
      <c r="B71" s="36">
        <f>IF($K71="","",IF(INDEX('Activity Planner'!$F$5:$F$1004,$K71)="","",INDEX('Activity Planner'!$F$5:$F$1004,$K71)))</f>
        <v>0</v>
      </c>
      <c r="C71" s="36">
        <f>IF($K71="","",IF(INDEX('Activity Planner'!$G$5:$G$1004,$K71)="","",INDEX('Activity Planner'!$G$5:$G$1004,$K71)))</f>
        <v>0</v>
      </c>
      <c r="D71" s="35">
        <f>IF($K71="","",IF(INDEX('Activity Planner'!$C$5:$C$1004,$K71)="","",INDEX('Activity Planner'!$C$5:$C$1004,$K71)))</f>
        <v>0</v>
      </c>
      <c r="E71" s="35">
        <f>IF($K71="","",IF(INDEX('Activity Planner'!$D$5:$D$1004,$K71)="","",INDEX('Activity Planner'!$D$5:$D$1004,$K71)))</f>
        <v>0</v>
      </c>
      <c r="F71" s="35">
        <f>IF($K71="","",IF(INDEX('Activity Planner'!$E$5:$E$1004,$K71)="","",INDEX('Activity Planner'!$E$5:$E$1004,$K71)))</f>
        <v>0</v>
      </c>
      <c r="G71" s="35">
        <f>IF($K71="","",IF(INDEX('Activity Planner'!$H$5:$H$1004,$K71)="","",INDEX('Activity Planner'!$H$5:$H$1004,$K71)))</f>
        <v>0</v>
      </c>
      <c r="H71" s="35">
        <f>IF($K71="","",IF(INDEX('Activity Planner'!$I$5:$I$1004,$K71)="","",INDEX('Activity Planner'!$I$5:$I$1004,$K71)))</f>
        <v>0</v>
      </c>
      <c r="K71">
        <f>IFERROR(MATCH(SMALL(Calc!$Q$5:$Q$1004,39),Calc!$Q$5:$Q$1004,0),"")</f>
        <v>0</v>
      </c>
    </row>
    <row r="72" spans="1:11">
      <c r="A72" s="35">
        <f>IF($K72="","",IF(INDEX('Activity Planner'!$B$5:$B$1004,$K72)="","",INDEX('Activity Planner'!$B$5:$B$1004,$K72)))</f>
        <v>0</v>
      </c>
      <c r="B72" s="36">
        <f>IF($K72="","",IF(INDEX('Activity Planner'!$F$5:$F$1004,$K72)="","",INDEX('Activity Planner'!$F$5:$F$1004,$K72)))</f>
        <v>0</v>
      </c>
      <c r="C72" s="36">
        <f>IF($K72="","",IF(INDEX('Activity Planner'!$G$5:$G$1004,$K72)="","",INDEX('Activity Planner'!$G$5:$G$1004,$K72)))</f>
        <v>0</v>
      </c>
      <c r="D72" s="35">
        <f>IF($K72="","",IF(INDEX('Activity Planner'!$C$5:$C$1004,$K72)="","",INDEX('Activity Planner'!$C$5:$C$1004,$K72)))</f>
        <v>0</v>
      </c>
      <c r="E72" s="35">
        <f>IF($K72="","",IF(INDEX('Activity Planner'!$D$5:$D$1004,$K72)="","",INDEX('Activity Planner'!$D$5:$D$1004,$K72)))</f>
        <v>0</v>
      </c>
      <c r="F72" s="35">
        <f>IF($K72="","",IF(INDEX('Activity Planner'!$E$5:$E$1004,$K72)="","",INDEX('Activity Planner'!$E$5:$E$1004,$K72)))</f>
        <v>0</v>
      </c>
      <c r="G72" s="35">
        <f>IF($K72="","",IF(INDEX('Activity Planner'!$H$5:$H$1004,$K72)="","",INDEX('Activity Planner'!$H$5:$H$1004,$K72)))</f>
        <v>0</v>
      </c>
      <c r="H72" s="35">
        <f>IF($K72="","",IF(INDEX('Activity Planner'!$I$5:$I$1004,$K72)="","",INDEX('Activity Planner'!$I$5:$I$1004,$K72)))</f>
        <v>0</v>
      </c>
      <c r="K72">
        <f>IFERROR(MATCH(SMALL(Calc!$Q$5:$Q$1004,40),Calc!$Q$5:$Q$1004,0),"")</f>
        <v>0</v>
      </c>
    </row>
    <row r="74" spans="1:11">
      <c r="A74" s="11">
        <f>IF(COUNT(Calc!$Q$5:$Q$1004)&gt;40,"Showing the first 40 of "&amp;COUNT(Calc!$Q$5:$Q$1004)&amp;" activities - filter the Activity Planner for the rest.","")</f>
        <v>0</v>
      </c>
    </row>
  </sheetData>
  <sheetProtection sheet="1" objects="1" scenarios="1" formatColumns="0" formatRows="0"/>
  <mergeCells count="3">
    <mergeCell ref="A11:H11"/>
    <mergeCell ref="A26:H26"/>
    <mergeCell ref="A31:H31"/>
  </mergeCells>
  <conditionalFormatting sqref="E33:E72">
    <cfRule type="expression" dxfId="3" priority="1">
      <formula>$E33=Lists!$E$5</formula>
    </cfRule>
    <cfRule type="expression" dxfId="4" priority="2">
      <formula>$E33=Lists!$E$6</formula>
    </cfRule>
    <cfRule type="expression" dxfId="5" priority="3">
      <formula>$E33=Lists!$E$7</formula>
    </cfRule>
  </conditionalFormatting>
  <dataValidations count="1">
    <dataValidation type="list" allowBlank="1" showInputMessage="1" showErrorMessage="1" sqref="B5">
      <formula1>MonthList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2"/>
  <sheetViews>
    <sheetView showGridLines="0" workbookViewId="0"/>
  </sheetViews>
  <sheetFormatPr defaultRowHeight="15" x14ac:dyDescent="0.25"/>
  <cols>
    <col min="1" max="1" width="30.7109375" customWidth="1"/>
    <col min="2" max="13" width="17.7109375" customWidth="1"/>
    <col min="15" max="15" width="6.7109375" hidden="1" customWidth="1"/>
  </cols>
  <sheetData>
    <row r="1" spans="1:13" x14ac:dyDescent="0.25">
      <c r="A1" s="1" t="s">
        <v>157</v>
      </c>
    </row>
    <row r="2" spans="1:13" ht="32" customHeight="1" x14ac:dyDescent="0.25">
      <c r="A2" s="2" t="s">
        <v>158</v>
      </c>
    </row>
    <row r="3" spans="1:13" x14ac:dyDescent="0.25">
      <c r="A3" s="3" t="s">
        <v>159</v>
      </c>
    </row>
    <row r="5" spans="1:13" x14ac:dyDescent="0.25">
      <c r="A5" s="29" t="s">
        <v>160</v>
      </c>
      <c r="B5" s="30" t="s">
        <v>3</v>
      </c>
      <c r="C5" s="11">
        <f>"Planning year "&amp;PlanYear&amp;"   |   Showing: "&amp;StatusFilter</f>
        <v>0</v>
      </c>
    </row>
    <row r="7" spans="1:13" ht="28" customHeight="1" x14ac:dyDescent="0.25">
      <c r="A7" s="31" t="s">
        <v>145</v>
      </c>
      <c r="B7" s="31" t="s">
        <v>139</v>
      </c>
      <c r="C7" s="31" t="s">
        <v>135</v>
      </c>
      <c r="D7" s="32" t="s">
        <v>136</v>
      </c>
      <c r="E7" s="33" t="s">
        <v>137</v>
      </c>
      <c r="F7" s="31" t="s">
        <v>161</v>
      </c>
    </row>
    <row r="8" spans="1:13" ht="36" customHeight="1" x14ac:dyDescent="0.25">
      <c r="A8" s="34">
        <f>COUNT(Calc!$R$5:$R$1004)</f>
        <v>0</v>
      </c>
      <c r="B8" s="34">
        <f>SUMPRODUCT(--ISNUMBER(Calc!$R$5:$R$1004),--('Activity Planner'!$E$5:$E$1004="Event"))</f>
        <v>0</v>
      </c>
      <c r="C8" s="34">
        <f>SUMPRODUCT(--ISNUMBER(Calc!$R$5:$R$1004),--('Activity Planner'!$D$5:$D$1004=Lists!$E$5))</f>
        <v>0</v>
      </c>
      <c r="D8" s="34">
        <f>SUMPRODUCT(--ISNUMBER(Calc!$R$5:$R$1004),--('Activity Planner'!$D$5:$D$1004=Lists!$E$6))</f>
        <v>0</v>
      </c>
      <c r="E8" s="34">
        <f>SUMPRODUCT(--ISNUMBER(Calc!$R$5:$R$1004),--('Activity Planner'!$D$5:$D$1004=Lists!$E$7))</f>
        <v>0</v>
      </c>
      <c r="F8" s="37">
        <f>IF(MAX($B$17:$M$17)=0,"-",INDEX(MonthList,MATCH(MAX($B$17:$M$17),$B$17:$M$17,0)))</f>
        <v>0</v>
      </c>
    </row>
    <row r="10" spans="1:13" x14ac:dyDescent="0.25">
      <c r="A10" s="4" t="s">
        <v>162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12" t="s">
        <v>153</v>
      </c>
      <c r="B11" s="13" t="s">
        <v>108</v>
      </c>
      <c r="C11" s="13" t="s">
        <v>109</v>
      </c>
      <c r="D11" s="13" t="s">
        <v>110</v>
      </c>
      <c r="E11" s="13" t="s">
        <v>111</v>
      </c>
      <c r="F11" s="13" t="s">
        <v>112</v>
      </c>
      <c r="G11" s="13" t="s">
        <v>113</v>
      </c>
      <c r="H11" s="13" t="s">
        <v>114</v>
      </c>
      <c r="I11" s="13" t="s">
        <v>115</v>
      </c>
      <c r="J11" s="13" t="s">
        <v>116</v>
      </c>
      <c r="K11" s="13" t="s">
        <v>117</v>
      </c>
      <c r="L11" s="13" t="s">
        <v>118</v>
      </c>
      <c r="M11" s="13" t="s">
        <v>119</v>
      </c>
    </row>
    <row r="12" spans="1:13" ht="58" customHeight="1" x14ac:dyDescent="0.25">
      <c r="A12" s="38">
        <f>Lists!$E$5</f>
        <v>0</v>
      </c>
      <c r="B12" s="15">
        <f t="array" ref="B12">IF(SelPractice="","",_xlfn.TEXTJOIN(CHAR(10),TRUE,IFERROR(INDEX('Activity Planner'!$B$5:$B$1004,SMALL(IF(('Activity Planner'!$C$5:$C$1004=SelPractice)*('Activity Planner'!$D$5:$D$1004=$A12)*('Activity Planner'!$O$5:$O$1004=1),ROW('Activity Planner'!$B$5:$B$1004)-4),{1,2,3})),""))&amp;IF(SUMIFS('Activity Planner'!$O$5:$O$1004,'Activity Planner'!$C$5:$C$1004,SelPractice,'Activity Planner'!$D$5:$D$1004,$A12)&gt;3,CHAR(10)&amp;"+"&amp;(SUMIFS('Activity Planner'!$O$5:$O$1004,'Activity Planner'!$C$5:$C$1004,SelPractice,'Activity Planner'!$D$5:$D$1004,$A12)-3)&amp;" more",""))</f>
        <v>0</v>
      </c>
      <c r="C12" s="15">
        <f t="array" ref="C12">IF(SelPractice="","",_xlfn.TEXTJOIN(CHAR(10),TRUE,IFERROR(INDEX('Activity Planner'!$B$5:$B$1004,SMALL(IF(('Activity Planner'!$C$5:$C$1004=SelPractice)*('Activity Planner'!$D$5:$D$1004=$A12)*('Activity Planner'!$P$5:$P$1004=1),ROW('Activity Planner'!$B$5:$B$1004)-4),{1,2,3})),""))&amp;IF(SUMIFS('Activity Planner'!$P$5:$P$1004,'Activity Planner'!$C$5:$C$1004,SelPractice,'Activity Planner'!$D$5:$D$1004,$A12)&gt;3,CHAR(10)&amp;"+"&amp;(SUMIFS('Activity Planner'!$P$5:$P$1004,'Activity Planner'!$C$5:$C$1004,SelPractice,'Activity Planner'!$D$5:$D$1004,$A12)-3)&amp;" more",""))</f>
        <v>0</v>
      </c>
      <c r="D12" s="15">
        <f t="array" ref="D12">IF(SelPractice="","",_xlfn.TEXTJOIN(CHAR(10),TRUE,IFERROR(INDEX('Activity Planner'!$B$5:$B$1004,SMALL(IF(('Activity Planner'!$C$5:$C$1004=SelPractice)*('Activity Planner'!$D$5:$D$1004=$A12)*('Activity Planner'!$Q$5:$Q$1004=1),ROW('Activity Planner'!$B$5:$B$1004)-4),{1,2,3})),""))&amp;IF(SUMIFS('Activity Planner'!$Q$5:$Q$1004,'Activity Planner'!$C$5:$C$1004,SelPractice,'Activity Planner'!$D$5:$D$1004,$A12)&gt;3,CHAR(10)&amp;"+"&amp;(SUMIFS('Activity Planner'!$Q$5:$Q$1004,'Activity Planner'!$C$5:$C$1004,SelPractice,'Activity Planner'!$D$5:$D$1004,$A12)-3)&amp;" more",""))</f>
        <v>0</v>
      </c>
      <c r="E12" s="15">
        <f t="array" ref="E12">IF(SelPractice="","",_xlfn.TEXTJOIN(CHAR(10),TRUE,IFERROR(INDEX('Activity Planner'!$B$5:$B$1004,SMALL(IF(('Activity Planner'!$C$5:$C$1004=SelPractice)*('Activity Planner'!$D$5:$D$1004=$A12)*('Activity Planner'!$R$5:$R$1004=1),ROW('Activity Planner'!$B$5:$B$1004)-4),{1,2,3})),""))&amp;IF(SUMIFS('Activity Planner'!$R$5:$R$1004,'Activity Planner'!$C$5:$C$1004,SelPractice,'Activity Planner'!$D$5:$D$1004,$A12)&gt;3,CHAR(10)&amp;"+"&amp;(SUMIFS('Activity Planner'!$R$5:$R$1004,'Activity Planner'!$C$5:$C$1004,SelPractice,'Activity Planner'!$D$5:$D$1004,$A12)-3)&amp;" more",""))</f>
        <v>0</v>
      </c>
      <c r="F12" s="15">
        <f t="array" ref="F12">IF(SelPractice="","",_xlfn.TEXTJOIN(CHAR(10),TRUE,IFERROR(INDEX('Activity Planner'!$B$5:$B$1004,SMALL(IF(('Activity Planner'!$C$5:$C$1004=SelPractice)*('Activity Planner'!$D$5:$D$1004=$A12)*('Activity Planner'!$S$5:$S$1004=1),ROW('Activity Planner'!$B$5:$B$1004)-4),{1,2,3})),""))&amp;IF(SUMIFS('Activity Planner'!$S$5:$S$1004,'Activity Planner'!$C$5:$C$1004,SelPractice,'Activity Planner'!$D$5:$D$1004,$A12)&gt;3,CHAR(10)&amp;"+"&amp;(SUMIFS('Activity Planner'!$S$5:$S$1004,'Activity Planner'!$C$5:$C$1004,SelPractice,'Activity Planner'!$D$5:$D$1004,$A12)-3)&amp;" more",""))</f>
        <v>0</v>
      </c>
      <c r="G12" s="15">
        <f t="array" ref="G12">IF(SelPractice="","",_xlfn.TEXTJOIN(CHAR(10),TRUE,IFERROR(INDEX('Activity Planner'!$B$5:$B$1004,SMALL(IF(('Activity Planner'!$C$5:$C$1004=SelPractice)*('Activity Planner'!$D$5:$D$1004=$A12)*('Activity Planner'!$T$5:$T$1004=1),ROW('Activity Planner'!$B$5:$B$1004)-4),{1,2,3})),""))&amp;IF(SUMIFS('Activity Planner'!$T$5:$T$1004,'Activity Planner'!$C$5:$C$1004,SelPractice,'Activity Planner'!$D$5:$D$1004,$A12)&gt;3,CHAR(10)&amp;"+"&amp;(SUMIFS('Activity Planner'!$T$5:$T$1004,'Activity Planner'!$C$5:$C$1004,SelPractice,'Activity Planner'!$D$5:$D$1004,$A12)-3)&amp;" more",""))</f>
        <v>0</v>
      </c>
      <c r="H12" s="15">
        <f t="array" ref="H12">IF(SelPractice="","",_xlfn.TEXTJOIN(CHAR(10),TRUE,IFERROR(INDEX('Activity Planner'!$B$5:$B$1004,SMALL(IF(('Activity Planner'!$C$5:$C$1004=SelPractice)*('Activity Planner'!$D$5:$D$1004=$A12)*('Activity Planner'!$U$5:$U$1004=1),ROW('Activity Planner'!$B$5:$B$1004)-4),{1,2,3})),""))&amp;IF(SUMIFS('Activity Planner'!$U$5:$U$1004,'Activity Planner'!$C$5:$C$1004,SelPractice,'Activity Planner'!$D$5:$D$1004,$A12)&gt;3,CHAR(10)&amp;"+"&amp;(SUMIFS('Activity Planner'!$U$5:$U$1004,'Activity Planner'!$C$5:$C$1004,SelPractice,'Activity Planner'!$D$5:$D$1004,$A12)-3)&amp;" more",""))</f>
        <v>0</v>
      </c>
      <c r="I12" s="15">
        <f t="array" ref="I12">IF(SelPractice="","",_xlfn.TEXTJOIN(CHAR(10),TRUE,IFERROR(INDEX('Activity Planner'!$B$5:$B$1004,SMALL(IF(('Activity Planner'!$C$5:$C$1004=SelPractice)*('Activity Planner'!$D$5:$D$1004=$A12)*('Activity Planner'!$V$5:$V$1004=1),ROW('Activity Planner'!$B$5:$B$1004)-4),{1,2,3})),""))&amp;IF(SUMIFS('Activity Planner'!$V$5:$V$1004,'Activity Planner'!$C$5:$C$1004,SelPractice,'Activity Planner'!$D$5:$D$1004,$A12)&gt;3,CHAR(10)&amp;"+"&amp;(SUMIFS('Activity Planner'!$V$5:$V$1004,'Activity Planner'!$C$5:$C$1004,SelPractice,'Activity Planner'!$D$5:$D$1004,$A12)-3)&amp;" more",""))</f>
        <v>0</v>
      </c>
      <c r="J12" s="15">
        <f t="array" ref="J12">IF(SelPractice="","",_xlfn.TEXTJOIN(CHAR(10),TRUE,IFERROR(INDEX('Activity Planner'!$B$5:$B$1004,SMALL(IF(('Activity Planner'!$C$5:$C$1004=SelPractice)*('Activity Planner'!$D$5:$D$1004=$A12)*('Activity Planner'!$W$5:$W$1004=1),ROW('Activity Planner'!$B$5:$B$1004)-4),{1,2,3})),""))&amp;IF(SUMIFS('Activity Planner'!$W$5:$W$1004,'Activity Planner'!$C$5:$C$1004,SelPractice,'Activity Planner'!$D$5:$D$1004,$A12)&gt;3,CHAR(10)&amp;"+"&amp;(SUMIFS('Activity Planner'!$W$5:$W$1004,'Activity Planner'!$C$5:$C$1004,SelPractice,'Activity Planner'!$D$5:$D$1004,$A12)-3)&amp;" more",""))</f>
        <v>0</v>
      </c>
      <c r="K12" s="15">
        <f t="array" ref="K12">IF(SelPractice="","",_xlfn.TEXTJOIN(CHAR(10),TRUE,IFERROR(INDEX('Activity Planner'!$B$5:$B$1004,SMALL(IF(('Activity Planner'!$C$5:$C$1004=SelPractice)*('Activity Planner'!$D$5:$D$1004=$A12)*('Activity Planner'!$X$5:$X$1004=1),ROW('Activity Planner'!$B$5:$B$1004)-4),{1,2,3})),""))&amp;IF(SUMIFS('Activity Planner'!$X$5:$X$1004,'Activity Planner'!$C$5:$C$1004,SelPractice,'Activity Planner'!$D$5:$D$1004,$A12)&gt;3,CHAR(10)&amp;"+"&amp;(SUMIFS('Activity Planner'!$X$5:$X$1004,'Activity Planner'!$C$5:$C$1004,SelPractice,'Activity Planner'!$D$5:$D$1004,$A12)-3)&amp;" more",""))</f>
        <v>0</v>
      </c>
      <c r="L12" s="15">
        <f t="array" ref="L12">IF(SelPractice="","",_xlfn.TEXTJOIN(CHAR(10),TRUE,IFERROR(INDEX('Activity Planner'!$B$5:$B$1004,SMALL(IF(('Activity Planner'!$C$5:$C$1004=SelPractice)*('Activity Planner'!$D$5:$D$1004=$A12)*('Activity Planner'!$Y$5:$Y$1004=1),ROW('Activity Planner'!$B$5:$B$1004)-4),{1,2,3})),""))&amp;IF(SUMIFS('Activity Planner'!$Y$5:$Y$1004,'Activity Planner'!$C$5:$C$1004,SelPractice,'Activity Planner'!$D$5:$D$1004,$A12)&gt;3,CHAR(10)&amp;"+"&amp;(SUMIFS('Activity Planner'!$Y$5:$Y$1004,'Activity Planner'!$C$5:$C$1004,SelPractice,'Activity Planner'!$D$5:$D$1004,$A12)-3)&amp;" more",""))</f>
        <v>0</v>
      </c>
      <c r="M12" s="15">
        <f t="array" ref="M12">IF(SelPractice="","",_xlfn.TEXTJOIN(CHAR(10),TRUE,IFERROR(INDEX('Activity Planner'!$B$5:$B$1004,SMALL(IF(('Activity Planner'!$C$5:$C$1004=SelPractice)*('Activity Planner'!$D$5:$D$1004=$A12)*('Activity Planner'!$Z$5:$Z$1004=1),ROW('Activity Planner'!$B$5:$B$1004)-4),{1,2,3})),""))&amp;IF(SUMIFS('Activity Planner'!$Z$5:$Z$1004,'Activity Planner'!$C$5:$C$1004,SelPractice,'Activity Planner'!$D$5:$D$1004,$A12)&gt;3,CHAR(10)&amp;"+"&amp;(SUMIFS('Activity Planner'!$Z$5:$Z$1004,'Activity Planner'!$C$5:$C$1004,SelPractice,'Activity Planner'!$D$5:$D$1004,$A12)-3)&amp;" more",""))</f>
        <v>0</v>
      </c>
    </row>
    <row r="13" spans="1:13" ht="58" customHeight="1" x14ac:dyDescent="0.25">
      <c r="A13" s="39">
        <f>Lists!$E$6</f>
        <v>0</v>
      </c>
      <c r="B13" s="15">
        <f t="array" ref="B13">IF(SelPractice="","",_xlfn.TEXTJOIN(CHAR(10),TRUE,IFERROR(INDEX('Activity Planner'!$B$5:$B$1004,SMALL(IF(('Activity Planner'!$C$5:$C$1004=SelPractice)*('Activity Planner'!$D$5:$D$1004=$A13)*('Activity Planner'!$O$5:$O$1004=1),ROW('Activity Planner'!$B$5:$B$1004)-4),{1,2,3})),""))&amp;IF(SUMIFS('Activity Planner'!$O$5:$O$1004,'Activity Planner'!$C$5:$C$1004,SelPractice,'Activity Planner'!$D$5:$D$1004,$A13)&gt;3,CHAR(10)&amp;"+"&amp;(SUMIFS('Activity Planner'!$O$5:$O$1004,'Activity Planner'!$C$5:$C$1004,SelPractice,'Activity Planner'!$D$5:$D$1004,$A13)-3)&amp;" more",""))</f>
        <v>0</v>
      </c>
      <c r="C13" s="15">
        <f t="array" ref="C13">IF(SelPractice="","",_xlfn.TEXTJOIN(CHAR(10),TRUE,IFERROR(INDEX('Activity Planner'!$B$5:$B$1004,SMALL(IF(('Activity Planner'!$C$5:$C$1004=SelPractice)*('Activity Planner'!$D$5:$D$1004=$A13)*('Activity Planner'!$P$5:$P$1004=1),ROW('Activity Planner'!$B$5:$B$1004)-4),{1,2,3})),""))&amp;IF(SUMIFS('Activity Planner'!$P$5:$P$1004,'Activity Planner'!$C$5:$C$1004,SelPractice,'Activity Planner'!$D$5:$D$1004,$A13)&gt;3,CHAR(10)&amp;"+"&amp;(SUMIFS('Activity Planner'!$P$5:$P$1004,'Activity Planner'!$C$5:$C$1004,SelPractice,'Activity Planner'!$D$5:$D$1004,$A13)-3)&amp;" more",""))</f>
        <v>0</v>
      </c>
      <c r="D13" s="15">
        <f t="array" ref="D13">IF(SelPractice="","",_xlfn.TEXTJOIN(CHAR(10),TRUE,IFERROR(INDEX('Activity Planner'!$B$5:$B$1004,SMALL(IF(('Activity Planner'!$C$5:$C$1004=SelPractice)*('Activity Planner'!$D$5:$D$1004=$A13)*('Activity Planner'!$Q$5:$Q$1004=1),ROW('Activity Planner'!$B$5:$B$1004)-4),{1,2,3})),""))&amp;IF(SUMIFS('Activity Planner'!$Q$5:$Q$1004,'Activity Planner'!$C$5:$C$1004,SelPractice,'Activity Planner'!$D$5:$D$1004,$A13)&gt;3,CHAR(10)&amp;"+"&amp;(SUMIFS('Activity Planner'!$Q$5:$Q$1004,'Activity Planner'!$C$5:$C$1004,SelPractice,'Activity Planner'!$D$5:$D$1004,$A13)-3)&amp;" more",""))</f>
        <v>0</v>
      </c>
      <c r="E13" s="15">
        <f t="array" ref="E13">IF(SelPractice="","",_xlfn.TEXTJOIN(CHAR(10),TRUE,IFERROR(INDEX('Activity Planner'!$B$5:$B$1004,SMALL(IF(('Activity Planner'!$C$5:$C$1004=SelPractice)*('Activity Planner'!$D$5:$D$1004=$A13)*('Activity Planner'!$R$5:$R$1004=1),ROW('Activity Planner'!$B$5:$B$1004)-4),{1,2,3})),""))&amp;IF(SUMIFS('Activity Planner'!$R$5:$R$1004,'Activity Planner'!$C$5:$C$1004,SelPractice,'Activity Planner'!$D$5:$D$1004,$A13)&gt;3,CHAR(10)&amp;"+"&amp;(SUMIFS('Activity Planner'!$R$5:$R$1004,'Activity Planner'!$C$5:$C$1004,SelPractice,'Activity Planner'!$D$5:$D$1004,$A13)-3)&amp;" more",""))</f>
        <v>0</v>
      </c>
      <c r="F13" s="15">
        <f t="array" ref="F13">IF(SelPractice="","",_xlfn.TEXTJOIN(CHAR(10),TRUE,IFERROR(INDEX('Activity Planner'!$B$5:$B$1004,SMALL(IF(('Activity Planner'!$C$5:$C$1004=SelPractice)*('Activity Planner'!$D$5:$D$1004=$A13)*('Activity Planner'!$S$5:$S$1004=1),ROW('Activity Planner'!$B$5:$B$1004)-4),{1,2,3})),""))&amp;IF(SUMIFS('Activity Planner'!$S$5:$S$1004,'Activity Planner'!$C$5:$C$1004,SelPractice,'Activity Planner'!$D$5:$D$1004,$A13)&gt;3,CHAR(10)&amp;"+"&amp;(SUMIFS('Activity Planner'!$S$5:$S$1004,'Activity Planner'!$C$5:$C$1004,SelPractice,'Activity Planner'!$D$5:$D$1004,$A13)-3)&amp;" more",""))</f>
        <v>0</v>
      </c>
      <c r="G13" s="15">
        <f t="array" ref="G13">IF(SelPractice="","",_xlfn.TEXTJOIN(CHAR(10),TRUE,IFERROR(INDEX('Activity Planner'!$B$5:$B$1004,SMALL(IF(('Activity Planner'!$C$5:$C$1004=SelPractice)*('Activity Planner'!$D$5:$D$1004=$A13)*('Activity Planner'!$T$5:$T$1004=1),ROW('Activity Planner'!$B$5:$B$1004)-4),{1,2,3})),""))&amp;IF(SUMIFS('Activity Planner'!$T$5:$T$1004,'Activity Planner'!$C$5:$C$1004,SelPractice,'Activity Planner'!$D$5:$D$1004,$A13)&gt;3,CHAR(10)&amp;"+"&amp;(SUMIFS('Activity Planner'!$T$5:$T$1004,'Activity Planner'!$C$5:$C$1004,SelPractice,'Activity Planner'!$D$5:$D$1004,$A13)-3)&amp;" more",""))</f>
        <v>0</v>
      </c>
      <c r="H13" s="15">
        <f t="array" ref="H13">IF(SelPractice="","",_xlfn.TEXTJOIN(CHAR(10),TRUE,IFERROR(INDEX('Activity Planner'!$B$5:$B$1004,SMALL(IF(('Activity Planner'!$C$5:$C$1004=SelPractice)*('Activity Planner'!$D$5:$D$1004=$A13)*('Activity Planner'!$U$5:$U$1004=1),ROW('Activity Planner'!$B$5:$B$1004)-4),{1,2,3})),""))&amp;IF(SUMIFS('Activity Planner'!$U$5:$U$1004,'Activity Planner'!$C$5:$C$1004,SelPractice,'Activity Planner'!$D$5:$D$1004,$A13)&gt;3,CHAR(10)&amp;"+"&amp;(SUMIFS('Activity Planner'!$U$5:$U$1004,'Activity Planner'!$C$5:$C$1004,SelPractice,'Activity Planner'!$D$5:$D$1004,$A13)-3)&amp;" more",""))</f>
        <v>0</v>
      </c>
      <c r="I13" s="15">
        <f t="array" ref="I13">IF(SelPractice="","",_xlfn.TEXTJOIN(CHAR(10),TRUE,IFERROR(INDEX('Activity Planner'!$B$5:$B$1004,SMALL(IF(('Activity Planner'!$C$5:$C$1004=SelPractice)*('Activity Planner'!$D$5:$D$1004=$A13)*('Activity Planner'!$V$5:$V$1004=1),ROW('Activity Planner'!$B$5:$B$1004)-4),{1,2,3})),""))&amp;IF(SUMIFS('Activity Planner'!$V$5:$V$1004,'Activity Planner'!$C$5:$C$1004,SelPractice,'Activity Planner'!$D$5:$D$1004,$A13)&gt;3,CHAR(10)&amp;"+"&amp;(SUMIFS('Activity Planner'!$V$5:$V$1004,'Activity Planner'!$C$5:$C$1004,SelPractice,'Activity Planner'!$D$5:$D$1004,$A13)-3)&amp;" more",""))</f>
        <v>0</v>
      </c>
      <c r="J13" s="15">
        <f t="array" ref="J13">IF(SelPractice="","",_xlfn.TEXTJOIN(CHAR(10),TRUE,IFERROR(INDEX('Activity Planner'!$B$5:$B$1004,SMALL(IF(('Activity Planner'!$C$5:$C$1004=SelPractice)*('Activity Planner'!$D$5:$D$1004=$A13)*('Activity Planner'!$W$5:$W$1004=1),ROW('Activity Planner'!$B$5:$B$1004)-4),{1,2,3})),""))&amp;IF(SUMIFS('Activity Planner'!$W$5:$W$1004,'Activity Planner'!$C$5:$C$1004,SelPractice,'Activity Planner'!$D$5:$D$1004,$A13)&gt;3,CHAR(10)&amp;"+"&amp;(SUMIFS('Activity Planner'!$W$5:$W$1004,'Activity Planner'!$C$5:$C$1004,SelPractice,'Activity Planner'!$D$5:$D$1004,$A13)-3)&amp;" more",""))</f>
        <v>0</v>
      </c>
      <c r="K13" s="15">
        <f t="array" ref="K13">IF(SelPractice="","",_xlfn.TEXTJOIN(CHAR(10),TRUE,IFERROR(INDEX('Activity Planner'!$B$5:$B$1004,SMALL(IF(('Activity Planner'!$C$5:$C$1004=SelPractice)*('Activity Planner'!$D$5:$D$1004=$A13)*('Activity Planner'!$X$5:$X$1004=1),ROW('Activity Planner'!$B$5:$B$1004)-4),{1,2,3})),""))&amp;IF(SUMIFS('Activity Planner'!$X$5:$X$1004,'Activity Planner'!$C$5:$C$1004,SelPractice,'Activity Planner'!$D$5:$D$1004,$A13)&gt;3,CHAR(10)&amp;"+"&amp;(SUMIFS('Activity Planner'!$X$5:$X$1004,'Activity Planner'!$C$5:$C$1004,SelPractice,'Activity Planner'!$D$5:$D$1004,$A13)-3)&amp;" more",""))</f>
        <v>0</v>
      </c>
      <c r="L13" s="15">
        <f t="array" ref="L13">IF(SelPractice="","",_xlfn.TEXTJOIN(CHAR(10),TRUE,IFERROR(INDEX('Activity Planner'!$B$5:$B$1004,SMALL(IF(('Activity Planner'!$C$5:$C$1004=SelPractice)*('Activity Planner'!$D$5:$D$1004=$A13)*('Activity Planner'!$Y$5:$Y$1004=1),ROW('Activity Planner'!$B$5:$B$1004)-4),{1,2,3})),""))&amp;IF(SUMIFS('Activity Planner'!$Y$5:$Y$1004,'Activity Planner'!$C$5:$C$1004,SelPractice,'Activity Planner'!$D$5:$D$1004,$A13)&gt;3,CHAR(10)&amp;"+"&amp;(SUMIFS('Activity Planner'!$Y$5:$Y$1004,'Activity Planner'!$C$5:$C$1004,SelPractice,'Activity Planner'!$D$5:$D$1004,$A13)-3)&amp;" more",""))</f>
        <v>0</v>
      </c>
      <c r="M13" s="15">
        <f t="array" ref="M13">IF(SelPractice="","",_xlfn.TEXTJOIN(CHAR(10),TRUE,IFERROR(INDEX('Activity Planner'!$B$5:$B$1004,SMALL(IF(('Activity Planner'!$C$5:$C$1004=SelPractice)*('Activity Planner'!$D$5:$D$1004=$A13)*('Activity Planner'!$Z$5:$Z$1004=1),ROW('Activity Planner'!$B$5:$B$1004)-4),{1,2,3})),""))&amp;IF(SUMIFS('Activity Planner'!$Z$5:$Z$1004,'Activity Planner'!$C$5:$C$1004,SelPractice,'Activity Planner'!$D$5:$D$1004,$A13)&gt;3,CHAR(10)&amp;"+"&amp;(SUMIFS('Activity Planner'!$Z$5:$Z$1004,'Activity Planner'!$C$5:$C$1004,SelPractice,'Activity Planner'!$D$5:$D$1004,$A13)-3)&amp;" more",""))</f>
        <v>0</v>
      </c>
    </row>
    <row r="14" spans="1:13" ht="58" customHeight="1" x14ac:dyDescent="0.25">
      <c r="A14" s="40">
        <f>Lists!$E$7</f>
        <v>0</v>
      </c>
      <c r="B14" s="15">
        <f t="array" ref="B14">IF(SelPractice="","",_xlfn.TEXTJOIN(CHAR(10),TRUE,IFERROR(INDEX('Activity Planner'!$B$5:$B$1004,SMALL(IF(('Activity Planner'!$C$5:$C$1004=SelPractice)*('Activity Planner'!$D$5:$D$1004=$A14)*('Activity Planner'!$O$5:$O$1004=1),ROW('Activity Planner'!$B$5:$B$1004)-4),{1,2,3})),""))&amp;IF(SUMIFS('Activity Planner'!$O$5:$O$1004,'Activity Planner'!$C$5:$C$1004,SelPractice,'Activity Planner'!$D$5:$D$1004,$A14)&gt;3,CHAR(10)&amp;"+"&amp;(SUMIFS('Activity Planner'!$O$5:$O$1004,'Activity Planner'!$C$5:$C$1004,SelPractice,'Activity Planner'!$D$5:$D$1004,$A14)-3)&amp;" more",""))</f>
        <v>0</v>
      </c>
      <c r="C14" s="15">
        <f t="array" ref="C14">IF(SelPractice="","",_xlfn.TEXTJOIN(CHAR(10),TRUE,IFERROR(INDEX('Activity Planner'!$B$5:$B$1004,SMALL(IF(('Activity Planner'!$C$5:$C$1004=SelPractice)*('Activity Planner'!$D$5:$D$1004=$A14)*('Activity Planner'!$P$5:$P$1004=1),ROW('Activity Planner'!$B$5:$B$1004)-4),{1,2,3})),""))&amp;IF(SUMIFS('Activity Planner'!$P$5:$P$1004,'Activity Planner'!$C$5:$C$1004,SelPractice,'Activity Planner'!$D$5:$D$1004,$A14)&gt;3,CHAR(10)&amp;"+"&amp;(SUMIFS('Activity Planner'!$P$5:$P$1004,'Activity Planner'!$C$5:$C$1004,SelPractice,'Activity Planner'!$D$5:$D$1004,$A14)-3)&amp;" more",""))</f>
        <v>0</v>
      </c>
      <c r="D14" s="15">
        <f t="array" ref="D14">IF(SelPractice="","",_xlfn.TEXTJOIN(CHAR(10),TRUE,IFERROR(INDEX('Activity Planner'!$B$5:$B$1004,SMALL(IF(('Activity Planner'!$C$5:$C$1004=SelPractice)*('Activity Planner'!$D$5:$D$1004=$A14)*('Activity Planner'!$Q$5:$Q$1004=1),ROW('Activity Planner'!$B$5:$B$1004)-4),{1,2,3})),""))&amp;IF(SUMIFS('Activity Planner'!$Q$5:$Q$1004,'Activity Planner'!$C$5:$C$1004,SelPractice,'Activity Planner'!$D$5:$D$1004,$A14)&gt;3,CHAR(10)&amp;"+"&amp;(SUMIFS('Activity Planner'!$Q$5:$Q$1004,'Activity Planner'!$C$5:$C$1004,SelPractice,'Activity Planner'!$D$5:$D$1004,$A14)-3)&amp;" more",""))</f>
        <v>0</v>
      </c>
      <c r="E14" s="15">
        <f t="array" ref="E14">IF(SelPractice="","",_xlfn.TEXTJOIN(CHAR(10),TRUE,IFERROR(INDEX('Activity Planner'!$B$5:$B$1004,SMALL(IF(('Activity Planner'!$C$5:$C$1004=SelPractice)*('Activity Planner'!$D$5:$D$1004=$A14)*('Activity Planner'!$R$5:$R$1004=1),ROW('Activity Planner'!$B$5:$B$1004)-4),{1,2,3})),""))&amp;IF(SUMIFS('Activity Planner'!$R$5:$R$1004,'Activity Planner'!$C$5:$C$1004,SelPractice,'Activity Planner'!$D$5:$D$1004,$A14)&gt;3,CHAR(10)&amp;"+"&amp;(SUMIFS('Activity Planner'!$R$5:$R$1004,'Activity Planner'!$C$5:$C$1004,SelPractice,'Activity Planner'!$D$5:$D$1004,$A14)-3)&amp;" more",""))</f>
        <v>0</v>
      </c>
      <c r="F14" s="15">
        <f t="array" ref="F14">IF(SelPractice="","",_xlfn.TEXTJOIN(CHAR(10),TRUE,IFERROR(INDEX('Activity Planner'!$B$5:$B$1004,SMALL(IF(('Activity Planner'!$C$5:$C$1004=SelPractice)*('Activity Planner'!$D$5:$D$1004=$A14)*('Activity Planner'!$S$5:$S$1004=1),ROW('Activity Planner'!$B$5:$B$1004)-4),{1,2,3})),""))&amp;IF(SUMIFS('Activity Planner'!$S$5:$S$1004,'Activity Planner'!$C$5:$C$1004,SelPractice,'Activity Planner'!$D$5:$D$1004,$A14)&gt;3,CHAR(10)&amp;"+"&amp;(SUMIFS('Activity Planner'!$S$5:$S$1004,'Activity Planner'!$C$5:$C$1004,SelPractice,'Activity Planner'!$D$5:$D$1004,$A14)-3)&amp;" more",""))</f>
        <v>0</v>
      </c>
      <c r="G14" s="15">
        <f t="array" ref="G14">IF(SelPractice="","",_xlfn.TEXTJOIN(CHAR(10),TRUE,IFERROR(INDEX('Activity Planner'!$B$5:$B$1004,SMALL(IF(('Activity Planner'!$C$5:$C$1004=SelPractice)*('Activity Planner'!$D$5:$D$1004=$A14)*('Activity Planner'!$T$5:$T$1004=1),ROW('Activity Planner'!$B$5:$B$1004)-4),{1,2,3})),""))&amp;IF(SUMIFS('Activity Planner'!$T$5:$T$1004,'Activity Planner'!$C$5:$C$1004,SelPractice,'Activity Planner'!$D$5:$D$1004,$A14)&gt;3,CHAR(10)&amp;"+"&amp;(SUMIFS('Activity Planner'!$T$5:$T$1004,'Activity Planner'!$C$5:$C$1004,SelPractice,'Activity Planner'!$D$5:$D$1004,$A14)-3)&amp;" more",""))</f>
        <v>0</v>
      </c>
      <c r="H14" s="15">
        <f t="array" ref="H14">IF(SelPractice="","",_xlfn.TEXTJOIN(CHAR(10),TRUE,IFERROR(INDEX('Activity Planner'!$B$5:$B$1004,SMALL(IF(('Activity Planner'!$C$5:$C$1004=SelPractice)*('Activity Planner'!$D$5:$D$1004=$A14)*('Activity Planner'!$U$5:$U$1004=1),ROW('Activity Planner'!$B$5:$B$1004)-4),{1,2,3})),""))&amp;IF(SUMIFS('Activity Planner'!$U$5:$U$1004,'Activity Planner'!$C$5:$C$1004,SelPractice,'Activity Planner'!$D$5:$D$1004,$A14)&gt;3,CHAR(10)&amp;"+"&amp;(SUMIFS('Activity Planner'!$U$5:$U$1004,'Activity Planner'!$C$5:$C$1004,SelPractice,'Activity Planner'!$D$5:$D$1004,$A14)-3)&amp;" more",""))</f>
        <v>0</v>
      </c>
      <c r="I14" s="15">
        <f t="array" ref="I14">IF(SelPractice="","",_xlfn.TEXTJOIN(CHAR(10),TRUE,IFERROR(INDEX('Activity Planner'!$B$5:$B$1004,SMALL(IF(('Activity Planner'!$C$5:$C$1004=SelPractice)*('Activity Planner'!$D$5:$D$1004=$A14)*('Activity Planner'!$V$5:$V$1004=1),ROW('Activity Planner'!$B$5:$B$1004)-4),{1,2,3})),""))&amp;IF(SUMIFS('Activity Planner'!$V$5:$V$1004,'Activity Planner'!$C$5:$C$1004,SelPractice,'Activity Planner'!$D$5:$D$1004,$A14)&gt;3,CHAR(10)&amp;"+"&amp;(SUMIFS('Activity Planner'!$V$5:$V$1004,'Activity Planner'!$C$5:$C$1004,SelPractice,'Activity Planner'!$D$5:$D$1004,$A14)-3)&amp;" more",""))</f>
        <v>0</v>
      </c>
      <c r="J14" s="15">
        <f t="array" ref="J14">IF(SelPractice="","",_xlfn.TEXTJOIN(CHAR(10),TRUE,IFERROR(INDEX('Activity Planner'!$B$5:$B$1004,SMALL(IF(('Activity Planner'!$C$5:$C$1004=SelPractice)*('Activity Planner'!$D$5:$D$1004=$A14)*('Activity Planner'!$W$5:$W$1004=1),ROW('Activity Planner'!$B$5:$B$1004)-4),{1,2,3})),""))&amp;IF(SUMIFS('Activity Planner'!$W$5:$W$1004,'Activity Planner'!$C$5:$C$1004,SelPractice,'Activity Planner'!$D$5:$D$1004,$A14)&gt;3,CHAR(10)&amp;"+"&amp;(SUMIFS('Activity Planner'!$W$5:$W$1004,'Activity Planner'!$C$5:$C$1004,SelPractice,'Activity Planner'!$D$5:$D$1004,$A14)-3)&amp;" more",""))</f>
        <v>0</v>
      </c>
      <c r="K14" s="15">
        <f t="array" ref="K14">IF(SelPractice="","",_xlfn.TEXTJOIN(CHAR(10),TRUE,IFERROR(INDEX('Activity Planner'!$B$5:$B$1004,SMALL(IF(('Activity Planner'!$C$5:$C$1004=SelPractice)*('Activity Planner'!$D$5:$D$1004=$A14)*('Activity Planner'!$X$5:$X$1004=1),ROW('Activity Planner'!$B$5:$B$1004)-4),{1,2,3})),""))&amp;IF(SUMIFS('Activity Planner'!$X$5:$X$1004,'Activity Planner'!$C$5:$C$1004,SelPractice,'Activity Planner'!$D$5:$D$1004,$A14)&gt;3,CHAR(10)&amp;"+"&amp;(SUMIFS('Activity Planner'!$X$5:$X$1004,'Activity Planner'!$C$5:$C$1004,SelPractice,'Activity Planner'!$D$5:$D$1004,$A14)-3)&amp;" more",""))</f>
        <v>0</v>
      </c>
      <c r="L14" s="15">
        <f t="array" ref="L14">IF(SelPractice="","",_xlfn.TEXTJOIN(CHAR(10),TRUE,IFERROR(INDEX('Activity Planner'!$B$5:$B$1004,SMALL(IF(('Activity Planner'!$C$5:$C$1004=SelPractice)*('Activity Planner'!$D$5:$D$1004=$A14)*('Activity Planner'!$Y$5:$Y$1004=1),ROW('Activity Planner'!$B$5:$B$1004)-4),{1,2,3})),""))&amp;IF(SUMIFS('Activity Planner'!$Y$5:$Y$1004,'Activity Planner'!$C$5:$C$1004,SelPractice,'Activity Planner'!$D$5:$D$1004,$A14)&gt;3,CHAR(10)&amp;"+"&amp;(SUMIFS('Activity Planner'!$Y$5:$Y$1004,'Activity Planner'!$C$5:$C$1004,SelPractice,'Activity Planner'!$D$5:$D$1004,$A14)-3)&amp;" more",""))</f>
        <v>0</v>
      </c>
      <c r="M14" s="15">
        <f t="array" ref="M14">IF(SelPractice="","",_xlfn.TEXTJOIN(CHAR(10),TRUE,IFERROR(INDEX('Activity Planner'!$B$5:$B$1004,SMALL(IF(('Activity Planner'!$C$5:$C$1004=SelPractice)*('Activity Planner'!$D$5:$D$1004=$A14)*('Activity Planner'!$Z$5:$Z$1004=1),ROW('Activity Planner'!$B$5:$B$1004)-4),{1,2,3})),""))&amp;IF(SUMIFS('Activity Planner'!$Z$5:$Z$1004,'Activity Planner'!$C$5:$C$1004,SelPractice,'Activity Planner'!$D$5:$D$1004,$A14)&gt;3,CHAR(10)&amp;"+"&amp;(SUMIFS('Activity Planner'!$Z$5:$Z$1004,'Activity Planner'!$C$5:$C$1004,SelPractice,'Activity Planner'!$D$5:$D$1004,$A14)-3)&amp;" more",""))</f>
        <v>0</v>
      </c>
    </row>
    <row r="16" spans="1:13" x14ac:dyDescent="0.25">
      <c r="A16" s="41"/>
    </row>
    <row r="17" spans="1:15" x14ac:dyDescent="0.25">
      <c r="A17" s="22" t="s">
        <v>163</v>
      </c>
      <c r="B17" s="23">
        <f>SUMIFS('Activity Planner'!$O$5:$O$1004,'Activity Planner'!$C$5:$C$1004,SelPractice)</f>
        <v>0</v>
      </c>
      <c r="C17" s="23">
        <f>SUMIFS('Activity Planner'!$P$5:$P$1004,'Activity Planner'!$C$5:$C$1004,SelPractice)</f>
        <v>0</v>
      </c>
      <c r="D17" s="23">
        <f>SUMIFS('Activity Planner'!$Q$5:$Q$1004,'Activity Planner'!$C$5:$C$1004,SelPractice)</f>
        <v>0</v>
      </c>
      <c r="E17" s="23">
        <f>SUMIFS('Activity Planner'!$R$5:$R$1004,'Activity Planner'!$C$5:$C$1004,SelPractice)</f>
        <v>0</v>
      </c>
      <c r="F17" s="23">
        <f>SUMIFS('Activity Planner'!$S$5:$S$1004,'Activity Planner'!$C$5:$C$1004,SelPractice)</f>
        <v>0</v>
      </c>
      <c r="G17" s="23">
        <f>SUMIFS('Activity Planner'!$T$5:$T$1004,'Activity Planner'!$C$5:$C$1004,SelPractice)</f>
        <v>0</v>
      </c>
      <c r="H17" s="23">
        <f>SUMIFS('Activity Planner'!$U$5:$U$1004,'Activity Planner'!$C$5:$C$1004,SelPractice)</f>
        <v>0</v>
      </c>
      <c r="I17" s="23">
        <f>SUMIFS('Activity Planner'!$V$5:$V$1004,'Activity Planner'!$C$5:$C$1004,SelPractice)</f>
        <v>0</v>
      </c>
      <c r="J17" s="23">
        <f>SUMIFS('Activity Planner'!$W$5:$W$1004,'Activity Planner'!$C$5:$C$1004,SelPractice)</f>
        <v>0</v>
      </c>
      <c r="K17" s="23">
        <f>SUMIFS('Activity Planner'!$X$5:$X$1004,'Activity Planner'!$C$5:$C$1004,SelPractice)</f>
        <v>0</v>
      </c>
      <c r="L17" s="23">
        <f>SUMIFS('Activity Planner'!$Y$5:$Y$1004,'Activity Planner'!$C$5:$C$1004,SelPractice)</f>
        <v>0</v>
      </c>
      <c r="M17" s="23">
        <f>SUMIFS('Activity Planner'!$Z$5:$Z$1004,'Activity Planner'!$C$5:$C$1004,SelPractice)</f>
        <v>0</v>
      </c>
    </row>
    <row r="19" spans="1:15" x14ac:dyDescent="0.25">
      <c r="A19" s="4" t="s">
        <v>164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5" x14ac:dyDescent="0.25">
      <c r="A20" s="12" t="s">
        <v>150</v>
      </c>
      <c r="B20" s="13" t="s">
        <v>151</v>
      </c>
      <c r="C20" s="13" t="s">
        <v>152</v>
      </c>
      <c r="D20" s="13" t="s">
        <v>153</v>
      </c>
      <c r="E20" s="13" t="s">
        <v>154</v>
      </c>
      <c r="F20" s="13" t="s">
        <v>155</v>
      </c>
      <c r="G20" s="13" t="s">
        <v>156</v>
      </c>
      <c r="H20" s="13" t="s">
        <v>165</v>
      </c>
    </row>
    <row r="21" spans="1:15" x14ac:dyDescent="0.25">
      <c r="A21" s="35">
        <f>IF($O21="","",IF(INDEX('Activity Planner'!$B$5:$B$1004,$O21)="","",INDEX('Activity Planner'!$B$5:$B$1004,$O21)))</f>
        <v>0</v>
      </c>
      <c r="B21" s="36">
        <f>IF($O21="","",IF(INDEX('Activity Planner'!$F$5:$F$1004,$O21)="","",INDEX('Activity Planner'!$F$5:$F$1004,$O21)))</f>
        <v>0</v>
      </c>
      <c r="C21" s="36">
        <f>IF($O21="","",IF(INDEX('Activity Planner'!$G$5:$G$1004,$O21)="","",INDEX('Activity Planner'!$G$5:$G$1004,$O21)))</f>
        <v>0</v>
      </c>
      <c r="D21" s="35">
        <f>IF($O21="","",IF(INDEX('Activity Planner'!$D$5:$D$1004,$O21)="","",INDEX('Activity Planner'!$D$5:$D$1004,$O21)))</f>
        <v>0</v>
      </c>
      <c r="E21" s="35">
        <f>IF($O21="","",IF(INDEX('Activity Planner'!$E$5:$E$1004,$O21)="","",INDEX('Activity Planner'!$E$5:$E$1004,$O21)))</f>
        <v>0</v>
      </c>
      <c r="F21" s="35">
        <f>IF($O21="","",IF(INDEX('Activity Planner'!$H$5:$H$1004,$O21)="","",INDEX('Activity Planner'!$H$5:$H$1004,$O21)))</f>
        <v>0</v>
      </c>
      <c r="G21" s="35">
        <f>IF($O21="","",IF(INDEX('Activity Planner'!$I$5:$I$1004,$O21)="","",INDEX('Activity Planner'!$I$5:$I$1004,$O21)))</f>
        <v>0</v>
      </c>
      <c r="H21" s="35">
        <f>IF($O21="","",IF(INDEX('Activity Planner'!$J$5:$J$1004,$O21)="","",INDEX('Activity Planner'!$J$5:$J$1004,$O21)))</f>
        <v>0</v>
      </c>
      <c r="O21">
        <f>IFERROR(MATCH(SMALL(Calc!$R$5:$R$1004,1),Calc!$R$5:$R$1004,0),"")</f>
        <v>0</v>
      </c>
    </row>
    <row r="22" spans="1:15" x14ac:dyDescent="0.25">
      <c r="A22" s="35">
        <f>IF($O22="","",IF(INDEX('Activity Planner'!$B$5:$B$1004,$O22)="","",INDEX('Activity Planner'!$B$5:$B$1004,$O22)))</f>
        <v>0</v>
      </c>
      <c r="B22" s="36">
        <f>IF($O22="","",IF(INDEX('Activity Planner'!$F$5:$F$1004,$O22)="","",INDEX('Activity Planner'!$F$5:$F$1004,$O22)))</f>
        <v>0</v>
      </c>
      <c r="C22" s="36">
        <f>IF($O22="","",IF(INDEX('Activity Planner'!$G$5:$G$1004,$O22)="","",INDEX('Activity Planner'!$G$5:$G$1004,$O22)))</f>
        <v>0</v>
      </c>
      <c r="D22" s="35">
        <f>IF($O22="","",IF(INDEX('Activity Planner'!$D$5:$D$1004,$O22)="","",INDEX('Activity Planner'!$D$5:$D$1004,$O22)))</f>
        <v>0</v>
      </c>
      <c r="E22" s="35">
        <f>IF($O22="","",IF(INDEX('Activity Planner'!$E$5:$E$1004,$O22)="","",INDEX('Activity Planner'!$E$5:$E$1004,$O22)))</f>
        <v>0</v>
      </c>
      <c r="F22" s="35">
        <f>IF($O22="","",IF(INDEX('Activity Planner'!$H$5:$H$1004,$O22)="","",INDEX('Activity Planner'!$H$5:$H$1004,$O22)))</f>
        <v>0</v>
      </c>
      <c r="G22" s="35">
        <f>IF($O22="","",IF(INDEX('Activity Planner'!$I$5:$I$1004,$O22)="","",INDEX('Activity Planner'!$I$5:$I$1004,$O22)))</f>
        <v>0</v>
      </c>
      <c r="H22" s="35">
        <f>IF($O22="","",IF(INDEX('Activity Planner'!$J$5:$J$1004,$O22)="","",INDEX('Activity Planner'!$J$5:$J$1004,$O22)))</f>
        <v>0</v>
      </c>
      <c r="O22">
        <f>IFERROR(MATCH(SMALL(Calc!$R$5:$R$1004,2),Calc!$R$5:$R$1004,0),"")</f>
        <v>0</v>
      </c>
    </row>
    <row r="23" spans="1:15" x14ac:dyDescent="0.25">
      <c r="A23" s="35">
        <f>IF($O23="","",IF(INDEX('Activity Planner'!$B$5:$B$1004,$O23)="","",INDEX('Activity Planner'!$B$5:$B$1004,$O23)))</f>
        <v>0</v>
      </c>
      <c r="B23" s="36">
        <f>IF($O23="","",IF(INDEX('Activity Planner'!$F$5:$F$1004,$O23)="","",INDEX('Activity Planner'!$F$5:$F$1004,$O23)))</f>
        <v>0</v>
      </c>
      <c r="C23" s="36">
        <f>IF($O23="","",IF(INDEX('Activity Planner'!$G$5:$G$1004,$O23)="","",INDEX('Activity Planner'!$G$5:$G$1004,$O23)))</f>
        <v>0</v>
      </c>
      <c r="D23" s="35">
        <f>IF($O23="","",IF(INDEX('Activity Planner'!$D$5:$D$1004,$O23)="","",INDEX('Activity Planner'!$D$5:$D$1004,$O23)))</f>
        <v>0</v>
      </c>
      <c r="E23" s="35">
        <f>IF($O23="","",IF(INDEX('Activity Planner'!$E$5:$E$1004,$O23)="","",INDEX('Activity Planner'!$E$5:$E$1004,$O23)))</f>
        <v>0</v>
      </c>
      <c r="F23" s="35">
        <f>IF($O23="","",IF(INDEX('Activity Planner'!$H$5:$H$1004,$O23)="","",INDEX('Activity Planner'!$H$5:$H$1004,$O23)))</f>
        <v>0</v>
      </c>
      <c r="G23" s="35">
        <f>IF($O23="","",IF(INDEX('Activity Planner'!$I$5:$I$1004,$O23)="","",INDEX('Activity Planner'!$I$5:$I$1004,$O23)))</f>
        <v>0</v>
      </c>
      <c r="H23" s="35">
        <f>IF($O23="","",IF(INDEX('Activity Planner'!$J$5:$J$1004,$O23)="","",INDEX('Activity Planner'!$J$5:$J$1004,$O23)))</f>
        <v>0</v>
      </c>
      <c r="O23">
        <f>IFERROR(MATCH(SMALL(Calc!$R$5:$R$1004,3),Calc!$R$5:$R$1004,0),"")</f>
        <v>0</v>
      </c>
    </row>
    <row r="24" spans="1:15" x14ac:dyDescent="0.25">
      <c r="A24" s="35">
        <f>IF($O24="","",IF(INDEX('Activity Planner'!$B$5:$B$1004,$O24)="","",INDEX('Activity Planner'!$B$5:$B$1004,$O24)))</f>
        <v>0</v>
      </c>
      <c r="B24" s="36">
        <f>IF($O24="","",IF(INDEX('Activity Planner'!$F$5:$F$1004,$O24)="","",INDEX('Activity Planner'!$F$5:$F$1004,$O24)))</f>
        <v>0</v>
      </c>
      <c r="C24" s="36">
        <f>IF($O24="","",IF(INDEX('Activity Planner'!$G$5:$G$1004,$O24)="","",INDEX('Activity Planner'!$G$5:$G$1004,$O24)))</f>
        <v>0</v>
      </c>
      <c r="D24" s="35">
        <f>IF($O24="","",IF(INDEX('Activity Planner'!$D$5:$D$1004,$O24)="","",INDEX('Activity Planner'!$D$5:$D$1004,$O24)))</f>
        <v>0</v>
      </c>
      <c r="E24" s="35">
        <f>IF($O24="","",IF(INDEX('Activity Planner'!$E$5:$E$1004,$O24)="","",INDEX('Activity Planner'!$E$5:$E$1004,$O24)))</f>
        <v>0</v>
      </c>
      <c r="F24" s="35">
        <f>IF($O24="","",IF(INDEX('Activity Planner'!$H$5:$H$1004,$O24)="","",INDEX('Activity Planner'!$H$5:$H$1004,$O24)))</f>
        <v>0</v>
      </c>
      <c r="G24" s="35">
        <f>IF($O24="","",IF(INDEX('Activity Planner'!$I$5:$I$1004,$O24)="","",INDEX('Activity Planner'!$I$5:$I$1004,$O24)))</f>
        <v>0</v>
      </c>
      <c r="H24" s="35">
        <f>IF($O24="","",IF(INDEX('Activity Planner'!$J$5:$J$1004,$O24)="","",INDEX('Activity Planner'!$J$5:$J$1004,$O24)))</f>
        <v>0</v>
      </c>
      <c r="O24">
        <f>IFERROR(MATCH(SMALL(Calc!$R$5:$R$1004,4),Calc!$R$5:$R$1004,0),"")</f>
        <v>0</v>
      </c>
    </row>
    <row r="25" spans="1:15" x14ac:dyDescent="0.25">
      <c r="A25" s="35">
        <f>IF($O25="","",IF(INDEX('Activity Planner'!$B$5:$B$1004,$O25)="","",INDEX('Activity Planner'!$B$5:$B$1004,$O25)))</f>
        <v>0</v>
      </c>
      <c r="B25" s="36">
        <f>IF($O25="","",IF(INDEX('Activity Planner'!$F$5:$F$1004,$O25)="","",INDEX('Activity Planner'!$F$5:$F$1004,$O25)))</f>
        <v>0</v>
      </c>
      <c r="C25" s="36">
        <f>IF($O25="","",IF(INDEX('Activity Planner'!$G$5:$G$1004,$O25)="","",INDEX('Activity Planner'!$G$5:$G$1004,$O25)))</f>
        <v>0</v>
      </c>
      <c r="D25" s="35">
        <f>IF($O25="","",IF(INDEX('Activity Planner'!$D$5:$D$1004,$O25)="","",INDEX('Activity Planner'!$D$5:$D$1004,$O25)))</f>
        <v>0</v>
      </c>
      <c r="E25" s="35">
        <f>IF($O25="","",IF(INDEX('Activity Planner'!$E$5:$E$1004,$O25)="","",INDEX('Activity Planner'!$E$5:$E$1004,$O25)))</f>
        <v>0</v>
      </c>
      <c r="F25" s="35">
        <f>IF($O25="","",IF(INDEX('Activity Planner'!$H$5:$H$1004,$O25)="","",INDEX('Activity Planner'!$H$5:$H$1004,$O25)))</f>
        <v>0</v>
      </c>
      <c r="G25" s="35">
        <f>IF($O25="","",IF(INDEX('Activity Planner'!$I$5:$I$1004,$O25)="","",INDEX('Activity Planner'!$I$5:$I$1004,$O25)))</f>
        <v>0</v>
      </c>
      <c r="H25" s="35">
        <f>IF($O25="","",IF(INDEX('Activity Planner'!$J$5:$J$1004,$O25)="","",INDEX('Activity Planner'!$J$5:$J$1004,$O25)))</f>
        <v>0</v>
      </c>
      <c r="O25">
        <f>IFERROR(MATCH(SMALL(Calc!$R$5:$R$1004,5),Calc!$R$5:$R$1004,0),"")</f>
        <v>0</v>
      </c>
    </row>
    <row r="26" spans="1:15" x14ac:dyDescent="0.25">
      <c r="A26" s="35">
        <f>IF($O26="","",IF(INDEX('Activity Planner'!$B$5:$B$1004,$O26)="","",INDEX('Activity Planner'!$B$5:$B$1004,$O26)))</f>
        <v>0</v>
      </c>
      <c r="B26" s="36">
        <f>IF($O26="","",IF(INDEX('Activity Planner'!$F$5:$F$1004,$O26)="","",INDEX('Activity Planner'!$F$5:$F$1004,$O26)))</f>
        <v>0</v>
      </c>
      <c r="C26" s="36">
        <f>IF($O26="","",IF(INDEX('Activity Planner'!$G$5:$G$1004,$O26)="","",INDEX('Activity Planner'!$G$5:$G$1004,$O26)))</f>
        <v>0</v>
      </c>
      <c r="D26" s="35">
        <f>IF($O26="","",IF(INDEX('Activity Planner'!$D$5:$D$1004,$O26)="","",INDEX('Activity Planner'!$D$5:$D$1004,$O26)))</f>
        <v>0</v>
      </c>
      <c r="E26" s="35">
        <f>IF($O26="","",IF(INDEX('Activity Planner'!$E$5:$E$1004,$O26)="","",INDEX('Activity Planner'!$E$5:$E$1004,$O26)))</f>
        <v>0</v>
      </c>
      <c r="F26" s="35">
        <f>IF($O26="","",IF(INDEX('Activity Planner'!$H$5:$H$1004,$O26)="","",INDEX('Activity Planner'!$H$5:$H$1004,$O26)))</f>
        <v>0</v>
      </c>
      <c r="G26" s="35">
        <f>IF($O26="","",IF(INDEX('Activity Planner'!$I$5:$I$1004,$O26)="","",INDEX('Activity Planner'!$I$5:$I$1004,$O26)))</f>
        <v>0</v>
      </c>
      <c r="H26" s="35">
        <f>IF($O26="","",IF(INDEX('Activity Planner'!$J$5:$J$1004,$O26)="","",INDEX('Activity Planner'!$J$5:$J$1004,$O26)))</f>
        <v>0</v>
      </c>
      <c r="O26">
        <f>IFERROR(MATCH(SMALL(Calc!$R$5:$R$1004,6),Calc!$R$5:$R$1004,0),"")</f>
        <v>0</v>
      </c>
    </row>
    <row r="27" spans="1:15" x14ac:dyDescent="0.25">
      <c r="A27" s="35">
        <f>IF($O27="","",IF(INDEX('Activity Planner'!$B$5:$B$1004,$O27)="","",INDEX('Activity Planner'!$B$5:$B$1004,$O27)))</f>
        <v>0</v>
      </c>
      <c r="B27" s="36">
        <f>IF($O27="","",IF(INDEX('Activity Planner'!$F$5:$F$1004,$O27)="","",INDEX('Activity Planner'!$F$5:$F$1004,$O27)))</f>
        <v>0</v>
      </c>
      <c r="C27" s="36">
        <f>IF($O27="","",IF(INDEX('Activity Planner'!$G$5:$G$1004,$O27)="","",INDEX('Activity Planner'!$G$5:$G$1004,$O27)))</f>
        <v>0</v>
      </c>
      <c r="D27" s="35">
        <f>IF($O27="","",IF(INDEX('Activity Planner'!$D$5:$D$1004,$O27)="","",INDEX('Activity Planner'!$D$5:$D$1004,$O27)))</f>
        <v>0</v>
      </c>
      <c r="E27" s="35">
        <f>IF($O27="","",IF(INDEX('Activity Planner'!$E$5:$E$1004,$O27)="","",INDEX('Activity Planner'!$E$5:$E$1004,$O27)))</f>
        <v>0</v>
      </c>
      <c r="F27" s="35">
        <f>IF($O27="","",IF(INDEX('Activity Planner'!$H$5:$H$1004,$O27)="","",INDEX('Activity Planner'!$H$5:$H$1004,$O27)))</f>
        <v>0</v>
      </c>
      <c r="G27" s="35">
        <f>IF($O27="","",IF(INDEX('Activity Planner'!$I$5:$I$1004,$O27)="","",INDEX('Activity Planner'!$I$5:$I$1004,$O27)))</f>
        <v>0</v>
      </c>
      <c r="H27" s="35">
        <f>IF($O27="","",IF(INDEX('Activity Planner'!$J$5:$J$1004,$O27)="","",INDEX('Activity Planner'!$J$5:$J$1004,$O27)))</f>
        <v>0</v>
      </c>
      <c r="O27">
        <f>IFERROR(MATCH(SMALL(Calc!$R$5:$R$1004,7),Calc!$R$5:$R$1004,0),"")</f>
        <v>0</v>
      </c>
    </row>
    <row r="28" spans="1:15" x14ac:dyDescent="0.25">
      <c r="A28" s="35">
        <f>IF($O28="","",IF(INDEX('Activity Planner'!$B$5:$B$1004,$O28)="","",INDEX('Activity Planner'!$B$5:$B$1004,$O28)))</f>
        <v>0</v>
      </c>
      <c r="B28" s="36">
        <f>IF($O28="","",IF(INDEX('Activity Planner'!$F$5:$F$1004,$O28)="","",INDEX('Activity Planner'!$F$5:$F$1004,$O28)))</f>
        <v>0</v>
      </c>
      <c r="C28" s="36">
        <f>IF($O28="","",IF(INDEX('Activity Planner'!$G$5:$G$1004,$O28)="","",INDEX('Activity Planner'!$G$5:$G$1004,$O28)))</f>
        <v>0</v>
      </c>
      <c r="D28" s="35">
        <f>IF($O28="","",IF(INDEX('Activity Planner'!$D$5:$D$1004,$O28)="","",INDEX('Activity Planner'!$D$5:$D$1004,$O28)))</f>
        <v>0</v>
      </c>
      <c r="E28" s="35">
        <f>IF($O28="","",IF(INDEX('Activity Planner'!$E$5:$E$1004,$O28)="","",INDEX('Activity Planner'!$E$5:$E$1004,$O28)))</f>
        <v>0</v>
      </c>
      <c r="F28" s="35">
        <f>IF($O28="","",IF(INDEX('Activity Planner'!$H$5:$H$1004,$O28)="","",INDEX('Activity Planner'!$H$5:$H$1004,$O28)))</f>
        <v>0</v>
      </c>
      <c r="G28" s="35">
        <f>IF($O28="","",IF(INDEX('Activity Planner'!$I$5:$I$1004,$O28)="","",INDEX('Activity Planner'!$I$5:$I$1004,$O28)))</f>
        <v>0</v>
      </c>
      <c r="H28" s="35">
        <f>IF($O28="","",IF(INDEX('Activity Planner'!$J$5:$J$1004,$O28)="","",INDEX('Activity Planner'!$J$5:$J$1004,$O28)))</f>
        <v>0</v>
      </c>
      <c r="O28">
        <f>IFERROR(MATCH(SMALL(Calc!$R$5:$R$1004,8),Calc!$R$5:$R$1004,0),"")</f>
        <v>0</v>
      </c>
    </row>
    <row r="29" spans="1:15" x14ac:dyDescent="0.25">
      <c r="A29" s="35">
        <f>IF($O29="","",IF(INDEX('Activity Planner'!$B$5:$B$1004,$O29)="","",INDEX('Activity Planner'!$B$5:$B$1004,$O29)))</f>
        <v>0</v>
      </c>
      <c r="B29" s="36">
        <f>IF($O29="","",IF(INDEX('Activity Planner'!$F$5:$F$1004,$O29)="","",INDEX('Activity Planner'!$F$5:$F$1004,$O29)))</f>
        <v>0</v>
      </c>
      <c r="C29" s="36">
        <f>IF($O29="","",IF(INDEX('Activity Planner'!$G$5:$G$1004,$O29)="","",INDEX('Activity Planner'!$G$5:$G$1004,$O29)))</f>
        <v>0</v>
      </c>
      <c r="D29" s="35">
        <f>IF($O29="","",IF(INDEX('Activity Planner'!$D$5:$D$1004,$O29)="","",INDEX('Activity Planner'!$D$5:$D$1004,$O29)))</f>
        <v>0</v>
      </c>
      <c r="E29" s="35">
        <f>IF($O29="","",IF(INDEX('Activity Planner'!$E$5:$E$1004,$O29)="","",INDEX('Activity Planner'!$E$5:$E$1004,$O29)))</f>
        <v>0</v>
      </c>
      <c r="F29" s="35">
        <f>IF($O29="","",IF(INDEX('Activity Planner'!$H$5:$H$1004,$O29)="","",INDEX('Activity Planner'!$H$5:$H$1004,$O29)))</f>
        <v>0</v>
      </c>
      <c r="G29" s="35">
        <f>IF($O29="","",IF(INDEX('Activity Planner'!$I$5:$I$1004,$O29)="","",INDEX('Activity Planner'!$I$5:$I$1004,$O29)))</f>
        <v>0</v>
      </c>
      <c r="H29" s="35">
        <f>IF($O29="","",IF(INDEX('Activity Planner'!$J$5:$J$1004,$O29)="","",INDEX('Activity Planner'!$J$5:$J$1004,$O29)))</f>
        <v>0</v>
      </c>
      <c r="O29">
        <f>IFERROR(MATCH(SMALL(Calc!$R$5:$R$1004,9),Calc!$R$5:$R$1004,0),"")</f>
        <v>0</v>
      </c>
    </row>
    <row r="30" spans="1:15" x14ac:dyDescent="0.25">
      <c r="A30" s="35">
        <f>IF($O30="","",IF(INDEX('Activity Planner'!$B$5:$B$1004,$O30)="","",INDEX('Activity Planner'!$B$5:$B$1004,$O30)))</f>
        <v>0</v>
      </c>
      <c r="B30" s="36">
        <f>IF($O30="","",IF(INDEX('Activity Planner'!$F$5:$F$1004,$O30)="","",INDEX('Activity Planner'!$F$5:$F$1004,$O30)))</f>
        <v>0</v>
      </c>
      <c r="C30" s="36">
        <f>IF($O30="","",IF(INDEX('Activity Planner'!$G$5:$G$1004,$O30)="","",INDEX('Activity Planner'!$G$5:$G$1004,$O30)))</f>
        <v>0</v>
      </c>
      <c r="D30" s="35">
        <f>IF($O30="","",IF(INDEX('Activity Planner'!$D$5:$D$1004,$O30)="","",INDEX('Activity Planner'!$D$5:$D$1004,$O30)))</f>
        <v>0</v>
      </c>
      <c r="E30" s="35">
        <f>IF($O30="","",IF(INDEX('Activity Planner'!$E$5:$E$1004,$O30)="","",INDEX('Activity Planner'!$E$5:$E$1004,$O30)))</f>
        <v>0</v>
      </c>
      <c r="F30" s="35">
        <f>IF($O30="","",IF(INDEX('Activity Planner'!$H$5:$H$1004,$O30)="","",INDEX('Activity Planner'!$H$5:$H$1004,$O30)))</f>
        <v>0</v>
      </c>
      <c r="G30" s="35">
        <f>IF($O30="","",IF(INDEX('Activity Planner'!$I$5:$I$1004,$O30)="","",INDEX('Activity Planner'!$I$5:$I$1004,$O30)))</f>
        <v>0</v>
      </c>
      <c r="H30" s="35">
        <f>IF($O30="","",IF(INDEX('Activity Planner'!$J$5:$J$1004,$O30)="","",INDEX('Activity Planner'!$J$5:$J$1004,$O30)))</f>
        <v>0</v>
      </c>
      <c r="O30">
        <f>IFERROR(MATCH(SMALL(Calc!$R$5:$R$1004,10),Calc!$R$5:$R$1004,0),"")</f>
        <v>0</v>
      </c>
    </row>
    <row r="31" spans="1:15" x14ac:dyDescent="0.25">
      <c r="A31" s="35">
        <f>IF($O31="","",IF(INDEX('Activity Planner'!$B$5:$B$1004,$O31)="","",INDEX('Activity Planner'!$B$5:$B$1004,$O31)))</f>
        <v>0</v>
      </c>
      <c r="B31" s="36">
        <f>IF($O31="","",IF(INDEX('Activity Planner'!$F$5:$F$1004,$O31)="","",INDEX('Activity Planner'!$F$5:$F$1004,$O31)))</f>
        <v>0</v>
      </c>
      <c r="C31" s="36">
        <f>IF($O31="","",IF(INDEX('Activity Planner'!$G$5:$G$1004,$O31)="","",INDEX('Activity Planner'!$G$5:$G$1004,$O31)))</f>
        <v>0</v>
      </c>
      <c r="D31" s="35">
        <f>IF($O31="","",IF(INDEX('Activity Planner'!$D$5:$D$1004,$O31)="","",INDEX('Activity Planner'!$D$5:$D$1004,$O31)))</f>
        <v>0</v>
      </c>
      <c r="E31" s="35">
        <f>IF($O31="","",IF(INDEX('Activity Planner'!$E$5:$E$1004,$O31)="","",INDEX('Activity Planner'!$E$5:$E$1004,$O31)))</f>
        <v>0</v>
      </c>
      <c r="F31" s="35">
        <f>IF($O31="","",IF(INDEX('Activity Planner'!$H$5:$H$1004,$O31)="","",INDEX('Activity Planner'!$H$5:$H$1004,$O31)))</f>
        <v>0</v>
      </c>
      <c r="G31" s="35">
        <f>IF($O31="","",IF(INDEX('Activity Planner'!$I$5:$I$1004,$O31)="","",INDEX('Activity Planner'!$I$5:$I$1004,$O31)))</f>
        <v>0</v>
      </c>
      <c r="H31" s="35">
        <f>IF($O31="","",IF(INDEX('Activity Planner'!$J$5:$J$1004,$O31)="","",INDEX('Activity Planner'!$J$5:$J$1004,$O31)))</f>
        <v>0</v>
      </c>
      <c r="O31">
        <f>IFERROR(MATCH(SMALL(Calc!$R$5:$R$1004,11),Calc!$R$5:$R$1004,0),"")</f>
        <v>0</v>
      </c>
    </row>
    <row r="32" spans="1:15" x14ac:dyDescent="0.25">
      <c r="A32" s="35">
        <f>IF($O32="","",IF(INDEX('Activity Planner'!$B$5:$B$1004,$O32)="","",INDEX('Activity Planner'!$B$5:$B$1004,$O32)))</f>
        <v>0</v>
      </c>
      <c r="B32" s="36">
        <f>IF($O32="","",IF(INDEX('Activity Planner'!$F$5:$F$1004,$O32)="","",INDEX('Activity Planner'!$F$5:$F$1004,$O32)))</f>
        <v>0</v>
      </c>
      <c r="C32" s="36">
        <f>IF($O32="","",IF(INDEX('Activity Planner'!$G$5:$G$1004,$O32)="","",INDEX('Activity Planner'!$G$5:$G$1004,$O32)))</f>
        <v>0</v>
      </c>
      <c r="D32" s="35">
        <f>IF($O32="","",IF(INDEX('Activity Planner'!$D$5:$D$1004,$O32)="","",INDEX('Activity Planner'!$D$5:$D$1004,$O32)))</f>
        <v>0</v>
      </c>
      <c r="E32" s="35">
        <f>IF($O32="","",IF(INDEX('Activity Planner'!$E$5:$E$1004,$O32)="","",INDEX('Activity Planner'!$E$5:$E$1004,$O32)))</f>
        <v>0</v>
      </c>
      <c r="F32" s="35">
        <f>IF($O32="","",IF(INDEX('Activity Planner'!$H$5:$H$1004,$O32)="","",INDEX('Activity Planner'!$H$5:$H$1004,$O32)))</f>
        <v>0</v>
      </c>
      <c r="G32" s="35">
        <f>IF($O32="","",IF(INDEX('Activity Planner'!$I$5:$I$1004,$O32)="","",INDEX('Activity Planner'!$I$5:$I$1004,$O32)))</f>
        <v>0</v>
      </c>
      <c r="H32" s="35">
        <f>IF($O32="","",IF(INDEX('Activity Planner'!$J$5:$J$1004,$O32)="","",INDEX('Activity Planner'!$J$5:$J$1004,$O32)))</f>
        <v>0</v>
      </c>
      <c r="O32">
        <f>IFERROR(MATCH(SMALL(Calc!$R$5:$R$1004,12),Calc!$R$5:$R$1004,0),"")</f>
        <v>0</v>
      </c>
    </row>
    <row r="33" spans="1:15" x14ac:dyDescent="0.25">
      <c r="A33" s="35">
        <f>IF($O33="","",IF(INDEX('Activity Planner'!$B$5:$B$1004,$O33)="","",INDEX('Activity Planner'!$B$5:$B$1004,$O33)))</f>
        <v>0</v>
      </c>
      <c r="B33" s="36">
        <f>IF($O33="","",IF(INDEX('Activity Planner'!$F$5:$F$1004,$O33)="","",INDEX('Activity Planner'!$F$5:$F$1004,$O33)))</f>
        <v>0</v>
      </c>
      <c r="C33" s="36">
        <f>IF($O33="","",IF(INDEX('Activity Planner'!$G$5:$G$1004,$O33)="","",INDEX('Activity Planner'!$G$5:$G$1004,$O33)))</f>
        <v>0</v>
      </c>
      <c r="D33" s="35">
        <f>IF($O33="","",IF(INDEX('Activity Planner'!$D$5:$D$1004,$O33)="","",INDEX('Activity Planner'!$D$5:$D$1004,$O33)))</f>
        <v>0</v>
      </c>
      <c r="E33" s="35">
        <f>IF($O33="","",IF(INDEX('Activity Planner'!$E$5:$E$1004,$O33)="","",INDEX('Activity Planner'!$E$5:$E$1004,$O33)))</f>
        <v>0</v>
      </c>
      <c r="F33" s="35">
        <f>IF($O33="","",IF(INDEX('Activity Planner'!$H$5:$H$1004,$O33)="","",INDEX('Activity Planner'!$H$5:$H$1004,$O33)))</f>
        <v>0</v>
      </c>
      <c r="G33" s="35">
        <f>IF($O33="","",IF(INDEX('Activity Planner'!$I$5:$I$1004,$O33)="","",INDEX('Activity Planner'!$I$5:$I$1004,$O33)))</f>
        <v>0</v>
      </c>
      <c r="H33" s="35">
        <f>IF($O33="","",IF(INDEX('Activity Planner'!$J$5:$J$1004,$O33)="","",INDEX('Activity Planner'!$J$5:$J$1004,$O33)))</f>
        <v>0</v>
      </c>
      <c r="O33">
        <f>IFERROR(MATCH(SMALL(Calc!$R$5:$R$1004,13),Calc!$R$5:$R$1004,0),"")</f>
        <v>0</v>
      </c>
    </row>
    <row r="34" spans="1:15" x14ac:dyDescent="0.25">
      <c r="A34" s="35">
        <f>IF($O34="","",IF(INDEX('Activity Planner'!$B$5:$B$1004,$O34)="","",INDEX('Activity Planner'!$B$5:$B$1004,$O34)))</f>
        <v>0</v>
      </c>
      <c r="B34" s="36">
        <f>IF($O34="","",IF(INDEX('Activity Planner'!$F$5:$F$1004,$O34)="","",INDEX('Activity Planner'!$F$5:$F$1004,$O34)))</f>
        <v>0</v>
      </c>
      <c r="C34" s="36">
        <f>IF($O34="","",IF(INDEX('Activity Planner'!$G$5:$G$1004,$O34)="","",INDEX('Activity Planner'!$G$5:$G$1004,$O34)))</f>
        <v>0</v>
      </c>
      <c r="D34" s="35">
        <f>IF($O34="","",IF(INDEX('Activity Planner'!$D$5:$D$1004,$O34)="","",INDEX('Activity Planner'!$D$5:$D$1004,$O34)))</f>
        <v>0</v>
      </c>
      <c r="E34" s="35">
        <f>IF($O34="","",IF(INDEX('Activity Planner'!$E$5:$E$1004,$O34)="","",INDEX('Activity Planner'!$E$5:$E$1004,$O34)))</f>
        <v>0</v>
      </c>
      <c r="F34" s="35">
        <f>IF($O34="","",IF(INDEX('Activity Planner'!$H$5:$H$1004,$O34)="","",INDEX('Activity Planner'!$H$5:$H$1004,$O34)))</f>
        <v>0</v>
      </c>
      <c r="G34" s="35">
        <f>IF($O34="","",IF(INDEX('Activity Planner'!$I$5:$I$1004,$O34)="","",INDEX('Activity Planner'!$I$5:$I$1004,$O34)))</f>
        <v>0</v>
      </c>
      <c r="H34" s="35">
        <f>IF($O34="","",IF(INDEX('Activity Planner'!$J$5:$J$1004,$O34)="","",INDEX('Activity Planner'!$J$5:$J$1004,$O34)))</f>
        <v>0</v>
      </c>
      <c r="O34">
        <f>IFERROR(MATCH(SMALL(Calc!$R$5:$R$1004,14),Calc!$R$5:$R$1004,0),"")</f>
        <v>0</v>
      </c>
    </row>
    <row r="35" spans="1:15" x14ac:dyDescent="0.25">
      <c r="A35" s="35">
        <f>IF($O35="","",IF(INDEX('Activity Planner'!$B$5:$B$1004,$O35)="","",INDEX('Activity Planner'!$B$5:$B$1004,$O35)))</f>
        <v>0</v>
      </c>
      <c r="B35" s="36">
        <f>IF($O35="","",IF(INDEX('Activity Planner'!$F$5:$F$1004,$O35)="","",INDEX('Activity Planner'!$F$5:$F$1004,$O35)))</f>
        <v>0</v>
      </c>
      <c r="C35" s="36">
        <f>IF($O35="","",IF(INDEX('Activity Planner'!$G$5:$G$1004,$O35)="","",INDEX('Activity Planner'!$G$5:$G$1004,$O35)))</f>
        <v>0</v>
      </c>
      <c r="D35" s="35">
        <f>IF($O35="","",IF(INDEX('Activity Planner'!$D$5:$D$1004,$O35)="","",INDEX('Activity Planner'!$D$5:$D$1004,$O35)))</f>
        <v>0</v>
      </c>
      <c r="E35" s="35">
        <f>IF($O35="","",IF(INDEX('Activity Planner'!$E$5:$E$1004,$O35)="","",INDEX('Activity Planner'!$E$5:$E$1004,$O35)))</f>
        <v>0</v>
      </c>
      <c r="F35" s="35">
        <f>IF($O35="","",IF(INDEX('Activity Planner'!$H$5:$H$1004,$O35)="","",INDEX('Activity Planner'!$H$5:$H$1004,$O35)))</f>
        <v>0</v>
      </c>
      <c r="G35" s="35">
        <f>IF($O35="","",IF(INDEX('Activity Planner'!$I$5:$I$1004,$O35)="","",INDEX('Activity Planner'!$I$5:$I$1004,$O35)))</f>
        <v>0</v>
      </c>
      <c r="H35" s="35">
        <f>IF($O35="","",IF(INDEX('Activity Planner'!$J$5:$J$1004,$O35)="","",INDEX('Activity Planner'!$J$5:$J$1004,$O35)))</f>
        <v>0</v>
      </c>
      <c r="O35">
        <f>IFERROR(MATCH(SMALL(Calc!$R$5:$R$1004,15),Calc!$R$5:$R$1004,0),"")</f>
        <v>0</v>
      </c>
    </row>
    <row r="36" spans="1:15" x14ac:dyDescent="0.25">
      <c r="A36" s="35">
        <f>IF($O36="","",IF(INDEX('Activity Planner'!$B$5:$B$1004,$O36)="","",INDEX('Activity Planner'!$B$5:$B$1004,$O36)))</f>
        <v>0</v>
      </c>
      <c r="B36" s="36">
        <f>IF($O36="","",IF(INDEX('Activity Planner'!$F$5:$F$1004,$O36)="","",INDEX('Activity Planner'!$F$5:$F$1004,$O36)))</f>
        <v>0</v>
      </c>
      <c r="C36" s="36">
        <f>IF($O36="","",IF(INDEX('Activity Planner'!$G$5:$G$1004,$O36)="","",INDEX('Activity Planner'!$G$5:$G$1004,$O36)))</f>
        <v>0</v>
      </c>
      <c r="D36" s="35">
        <f>IF($O36="","",IF(INDEX('Activity Planner'!$D$5:$D$1004,$O36)="","",INDEX('Activity Planner'!$D$5:$D$1004,$O36)))</f>
        <v>0</v>
      </c>
      <c r="E36" s="35">
        <f>IF($O36="","",IF(INDEX('Activity Planner'!$E$5:$E$1004,$O36)="","",INDEX('Activity Planner'!$E$5:$E$1004,$O36)))</f>
        <v>0</v>
      </c>
      <c r="F36" s="35">
        <f>IF($O36="","",IF(INDEX('Activity Planner'!$H$5:$H$1004,$O36)="","",INDEX('Activity Planner'!$H$5:$H$1004,$O36)))</f>
        <v>0</v>
      </c>
      <c r="G36" s="35">
        <f>IF($O36="","",IF(INDEX('Activity Planner'!$I$5:$I$1004,$O36)="","",INDEX('Activity Planner'!$I$5:$I$1004,$O36)))</f>
        <v>0</v>
      </c>
      <c r="H36" s="35">
        <f>IF($O36="","",IF(INDEX('Activity Planner'!$J$5:$J$1004,$O36)="","",INDEX('Activity Planner'!$J$5:$J$1004,$O36)))</f>
        <v>0</v>
      </c>
      <c r="O36">
        <f>IFERROR(MATCH(SMALL(Calc!$R$5:$R$1004,16),Calc!$R$5:$R$1004,0),"")</f>
        <v>0</v>
      </c>
    </row>
    <row r="37" spans="1:15" x14ac:dyDescent="0.25">
      <c r="A37" s="35">
        <f>IF($O37="","",IF(INDEX('Activity Planner'!$B$5:$B$1004,$O37)="","",INDEX('Activity Planner'!$B$5:$B$1004,$O37)))</f>
        <v>0</v>
      </c>
      <c r="B37" s="36">
        <f>IF($O37="","",IF(INDEX('Activity Planner'!$F$5:$F$1004,$O37)="","",INDEX('Activity Planner'!$F$5:$F$1004,$O37)))</f>
        <v>0</v>
      </c>
      <c r="C37" s="36">
        <f>IF($O37="","",IF(INDEX('Activity Planner'!$G$5:$G$1004,$O37)="","",INDEX('Activity Planner'!$G$5:$G$1004,$O37)))</f>
        <v>0</v>
      </c>
      <c r="D37" s="35">
        <f>IF($O37="","",IF(INDEX('Activity Planner'!$D$5:$D$1004,$O37)="","",INDEX('Activity Planner'!$D$5:$D$1004,$O37)))</f>
        <v>0</v>
      </c>
      <c r="E37" s="35">
        <f>IF($O37="","",IF(INDEX('Activity Planner'!$E$5:$E$1004,$O37)="","",INDEX('Activity Planner'!$E$5:$E$1004,$O37)))</f>
        <v>0</v>
      </c>
      <c r="F37" s="35">
        <f>IF($O37="","",IF(INDEX('Activity Planner'!$H$5:$H$1004,$O37)="","",INDEX('Activity Planner'!$H$5:$H$1004,$O37)))</f>
        <v>0</v>
      </c>
      <c r="G37" s="35">
        <f>IF($O37="","",IF(INDEX('Activity Planner'!$I$5:$I$1004,$O37)="","",INDEX('Activity Planner'!$I$5:$I$1004,$O37)))</f>
        <v>0</v>
      </c>
      <c r="H37" s="35">
        <f>IF($O37="","",IF(INDEX('Activity Planner'!$J$5:$J$1004,$O37)="","",INDEX('Activity Planner'!$J$5:$J$1004,$O37)))</f>
        <v>0</v>
      </c>
      <c r="O37">
        <f>IFERROR(MATCH(SMALL(Calc!$R$5:$R$1004,17),Calc!$R$5:$R$1004,0),"")</f>
        <v>0</v>
      </c>
    </row>
    <row r="38" spans="1:15" x14ac:dyDescent="0.25">
      <c r="A38" s="35">
        <f>IF($O38="","",IF(INDEX('Activity Planner'!$B$5:$B$1004,$O38)="","",INDEX('Activity Planner'!$B$5:$B$1004,$O38)))</f>
        <v>0</v>
      </c>
      <c r="B38" s="36">
        <f>IF($O38="","",IF(INDEX('Activity Planner'!$F$5:$F$1004,$O38)="","",INDEX('Activity Planner'!$F$5:$F$1004,$O38)))</f>
        <v>0</v>
      </c>
      <c r="C38" s="36">
        <f>IF($O38="","",IF(INDEX('Activity Planner'!$G$5:$G$1004,$O38)="","",INDEX('Activity Planner'!$G$5:$G$1004,$O38)))</f>
        <v>0</v>
      </c>
      <c r="D38" s="35">
        <f>IF($O38="","",IF(INDEX('Activity Planner'!$D$5:$D$1004,$O38)="","",INDEX('Activity Planner'!$D$5:$D$1004,$O38)))</f>
        <v>0</v>
      </c>
      <c r="E38" s="35">
        <f>IF($O38="","",IF(INDEX('Activity Planner'!$E$5:$E$1004,$O38)="","",INDEX('Activity Planner'!$E$5:$E$1004,$O38)))</f>
        <v>0</v>
      </c>
      <c r="F38" s="35">
        <f>IF($O38="","",IF(INDEX('Activity Planner'!$H$5:$H$1004,$O38)="","",INDEX('Activity Planner'!$H$5:$H$1004,$O38)))</f>
        <v>0</v>
      </c>
      <c r="G38" s="35">
        <f>IF($O38="","",IF(INDEX('Activity Planner'!$I$5:$I$1004,$O38)="","",INDEX('Activity Planner'!$I$5:$I$1004,$O38)))</f>
        <v>0</v>
      </c>
      <c r="H38" s="35">
        <f>IF($O38="","",IF(INDEX('Activity Planner'!$J$5:$J$1004,$O38)="","",INDEX('Activity Planner'!$J$5:$J$1004,$O38)))</f>
        <v>0</v>
      </c>
      <c r="O38">
        <f>IFERROR(MATCH(SMALL(Calc!$R$5:$R$1004,18),Calc!$R$5:$R$1004,0),"")</f>
        <v>0</v>
      </c>
    </row>
    <row r="39" spans="1:15" x14ac:dyDescent="0.25">
      <c r="A39" s="35">
        <f>IF($O39="","",IF(INDEX('Activity Planner'!$B$5:$B$1004,$O39)="","",INDEX('Activity Planner'!$B$5:$B$1004,$O39)))</f>
        <v>0</v>
      </c>
      <c r="B39" s="36">
        <f>IF($O39="","",IF(INDEX('Activity Planner'!$F$5:$F$1004,$O39)="","",INDEX('Activity Planner'!$F$5:$F$1004,$O39)))</f>
        <v>0</v>
      </c>
      <c r="C39" s="36">
        <f>IF($O39="","",IF(INDEX('Activity Planner'!$G$5:$G$1004,$O39)="","",INDEX('Activity Planner'!$G$5:$G$1004,$O39)))</f>
        <v>0</v>
      </c>
      <c r="D39" s="35">
        <f>IF($O39="","",IF(INDEX('Activity Planner'!$D$5:$D$1004,$O39)="","",INDEX('Activity Planner'!$D$5:$D$1004,$O39)))</f>
        <v>0</v>
      </c>
      <c r="E39" s="35">
        <f>IF($O39="","",IF(INDEX('Activity Planner'!$E$5:$E$1004,$O39)="","",INDEX('Activity Planner'!$E$5:$E$1004,$O39)))</f>
        <v>0</v>
      </c>
      <c r="F39" s="35">
        <f>IF($O39="","",IF(INDEX('Activity Planner'!$H$5:$H$1004,$O39)="","",INDEX('Activity Planner'!$H$5:$H$1004,$O39)))</f>
        <v>0</v>
      </c>
      <c r="G39" s="35">
        <f>IF($O39="","",IF(INDEX('Activity Planner'!$I$5:$I$1004,$O39)="","",INDEX('Activity Planner'!$I$5:$I$1004,$O39)))</f>
        <v>0</v>
      </c>
      <c r="H39" s="35">
        <f>IF($O39="","",IF(INDEX('Activity Planner'!$J$5:$J$1004,$O39)="","",INDEX('Activity Planner'!$J$5:$J$1004,$O39)))</f>
        <v>0</v>
      </c>
      <c r="O39">
        <f>IFERROR(MATCH(SMALL(Calc!$R$5:$R$1004,19),Calc!$R$5:$R$1004,0),"")</f>
        <v>0</v>
      </c>
    </row>
    <row r="40" spans="1:15" x14ac:dyDescent="0.25">
      <c r="A40" s="35">
        <f>IF($O40="","",IF(INDEX('Activity Planner'!$B$5:$B$1004,$O40)="","",INDEX('Activity Planner'!$B$5:$B$1004,$O40)))</f>
        <v>0</v>
      </c>
      <c r="B40" s="36">
        <f>IF($O40="","",IF(INDEX('Activity Planner'!$F$5:$F$1004,$O40)="","",INDEX('Activity Planner'!$F$5:$F$1004,$O40)))</f>
        <v>0</v>
      </c>
      <c r="C40" s="36">
        <f>IF($O40="","",IF(INDEX('Activity Planner'!$G$5:$G$1004,$O40)="","",INDEX('Activity Planner'!$G$5:$G$1004,$O40)))</f>
        <v>0</v>
      </c>
      <c r="D40" s="35">
        <f>IF($O40="","",IF(INDEX('Activity Planner'!$D$5:$D$1004,$O40)="","",INDEX('Activity Planner'!$D$5:$D$1004,$O40)))</f>
        <v>0</v>
      </c>
      <c r="E40" s="35">
        <f>IF($O40="","",IF(INDEX('Activity Planner'!$E$5:$E$1004,$O40)="","",INDEX('Activity Planner'!$E$5:$E$1004,$O40)))</f>
        <v>0</v>
      </c>
      <c r="F40" s="35">
        <f>IF($O40="","",IF(INDEX('Activity Planner'!$H$5:$H$1004,$O40)="","",INDEX('Activity Planner'!$H$5:$H$1004,$O40)))</f>
        <v>0</v>
      </c>
      <c r="G40" s="35">
        <f>IF($O40="","",IF(INDEX('Activity Planner'!$I$5:$I$1004,$O40)="","",INDEX('Activity Planner'!$I$5:$I$1004,$O40)))</f>
        <v>0</v>
      </c>
      <c r="H40" s="35">
        <f>IF($O40="","",IF(INDEX('Activity Planner'!$J$5:$J$1004,$O40)="","",INDEX('Activity Planner'!$J$5:$J$1004,$O40)))</f>
        <v>0</v>
      </c>
      <c r="O40">
        <f>IFERROR(MATCH(SMALL(Calc!$R$5:$R$1004,20),Calc!$R$5:$R$1004,0),"")</f>
        <v>0</v>
      </c>
    </row>
    <row r="41" spans="1:15" x14ac:dyDescent="0.25">
      <c r="A41" s="35">
        <f>IF($O41="","",IF(INDEX('Activity Planner'!$B$5:$B$1004,$O41)="","",INDEX('Activity Planner'!$B$5:$B$1004,$O41)))</f>
        <v>0</v>
      </c>
      <c r="B41" s="36">
        <f>IF($O41="","",IF(INDEX('Activity Planner'!$F$5:$F$1004,$O41)="","",INDEX('Activity Planner'!$F$5:$F$1004,$O41)))</f>
        <v>0</v>
      </c>
      <c r="C41" s="36">
        <f>IF($O41="","",IF(INDEX('Activity Planner'!$G$5:$G$1004,$O41)="","",INDEX('Activity Planner'!$G$5:$G$1004,$O41)))</f>
        <v>0</v>
      </c>
      <c r="D41" s="35">
        <f>IF($O41="","",IF(INDEX('Activity Planner'!$D$5:$D$1004,$O41)="","",INDEX('Activity Planner'!$D$5:$D$1004,$O41)))</f>
        <v>0</v>
      </c>
      <c r="E41" s="35">
        <f>IF($O41="","",IF(INDEX('Activity Planner'!$E$5:$E$1004,$O41)="","",INDEX('Activity Planner'!$E$5:$E$1004,$O41)))</f>
        <v>0</v>
      </c>
      <c r="F41" s="35">
        <f>IF($O41="","",IF(INDEX('Activity Planner'!$H$5:$H$1004,$O41)="","",INDEX('Activity Planner'!$H$5:$H$1004,$O41)))</f>
        <v>0</v>
      </c>
      <c r="G41" s="35">
        <f>IF($O41="","",IF(INDEX('Activity Planner'!$I$5:$I$1004,$O41)="","",INDEX('Activity Planner'!$I$5:$I$1004,$O41)))</f>
        <v>0</v>
      </c>
      <c r="H41" s="35">
        <f>IF($O41="","",IF(INDEX('Activity Planner'!$J$5:$J$1004,$O41)="","",INDEX('Activity Planner'!$J$5:$J$1004,$O41)))</f>
        <v>0</v>
      </c>
      <c r="O41">
        <f>IFERROR(MATCH(SMALL(Calc!$R$5:$R$1004,21),Calc!$R$5:$R$1004,0),"")</f>
        <v>0</v>
      </c>
    </row>
    <row r="42" spans="1:15" x14ac:dyDescent="0.25">
      <c r="A42" s="35">
        <f>IF($O42="","",IF(INDEX('Activity Planner'!$B$5:$B$1004,$O42)="","",INDEX('Activity Planner'!$B$5:$B$1004,$O42)))</f>
        <v>0</v>
      </c>
      <c r="B42" s="36">
        <f>IF($O42="","",IF(INDEX('Activity Planner'!$F$5:$F$1004,$O42)="","",INDEX('Activity Planner'!$F$5:$F$1004,$O42)))</f>
        <v>0</v>
      </c>
      <c r="C42" s="36">
        <f>IF($O42="","",IF(INDEX('Activity Planner'!$G$5:$G$1004,$O42)="","",INDEX('Activity Planner'!$G$5:$G$1004,$O42)))</f>
        <v>0</v>
      </c>
      <c r="D42" s="35">
        <f>IF($O42="","",IF(INDEX('Activity Planner'!$D$5:$D$1004,$O42)="","",INDEX('Activity Planner'!$D$5:$D$1004,$O42)))</f>
        <v>0</v>
      </c>
      <c r="E42" s="35">
        <f>IF($O42="","",IF(INDEX('Activity Planner'!$E$5:$E$1004,$O42)="","",INDEX('Activity Planner'!$E$5:$E$1004,$O42)))</f>
        <v>0</v>
      </c>
      <c r="F42" s="35">
        <f>IF($O42="","",IF(INDEX('Activity Planner'!$H$5:$H$1004,$O42)="","",INDEX('Activity Planner'!$H$5:$H$1004,$O42)))</f>
        <v>0</v>
      </c>
      <c r="G42" s="35">
        <f>IF($O42="","",IF(INDEX('Activity Planner'!$I$5:$I$1004,$O42)="","",INDEX('Activity Planner'!$I$5:$I$1004,$O42)))</f>
        <v>0</v>
      </c>
      <c r="H42" s="35">
        <f>IF($O42="","",IF(INDEX('Activity Planner'!$J$5:$J$1004,$O42)="","",INDEX('Activity Planner'!$J$5:$J$1004,$O42)))</f>
        <v>0</v>
      </c>
      <c r="O42">
        <f>IFERROR(MATCH(SMALL(Calc!$R$5:$R$1004,22),Calc!$R$5:$R$1004,0),"")</f>
        <v>0</v>
      </c>
    </row>
    <row r="43" spans="1:15" x14ac:dyDescent="0.25">
      <c r="A43" s="35">
        <f>IF($O43="","",IF(INDEX('Activity Planner'!$B$5:$B$1004,$O43)="","",INDEX('Activity Planner'!$B$5:$B$1004,$O43)))</f>
        <v>0</v>
      </c>
      <c r="B43" s="36">
        <f>IF($O43="","",IF(INDEX('Activity Planner'!$F$5:$F$1004,$O43)="","",INDEX('Activity Planner'!$F$5:$F$1004,$O43)))</f>
        <v>0</v>
      </c>
      <c r="C43" s="36">
        <f>IF($O43="","",IF(INDEX('Activity Planner'!$G$5:$G$1004,$O43)="","",INDEX('Activity Planner'!$G$5:$G$1004,$O43)))</f>
        <v>0</v>
      </c>
      <c r="D43" s="35">
        <f>IF($O43="","",IF(INDEX('Activity Planner'!$D$5:$D$1004,$O43)="","",INDEX('Activity Planner'!$D$5:$D$1004,$O43)))</f>
        <v>0</v>
      </c>
      <c r="E43" s="35">
        <f>IF($O43="","",IF(INDEX('Activity Planner'!$E$5:$E$1004,$O43)="","",INDEX('Activity Planner'!$E$5:$E$1004,$O43)))</f>
        <v>0</v>
      </c>
      <c r="F43" s="35">
        <f>IF($O43="","",IF(INDEX('Activity Planner'!$H$5:$H$1004,$O43)="","",INDEX('Activity Planner'!$H$5:$H$1004,$O43)))</f>
        <v>0</v>
      </c>
      <c r="G43" s="35">
        <f>IF($O43="","",IF(INDEX('Activity Planner'!$I$5:$I$1004,$O43)="","",INDEX('Activity Planner'!$I$5:$I$1004,$O43)))</f>
        <v>0</v>
      </c>
      <c r="H43" s="35">
        <f>IF($O43="","",IF(INDEX('Activity Planner'!$J$5:$J$1004,$O43)="","",INDEX('Activity Planner'!$J$5:$J$1004,$O43)))</f>
        <v>0</v>
      </c>
      <c r="O43">
        <f>IFERROR(MATCH(SMALL(Calc!$R$5:$R$1004,23),Calc!$R$5:$R$1004,0),"")</f>
        <v>0</v>
      </c>
    </row>
    <row r="44" spans="1:15" x14ac:dyDescent="0.25">
      <c r="A44" s="35">
        <f>IF($O44="","",IF(INDEX('Activity Planner'!$B$5:$B$1004,$O44)="","",INDEX('Activity Planner'!$B$5:$B$1004,$O44)))</f>
        <v>0</v>
      </c>
      <c r="B44" s="36">
        <f>IF($O44="","",IF(INDEX('Activity Planner'!$F$5:$F$1004,$O44)="","",INDEX('Activity Planner'!$F$5:$F$1004,$O44)))</f>
        <v>0</v>
      </c>
      <c r="C44" s="36">
        <f>IF($O44="","",IF(INDEX('Activity Planner'!$G$5:$G$1004,$O44)="","",INDEX('Activity Planner'!$G$5:$G$1004,$O44)))</f>
        <v>0</v>
      </c>
      <c r="D44" s="35">
        <f>IF($O44="","",IF(INDEX('Activity Planner'!$D$5:$D$1004,$O44)="","",INDEX('Activity Planner'!$D$5:$D$1004,$O44)))</f>
        <v>0</v>
      </c>
      <c r="E44" s="35">
        <f>IF($O44="","",IF(INDEX('Activity Planner'!$E$5:$E$1004,$O44)="","",INDEX('Activity Planner'!$E$5:$E$1004,$O44)))</f>
        <v>0</v>
      </c>
      <c r="F44" s="35">
        <f>IF($O44="","",IF(INDEX('Activity Planner'!$H$5:$H$1004,$O44)="","",INDEX('Activity Planner'!$H$5:$H$1004,$O44)))</f>
        <v>0</v>
      </c>
      <c r="G44" s="35">
        <f>IF($O44="","",IF(INDEX('Activity Planner'!$I$5:$I$1004,$O44)="","",INDEX('Activity Planner'!$I$5:$I$1004,$O44)))</f>
        <v>0</v>
      </c>
      <c r="H44" s="35">
        <f>IF($O44="","",IF(INDEX('Activity Planner'!$J$5:$J$1004,$O44)="","",INDEX('Activity Planner'!$J$5:$J$1004,$O44)))</f>
        <v>0</v>
      </c>
      <c r="O44">
        <f>IFERROR(MATCH(SMALL(Calc!$R$5:$R$1004,24),Calc!$R$5:$R$1004,0),"")</f>
        <v>0</v>
      </c>
    </row>
    <row r="45" spans="1:15" x14ac:dyDescent="0.25">
      <c r="A45" s="35">
        <f>IF($O45="","",IF(INDEX('Activity Planner'!$B$5:$B$1004,$O45)="","",INDEX('Activity Planner'!$B$5:$B$1004,$O45)))</f>
        <v>0</v>
      </c>
      <c r="B45" s="36">
        <f>IF($O45="","",IF(INDEX('Activity Planner'!$F$5:$F$1004,$O45)="","",INDEX('Activity Planner'!$F$5:$F$1004,$O45)))</f>
        <v>0</v>
      </c>
      <c r="C45" s="36">
        <f>IF($O45="","",IF(INDEX('Activity Planner'!$G$5:$G$1004,$O45)="","",INDEX('Activity Planner'!$G$5:$G$1004,$O45)))</f>
        <v>0</v>
      </c>
      <c r="D45" s="35">
        <f>IF($O45="","",IF(INDEX('Activity Planner'!$D$5:$D$1004,$O45)="","",INDEX('Activity Planner'!$D$5:$D$1004,$O45)))</f>
        <v>0</v>
      </c>
      <c r="E45" s="35">
        <f>IF($O45="","",IF(INDEX('Activity Planner'!$E$5:$E$1004,$O45)="","",INDEX('Activity Planner'!$E$5:$E$1004,$O45)))</f>
        <v>0</v>
      </c>
      <c r="F45" s="35">
        <f>IF($O45="","",IF(INDEX('Activity Planner'!$H$5:$H$1004,$O45)="","",INDEX('Activity Planner'!$H$5:$H$1004,$O45)))</f>
        <v>0</v>
      </c>
      <c r="G45" s="35">
        <f>IF($O45="","",IF(INDEX('Activity Planner'!$I$5:$I$1004,$O45)="","",INDEX('Activity Planner'!$I$5:$I$1004,$O45)))</f>
        <v>0</v>
      </c>
      <c r="H45" s="35">
        <f>IF($O45="","",IF(INDEX('Activity Planner'!$J$5:$J$1004,$O45)="","",INDEX('Activity Planner'!$J$5:$J$1004,$O45)))</f>
        <v>0</v>
      </c>
      <c r="O45">
        <f>IFERROR(MATCH(SMALL(Calc!$R$5:$R$1004,25),Calc!$R$5:$R$1004,0),"")</f>
        <v>0</v>
      </c>
    </row>
    <row r="46" spans="1:15" x14ac:dyDescent="0.25">
      <c r="A46" s="35">
        <f>IF($O46="","",IF(INDEX('Activity Planner'!$B$5:$B$1004,$O46)="","",INDEX('Activity Planner'!$B$5:$B$1004,$O46)))</f>
        <v>0</v>
      </c>
      <c r="B46" s="36">
        <f>IF($O46="","",IF(INDEX('Activity Planner'!$F$5:$F$1004,$O46)="","",INDEX('Activity Planner'!$F$5:$F$1004,$O46)))</f>
        <v>0</v>
      </c>
      <c r="C46" s="36">
        <f>IF($O46="","",IF(INDEX('Activity Planner'!$G$5:$G$1004,$O46)="","",INDEX('Activity Planner'!$G$5:$G$1004,$O46)))</f>
        <v>0</v>
      </c>
      <c r="D46" s="35">
        <f>IF($O46="","",IF(INDEX('Activity Planner'!$D$5:$D$1004,$O46)="","",INDEX('Activity Planner'!$D$5:$D$1004,$O46)))</f>
        <v>0</v>
      </c>
      <c r="E46" s="35">
        <f>IF($O46="","",IF(INDEX('Activity Planner'!$E$5:$E$1004,$O46)="","",INDEX('Activity Planner'!$E$5:$E$1004,$O46)))</f>
        <v>0</v>
      </c>
      <c r="F46" s="35">
        <f>IF($O46="","",IF(INDEX('Activity Planner'!$H$5:$H$1004,$O46)="","",INDEX('Activity Planner'!$H$5:$H$1004,$O46)))</f>
        <v>0</v>
      </c>
      <c r="G46" s="35">
        <f>IF($O46="","",IF(INDEX('Activity Planner'!$I$5:$I$1004,$O46)="","",INDEX('Activity Planner'!$I$5:$I$1004,$O46)))</f>
        <v>0</v>
      </c>
      <c r="H46" s="35">
        <f>IF($O46="","",IF(INDEX('Activity Planner'!$J$5:$J$1004,$O46)="","",INDEX('Activity Planner'!$J$5:$J$1004,$O46)))</f>
        <v>0</v>
      </c>
      <c r="O46">
        <f>IFERROR(MATCH(SMALL(Calc!$R$5:$R$1004,26),Calc!$R$5:$R$1004,0),"")</f>
        <v>0</v>
      </c>
    </row>
    <row r="47" spans="1:15" x14ac:dyDescent="0.25">
      <c r="A47" s="35">
        <f>IF($O47="","",IF(INDEX('Activity Planner'!$B$5:$B$1004,$O47)="","",INDEX('Activity Planner'!$B$5:$B$1004,$O47)))</f>
        <v>0</v>
      </c>
      <c r="B47" s="36">
        <f>IF($O47="","",IF(INDEX('Activity Planner'!$F$5:$F$1004,$O47)="","",INDEX('Activity Planner'!$F$5:$F$1004,$O47)))</f>
        <v>0</v>
      </c>
      <c r="C47" s="36">
        <f>IF($O47="","",IF(INDEX('Activity Planner'!$G$5:$G$1004,$O47)="","",INDEX('Activity Planner'!$G$5:$G$1004,$O47)))</f>
        <v>0</v>
      </c>
      <c r="D47" s="35">
        <f>IF($O47="","",IF(INDEX('Activity Planner'!$D$5:$D$1004,$O47)="","",INDEX('Activity Planner'!$D$5:$D$1004,$O47)))</f>
        <v>0</v>
      </c>
      <c r="E47" s="35">
        <f>IF($O47="","",IF(INDEX('Activity Planner'!$E$5:$E$1004,$O47)="","",INDEX('Activity Planner'!$E$5:$E$1004,$O47)))</f>
        <v>0</v>
      </c>
      <c r="F47" s="35">
        <f>IF($O47="","",IF(INDEX('Activity Planner'!$H$5:$H$1004,$O47)="","",INDEX('Activity Planner'!$H$5:$H$1004,$O47)))</f>
        <v>0</v>
      </c>
      <c r="G47" s="35">
        <f>IF($O47="","",IF(INDEX('Activity Planner'!$I$5:$I$1004,$O47)="","",INDEX('Activity Planner'!$I$5:$I$1004,$O47)))</f>
        <v>0</v>
      </c>
      <c r="H47" s="35">
        <f>IF($O47="","",IF(INDEX('Activity Planner'!$J$5:$J$1004,$O47)="","",INDEX('Activity Planner'!$J$5:$J$1004,$O47)))</f>
        <v>0</v>
      </c>
      <c r="O47">
        <f>IFERROR(MATCH(SMALL(Calc!$R$5:$R$1004,27),Calc!$R$5:$R$1004,0),"")</f>
        <v>0</v>
      </c>
    </row>
    <row r="48" spans="1:15" x14ac:dyDescent="0.25">
      <c r="A48" s="35">
        <f>IF($O48="","",IF(INDEX('Activity Planner'!$B$5:$B$1004,$O48)="","",INDEX('Activity Planner'!$B$5:$B$1004,$O48)))</f>
        <v>0</v>
      </c>
      <c r="B48" s="36">
        <f>IF($O48="","",IF(INDEX('Activity Planner'!$F$5:$F$1004,$O48)="","",INDEX('Activity Planner'!$F$5:$F$1004,$O48)))</f>
        <v>0</v>
      </c>
      <c r="C48" s="36">
        <f>IF($O48="","",IF(INDEX('Activity Planner'!$G$5:$G$1004,$O48)="","",INDEX('Activity Planner'!$G$5:$G$1004,$O48)))</f>
        <v>0</v>
      </c>
      <c r="D48" s="35">
        <f>IF($O48="","",IF(INDEX('Activity Planner'!$D$5:$D$1004,$O48)="","",INDEX('Activity Planner'!$D$5:$D$1004,$O48)))</f>
        <v>0</v>
      </c>
      <c r="E48" s="35">
        <f>IF($O48="","",IF(INDEX('Activity Planner'!$E$5:$E$1004,$O48)="","",INDEX('Activity Planner'!$E$5:$E$1004,$O48)))</f>
        <v>0</v>
      </c>
      <c r="F48" s="35">
        <f>IF($O48="","",IF(INDEX('Activity Planner'!$H$5:$H$1004,$O48)="","",INDEX('Activity Planner'!$H$5:$H$1004,$O48)))</f>
        <v>0</v>
      </c>
      <c r="G48" s="35">
        <f>IF($O48="","",IF(INDEX('Activity Planner'!$I$5:$I$1004,$O48)="","",INDEX('Activity Planner'!$I$5:$I$1004,$O48)))</f>
        <v>0</v>
      </c>
      <c r="H48" s="35">
        <f>IF($O48="","",IF(INDEX('Activity Planner'!$J$5:$J$1004,$O48)="","",INDEX('Activity Planner'!$J$5:$J$1004,$O48)))</f>
        <v>0</v>
      </c>
      <c r="O48">
        <f>IFERROR(MATCH(SMALL(Calc!$R$5:$R$1004,28),Calc!$R$5:$R$1004,0),"")</f>
        <v>0</v>
      </c>
    </row>
    <row r="49" spans="1:15" x14ac:dyDescent="0.25">
      <c r="A49" s="35">
        <f>IF($O49="","",IF(INDEX('Activity Planner'!$B$5:$B$1004,$O49)="","",INDEX('Activity Planner'!$B$5:$B$1004,$O49)))</f>
        <v>0</v>
      </c>
      <c r="B49" s="36">
        <f>IF($O49="","",IF(INDEX('Activity Planner'!$F$5:$F$1004,$O49)="","",INDEX('Activity Planner'!$F$5:$F$1004,$O49)))</f>
        <v>0</v>
      </c>
      <c r="C49" s="36">
        <f>IF($O49="","",IF(INDEX('Activity Planner'!$G$5:$G$1004,$O49)="","",INDEX('Activity Planner'!$G$5:$G$1004,$O49)))</f>
        <v>0</v>
      </c>
      <c r="D49" s="35">
        <f>IF($O49="","",IF(INDEX('Activity Planner'!$D$5:$D$1004,$O49)="","",INDEX('Activity Planner'!$D$5:$D$1004,$O49)))</f>
        <v>0</v>
      </c>
      <c r="E49" s="35">
        <f>IF($O49="","",IF(INDEX('Activity Planner'!$E$5:$E$1004,$O49)="","",INDEX('Activity Planner'!$E$5:$E$1004,$O49)))</f>
        <v>0</v>
      </c>
      <c r="F49" s="35">
        <f>IF($O49="","",IF(INDEX('Activity Planner'!$H$5:$H$1004,$O49)="","",INDEX('Activity Planner'!$H$5:$H$1004,$O49)))</f>
        <v>0</v>
      </c>
      <c r="G49" s="35">
        <f>IF($O49="","",IF(INDEX('Activity Planner'!$I$5:$I$1004,$O49)="","",INDEX('Activity Planner'!$I$5:$I$1004,$O49)))</f>
        <v>0</v>
      </c>
      <c r="H49" s="35">
        <f>IF($O49="","",IF(INDEX('Activity Planner'!$J$5:$J$1004,$O49)="","",INDEX('Activity Planner'!$J$5:$J$1004,$O49)))</f>
        <v>0</v>
      </c>
      <c r="O49">
        <f>IFERROR(MATCH(SMALL(Calc!$R$5:$R$1004,29),Calc!$R$5:$R$1004,0),"")</f>
        <v>0</v>
      </c>
    </row>
    <row r="50" spans="1:15" x14ac:dyDescent="0.25">
      <c r="A50" s="35">
        <f>IF($O50="","",IF(INDEX('Activity Planner'!$B$5:$B$1004,$O50)="","",INDEX('Activity Planner'!$B$5:$B$1004,$O50)))</f>
        <v>0</v>
      </c>
      <c r="B50" s="36">
        <f>IF($O50="","",IF(INDEX('Activity Planner'!$F$5:$F$1004,$O50)="","",INDEX('Activity Planner'!$F$5:$F$1004,$O50)))</f>
        <v>0</v>
      </c>
      <c r="C50" s="36">
        <f>IF($O50="","",IF(INDEX('Activity Planner'!$G$5:$G$1004,$O50)="","",INDEX('Activity Planner'!$G$5:$G$1004,$O50)))</f>
        <v>0</v>
      </c>
      <c r="D50" s="35">
        <f>IF($O50="","",IF(INDEX('Activity Planner'!$D$5:$D$1004,$O50)="","",INDEX('Activity Planner'!$D$5:$D$1004,$O50)))</f>
        <v>0</v>
      </c>
      <c r="E50" s="35">
        <f>IF($O50="","",IF(INDEX('Activity Planner'!$E$5:$E$1004,$O50)="","",INDEX('Activity Planner'!$E$5:$E$1004,$O50)))</f>
        <v>0</v>
      </c>
      <c r="F50" s="35">
        <f>IF($O50="","",IF(INDEX('Activity Planner'!$H$5:$H$1004,$O50)="","",INDEX('Activity Planner'!$H$5:$H$1004,$O50)))</f>
        <v>0</v>
      </c>
      <c r="G50" s="35">
        <f>IF($O50="","",IF(INDEX('Activity Planner'!$I$5:$I$1004,$O50)="","",INDEX('Activity Planner'!$I$5:$I$1004,$O50)))</f>
        <v>0</v>
      </c>
      <c r="H50" s="35">
        <f>IF($O50="","",IF(INDEX('Activity Planner'!$J$5:$J$1004,$O50)="","",INDEX('Activity Planner'!$J$5:$J$1004,$O50)))</f>
        <v>0</v>
      </c>
      <c r="O50">
        <f>IFERROR(MATCH(SMALL(Calc!$R$5:$R$1004,30),Calc!$R$5:$R$1004,0),"")</f>
        <v>0</v>
      </c>
    </row>
    <row r="51" spans="1:15" x14ac:dyDescent="0.25">
      <c r="A51" s="35">
        <f>IF($O51="","",IF(INDEX('Activity Planner'!$B$5:$B$1004,$O51)="","",INDEX('Activity Planner'!$B$5:$B$1004,$O51)))</f>
        <v>0</v>
      </c>
      <c r="B51" s="36">
        <f>IF($O51="","",IF(INDEX('Activity Planner'!$F$5:$F$1004,$O51)="","",INDEX('Activity Planner'!$F$5:$F$1004,$O51)))</f>
        <v>0</v>
      </c>
      <c r="C51" s="36">
        <f>IF($O51="","",IF(INDEX('Activity Planner'!$G$5:$G$1004,$O51)="","",INDEX('Activity Planner'!$G$5:$G$1004,$O51)))</f>
        <v>0</v>
      </c>
      <c r="D51" s="35">
        <f>IF($O51="","",IF(INDEX('Activity Planner'!$D$5:$D$1004,$O51)="","",INDEX('Activity Planner'!$D$5:$D$1004,$O51)))</f>
        <v>0</v>
      </c>
      <c r="E51" s="35">
        <f>IF($O51="","",IF(INDEX('Activity Planner'!$E$5:$E$1004,$O51)="","",INDEX('Activity Planner'!$E$5:$E$1004,$O51)))</f>
        <v>0</v>
      </c>
      <c r="F51" s="35">
        <f>IF($O51="","",IF(INDEX('Activity Planner'!$H$5:$H$1004,$O51)="","",INDEX('Activity Planner'!$H$5:$H$1004,$O51)))</f>
        <v>0</v>
      </c>
      <c r="G51" s="35">
        <f>IF($O51="","",IF(INDEX('Activity Planner'!$I$5:$I$1004,$O51)="","",INDEX('Activity Planner'!$I$5:$I$1004,$O51)))</f>
        <v>0</v>
      </c>
      <c r="H51" s="35">
        <f>IF($O51="","",IF(INDEX('Activity Planner'!$J$5:$J$1004,$O51)="","",INDEX('Activity Planner'!$J$5:$J$1004,$O51)))</f>
        <v>0</v>
      </c>
      <c r="O51">
        <f>IFERROR(MATCH(SMALL(Calc!$R$5:$R$1004,31),Calc!$R$5:$R$1004,0),"")</f>
        <v>0</v>
      </c>
    </row>
    <row r="52" spans="1:15" x14ac:dyDescent="0.25">
      <c r="A52" s="35">
        <f>IF($O52="","",IF(INDEX('Activity Planner'!$B$5:$B$1004,$O52)="","",INDEX('Activity Planner'!$B$5:$B$1004,$O52)))</f>
        <v>0</v>
      </c>
      <c r="B52" s="36">
        <f>IF($O52="","",IF(INDEX('Activity Planner'!$F$5:$F$1004,$O52)="","",INDEX('Activity Planner'!$F$5:$F$1004,$O52)))</f>
        <v>0</v>
      </c>
      <c r="C52" s="36">
        <f>IF($O52="","",IF(INDEX('Activity Planner'!$G$5:$G$1004,$O52)="","",INDEX('Activity Planner'!$G$5:$G$1004,$O52)))</f>
        <v>0</v>
      </c>
      <c r="D52" s="35">
        <f>IF($O52="","",IF(INDEX('Activity Planner'!$D$5:$D$1004,$O52)="","",INDEX('Activity Planner'!$D$5:$D$1004,$O52)))</f>
        <v>0</v>
      </c>
      <c r="E52" s="35">
        <f>IF($O52="","",IF(INDEX('Activity Planner'!$E$5:$E$1004,$O52)="","",INDEX('Activity Planner'!$E$5:$E$1004,$O52)))</f>
        <v>0</v>
      </c>
      <c r="F52" s="35">
        <f>IF($O52="","",IF(INDEX('Activity Planner'!$H$5:$H$1004,$O52)="","",INDEX('Activity Planner'!$H$5:$H$1004,$O52)))</f>
        <v>0</v>
      </c>
      <c r="G52" s="35">
        <f>IF($O52="","",IF(INDEX('Activity Planner'!$I$5:$I$1004,$O52)="","",INDEX('Activity Planner'!$I$5:$I$1004,$O52)))</f>
        <v>0</v>
      </c>
      <c r="H52" s="35">
        <f>IF($O52="","",IF(INDEX('Activity Planner'!$J$5:$J$1004,$O52)="","",INDEX('Activity Planner'!$J$5:$J$1004,$O52)))</f>
        <v>0</v>
      </c>
      <c r="O52">
        <f>IFERROR(MATCH(SMALL(Calc!$R$5:$R$1004,32),Calc!$R$5:$R$1004,0),"")</f>
        <v>0</v>
      </c>
    </row>
    <row r="53" spans="1:15" x14ac:dyDescent="0.25">
      <c r="A53" s="35">
        <f>IF($O53="","",IF(INDEX('Activity Planner'!$B$5:$B$1004,$O53)="","",INDEX('Activity Planner'!$B$5:$B$1004,$O53)))</f>
        <v>0</v>
      </c>
      <c r="B53" s="36">
        <f>IF($O53="","",IF(INDEX('Activity Planner'!$F$5:$F$1004,$O53)="","",INDEX('Activity Planner'!$F$5:$F$1004,$O53)))</f>
        <v>0</v>
      </c>
      <c r="C53" s="36">
        <f>IF($O53="","",IF(INDEX('Activity Planner'!$G$5:$G$1004,$O53)="","",INDEX('Activity Planner'!$G$5:$G$1004,$O53)))</f>
        <v>0</v>
      </c>
      <c r="D53" s="35">
        <f>IF($O53="","",IF(INDEX('Activity Planner'!$D$5:$D$1004,$O53)="","",INDEX('Activity Planner'!$D$5:$D$1004,$O53)))</f>
        <v>0</v>
      </c>
      <c r="E53" s="35">
        <f>IF($O53="","",IF(INDEX('Activity Planner'!$E$5:$E$1004,$O53)="","",INDEX('Activity Planner'!$E$5:$E$1004,$O53)))</f>
        <v>0</v>
      </c>
      <c r="F53" s="35">
        <f>IF($O53="","",IF(INDEX('Activity Planner'!$H$5:$H$1004,$O53)="","",INDEX('Activity Planner'!$H$5:$H$1004,$O53)))</f>
        <v>0</v>
      </c>
      <c r="G53" s="35">
        <f>IF($O53="","",IF(INDEX('Activity Planner'!$I$5:$I$1004,$O53)="","",INDEX('Activity Planner'!$I$5:$I$1004,$O53)))</f>
        <v>0</v>
      </c>
      <c r="H53" s="35">
        <f>IF($O53="","",IF(INDEX('Activity Planner'!$J$5:$J$1004,$O53)="","",INDEX('Activity Planner'!$J$5:$J$1004,$O53)))</f>
        <v>0</v>
      </c>
      <c r="O53">
        <f>IFERROR(MATCH(SMALL(Calc!$R$5:$R$1004,33),Calc!$R$5:$R$1004,0),"")</f>
        <v>0</v>
      </c>
    </row>
    <row r="54" spans="1:15" x14ac:dyDescent="0.25">
      <c r="A54" s="35">
        <f>IF($O54="","",IF(INDEX('Activity Planner'!$B$5:$B$1004,$O54)="","",INDEX('Activity Planner'!$B$5:$B$1004,$O54)))</f>
        <v>0</v>
      </c>
      <c r="B54" s="36">
        <f>IF($O54="","",IF(INDEX('Activity Planner'!$F$5:$F$1004,$O54)="","",INDEX('Activity Planner'!$F$5:$F$1004,$O54)))</f>
        <v>0</v>
      </c>
      <c r="C54" s="36">
        <f>IF($O54="","",IF(INDEX('Activity Planner'!$G$5:$G$1004,$O54)="","",INDEX('Activity Planner'!$G$5:$G$1004,$O54)))</f>
        <v>0</v>
      </c>
      <c r="D54" s="35">
        <f>IF($O54="","",IF(INDEX('Activity Planner'!$D$5:$D$1004,$O54)="","",INDEX('Activity Planner'!$D$5:$D$1004,$O54)))</f>
        <v>0</v>
      </c>
      <c r="E54" s="35">
        <f>IF($O54="","",IF(INDEX('Activity Planner'!$E$5:$E$1004,$O54)="","",INDEX('Activity Planner'!$E$5:$E$1004,$O54)))</f>
        <v>0</v>
      </c>
      <c r="F54" s="35">
        <f>IF($O54="","",IF(INDEX('Activity Planner'!$H$5:$H$1004,$O54)="","",INDEX('Activity Planner'!$H$5:$H$1004,$O54)))</f>
        <v>0</v>
      </c>
      <c r="G54" s="35">
        <f>IF($O54="","",IF(INDEX('Activity Planner'!$I$5:$I$1004,$O54)="","",INDEX('Activity Planner'!$I$5:$I$1004,$O54)))</f>
        <v>0</v>
      </c>
      <c r="H54" s="35">
        <f>IF($O54="","",IF(INDEX('Activity Planner'!$J$5:$J$1004,$O54)="","",INDEX('Activity Planner'!$J$5:$J$1004,$O54)))</f>
        <v>0</v>
      </c>
      <c r="O54">
        <f>IFERROR(MATCH(SMALL(Calc!$R$5:$R$1004,34),Calc!$R$5:$R$1004,0),"")</f>
        <v>0</v>
      </c>
    </row>
    <row r="55" spans="1:15" x14ac:dyDescent="0.25">
      <c r="A55" s="35">
        <f>IF($O55="","",IF(INDEX('Activity Planner'!$B$5:$B$1004,$O55)="","",INDEX('Activity Planner'!$B$5:$B$1004,$O55)))</f>
        <v>0</v>
      </c>
      <c r="B55" s="36">
        <f>IF($O55="","",IF(INDEX('Activity Planner'!$F$5:$F$1004,$O55)="","",INDEX('Activity Planner'!$F$5:$F$1004,$O55)))</f>
        <v>0</v>
      </c>
      <c r="C55" s="36">
        <f>IF($O55="","",IF(INDEX('Activity Planner'!$G$5:$G$1004,$O55)="","",INDEX('Activity Planner'!$G$5:$G$1004,$O55)))</f>
        <v>0</v>
      </c>
      <c r="D55" s="35">
        <f>IF($O55="","",IF(INDEX('Activity Planner'!$D$5:$D$1004,$O55)="","",INDEX('Activity Planner'!$D$5:$D$1004,$O55)))</f>
        <v>0</v>
      </c>
      <c r="E55" s="35">
        <f>IF($O55="","",IF(INDEX('Activity Planner'!$E$5:$E$1004,$O55)="","",INDEX('Activity Planner'!$E$5:$E$1004,$O55)))</f>
        <v>0</v>
      </c>
      <c r="F55" s="35">
        <f>IF($O55="","",IF(INDEX('Activity Planner'!$H$5:$H$1004,$O55)="","",INDEX('Activity Planner'!$H$5:$H$1004,$O55)))</f>
        <v>0</v>
      </c>
      <c r="G55" s="35">
        <f>IF($O55="","",IF(INDEX('Activity Planner'!$I$5:$I$1004,$O55)="","",INDEX('Activity Planner'!$I$5:$I$1004,$O55)))</f>
        <v>0</v>
      </c>
      <c r="H55" s="35">
        <f>IF($O55="","",IF(INDEX('Activity Planner'!$J$5:$J$1004,$O55)="","",INDEX('Activity Planner'!$J$5:$J$1004,$O55)))</f>
        <v>0</v>
      </c>
      <c r="O55">
        <f>IFERROR(MATCH(SMALL(Calc!$R$5:$R$1004,35),Calc!$R$5:$R$1004,0),"")</f>
        <v>0</v>
      </c>
    </row>
    <row r="56" spans="1:15" x14ac:dyDescent="0.25">
      <c r="A56" s="35">
        <f>IF($O56="","",IF(INDEX('Activity Planner'!$B$5:$B$1004,$O56)="","",INDEX('Activity Planner'!$B$5:$B$1004,$O56)))</f>
        <v>0</v>
      </c>
      <c r="B56" s="36">
        <f>IF($O56="","",IF(INDEX('Activity Planner'!$F$5:$F$1004,$O56)="","",INDEX('Activity Planner'!$F$5:$F$1004,$O56)))</f>
        <v>0</v>
      </c>
      <c r="C56" s="36">
        <f>IF($O56="","",IF(INDEX('Activity Planner'!$G$5:$G$1004,$O56)="","",INDEX('Activity Planner'!$G$5:$G$1004,$O56)))</f>
        <v>0</v>
      </c>
      <c r="D56" s="35">
        <f>IF($O56="","",IF(INDEX('Activity Planner'!$D$5:$D$1004,$O56)="","",INDEX('Activity Planner'!$D$5:$D$1004,$O56)))</f>
        <v>0</v>
      </c>
      <c r="E56" s="35">
        <f>IF($O56="","",IF(INDEX('Activity Planner'!$E$5:$E$1004,$O56)="","",INDEX('Activity Planner'!$E$5:$E$1004,$O56)))</f>
        <v>0</v>
      </c>
      <c r="F56" s="35">
        <f>IF($O56="","",IF(INDEX('Activity Planner'!$H$5:$H$1004,$O56)="","",INDEX('Activity Planner'!$H$5:$H$1004,$O56)))</f>
        <v>0</v>
      </c>
      <c r="G56" s="35">
        <f>IF($O56="","",IF(INDEX('Activity Planner'!$I$5:$I$1004,$O56)="","",INDEX('Activity Planner'!$I$5:$I$1004,$O56)))</f>
        <v>0</v>
      </c>
      <c r="H56" s="35">
        <f>IF($O56="","",IF(INDEX('Activity Planner'!$J$5:$J$1004,$O56)="","",INDEX('Activity Planner'!$J$5:$J$1004,$O56)))</f>
        <v>0</v>
      </c>
      <c r="O56">
        <f>IFERROR(MATCH(SMALL(Calc!$R$5:$R$1004,36),Calc!$R$5:$R$1004,0),"")</f>
        <v>0</v>
      </c>
    </row>
    <row r="57" spans="1:15" x14ac:dyDescent="0.25">
      <c r="A57" s="35">
        <f>IF($O57="","",IF(INDEX('Activity Planner'!$B$5:$B$1004,$O57)="","",INDEX('Activity Planner'!$B$5:$B$1004,$O57)))</f>
        <v>0</v>
      </c>
      <c r="B57" s="36">
        <f>IF($O57="","",IF(INDEX('Activity Planner'!$F$5:$F$1004,$O57)="","",INDEX('Activity Planner'!$F$5:$F$1004,$O57)))</f>
        <v>0</v>
      </c>
      <c r="C57" s="36">
        <f>IF($O57="","",IF(INDEX('Activity Planner'!$G$5:$G$1004,$O57)="","",INDEX('Activity Planner'!$G$5:$G$1004,$O57)))</f>
        <v>0</v>
      </c>
      <c r="D57" s="35">
        <f>IF($O57="","",IF(INDEX('Activity Planner'!$D$5:$D$1004,$O57)="","",INDEX('Activity Planner'!$D$5:$D$1004,$O57)))</f>
        <v>0</v>
      </c>
      <c r="E57" s="35">
        <f>IF($O57="","",IF(INDEX('Activity Planner'!$E$5:$E$1004,$O57)="","",INDEX('Activity Planner'!$E$5:$E$1004,$O57)))</f>
        <v>0</v>
      </c>
      <c r="F57" s="35">
        <f>IF($O57="","",IF(INDEX('Activity Planner'!$H$5:$H$1004,$O57)="","",INDEX('Activity Planner'!$H$5:$H$1004,$O57)))</f>
        <v>0</v>
      </c>
      <c r="G57" s="35">
        <f>IF($O57="","",IF(INDEX('Activity Planner'!$I$5:$I$1004,$O57)="","",INDEX('Activity Planner'!$I$5:$I$1004,$O57)))</f>
        <v>0</v>
      </c>
      <c r="H57" s="35">
        <f>IF($O57="","",IF(INDEX('Activity Planner'!$J$5:$J$1004,$O57)="","",INDEX('Activity Planner'!$J$5:$J$1004,$O57)))</f>
        <v>0</v>
      </c>
      <c r="O57">
        <f>IFERROR(MATCH(SMALL(Calc!$R$5:$R$1004,37),Calc!$R$5:$R$1004,0),"")</f>
        <v>0</v>
      </c>
    </row>
    <row r="58" spans="1:15" x14ac:dyDescent="0.25">
      <c r="A58" s="35">
        <f>IF($O58="","",IF(INDEX('Activity Planner'!$B$5:$B$1004,$O58)="","",INDEX('Activity Planner'!$B$5:$B$1004,$O58)))</f>
        <v>0</v>
      </c>
      <c r="B58" s="36">
        <f>IF($O58="","",IF(INDEX('Activity Planner'!$F$5:$F$1004,$O58)="","",INDEX('Activity Planner'!$F$5:$F$1004,$O58)))</f>
        <v>0</v>
      </c>
      <c r="C58" s="36">
        <f>IF($O58="","",IF(INDEX('Activity Planner'!$G$5:$G$1004,$O58)="","",INDEX('Activity Planner'!$G$5:$G$1004,$O58)))</f>
        <v>0</v>
      </c>
      <c r="D58" s="35">
        <f>IF($O58="","",IF(INDEX('Activity Planner'!$D$5:$D$1004,$O58)="","",INDEX('Activity Planner'!$D$5:$D$1004,$O58)))</f>
        <v>0</v>
      </c>
      <c r="E58" s="35">
        <f>IF($O58="","",IF(INDEX('Activity Planner'!$E$5:$E$1004,$O58)="","",INDEX('Activity Planner'!$E$5:$E$1004,$O58)))</f>
        <v>0</v>
      </c>
      <c r="F58" s="35">
        <f>IF($O58="","",IF(INDEX('Activity Planner'!$H$5:$H$1004,$O58)="","",INDEX('Activity Planner'!$H$5:$H$1004,$O58)))</f>
        <v>0</v>
      </c>
      <c r="G58" s="35">
        <f>IF($O58="","",IF(INDEX('Activity Planner'!$I$5:$I$1004,$O58)="","",INDEX('Activity Planner'!$I$5:$I$1004,$O58)))</f>
        <v>0</v>
      </c>
      <c r="H58" s="35">
        <f>IF($O58="","",IF(INDEX('Activity Planner'!$J$5:$J$1004,$O58)="","",INDEX('Activity Planner'!$J$5:$J$1004,$O58)))</f>
        <v>0</v>
      </c>
      <c r="O58">
        <f>IFERROR(MATCH(SMALL(Calc!$R$5:$R$1004,38),Calc!$R$5:$R$1004,0),"")</f>
        <v>0</v>
      </c>
    </row>
    <row r="59" spans="1:15" x14ac:dyDescent="0.25">
      <c r="A59" s="35">
        <f>IF($O59="","",IF(INDEX('Activity Planner'!$B$5:$B$1004,$O59)="","",INDEX('Activity Planner'!$B$5:$B$1004,$O59)))</f>
        <v>0</v>
      </c>
      <c r="B59" s="36">
        <f>IF($O59="","",IF(INDEX('Activity Planner'!$F$5:$F$1004,$O59)="","",INDEX('Activity Planner'!$F$5:$F$1004,$O59)))</f>
        <v>0</v>
      </c>
      <c r="C59" s="36">
        <f>IF($O59="","",IF(INDEX('Activity Planner'!$G$5:$G$1004,$O59)="","",INDEX('Activity Planner'!$G$5:$G$1004,$O59)))</f>
        <v>0</v>
      </c>
      <c r="D59" s="35">
        <f>IF($O59="","",IF(INDEX('Activity Planner'!$D$5:$D$1004,$O59)="","",INDEX('Activity Planner'!$D$5:$D$1004,$O59)))</f>
        <v>0</v>
      </c>
      <c r="E59" s="35">
        <f>IF($O59="","",IF(INDEX('Activity Planner'!$E$5:$E$1004,$O59)="","",INDEX('Activity Planner'!$E$5:$E$1004,$O59)))</f>
        <v>0</v>
      </c>
      <c r="F59" s="35">
        <f>IF($O59="","",IF(INDEX('Activity Planner'!$H$5:$H$1004,$O59)="","",INDEX('Activity Planner'!$H$5:$H$1004,$O59)))</f>
        <v>0</v>
      </c>
      <c r="G59" s="35">
        <f>IF($O59="","",IF(INDEX('Activity Planner'!$I$5:$I$1004,$O59)="","",INDEX('Activity Planner'!$I$5:$I$1004,$O59)))</f>
        <v>0</v>
      </c>
      <c r="H59" s="35">
        <f>IF($O59="","",IF(INDEX('Activity Planner'!$J$5:$J$1004,$O59)="","",INDEX('Activity Planner'!$J$5:$J$1004,$O59)))</f>
        <v>0</v>
      </c>
      <c r="O59">
        <f>IFERROR(MATCH(SMALL(Calc!$R$5:$R$1004,39),Calc!$R$5:$R$1004,0),"")</f>
        <v>0</v>
      </c>
    </row>
    <row r="60" spans="1:15" x14ac:dyDescent="0.25">
      <c r="A60" s="35">
        <f>IF($O60="","",IF(INDEX('Activity Planner'!$B$5:$B$1004,$O60)="","",INDEX('Activity Planner'!$B$5:$B$1004,$O60)))</f>
        <v>0</v>
      </c>
      <c r="B60" s="36">
        <f>IF($O60="","",IF(INDEX('Activity Planner'!$F$5:$F$1004,$O60)="","",INDEX('Activity Planner'!$F$5:$F$1004,$O60)))</f>
        <v>0</v>
      </c>
      <c r="C60" s="36">
        <f>IF($O60="","",IF(INDEX('Activity Planner'!$G$5:$G$1004,$O60)="","",INDEX('Activity Planner'!$G$5:$G$1004,$O60)))</f>
        <v>0</v>
      </c>
      <c r="D60" s="35">
        <f>IF($O60="","",IF(INDEX('Activity Planner'!$D$5:$D$1004,$O60)="","",INDEX('Activity Planner'!$D$5:$D$1004,$O60)))</f>
        <v>0</v>
      </c>
      <c r="E60" s="35">
        <f>IF($O60="","",IF(INDEX('Activity Planner'!$E$5:$E$1004,$O60)="","",INDEX('Activity Planner'!$E$5:$E$1004,$O60)))</f>
        <v>0</v>
      </c>
      <c r="F60" s="35">
        <f>IF($O60="","",IF(INDEX('Activity Planner'!$H$5:$H$1004,$O60)="","",INDEX('Activity Planner'!$H$5:$H$1004,$O60)))</f>
        <v>0</v>
      </c>
      <c r="G60" s="35">
        <f>IF($O60="","",IF(INDEX('Activity Planner'!$I$5:$I$1004,$O60)="","",INDEX('Activity Planner'!$I$5:$I$1004,$O60)))</f>
        <v>0</v>
      </c>
      <c r="H60" s="35">
        <f>IF($O60="","",IF(INDEX('Activity Planner'!$J$5:$J$1004,$O60)="","",INDEX('Activity Planner'!$J$5:$J$1004,$O60)))</f>
        <v>0</v>
      </c>
      <c r="O60">
        <f>IFERROR(MATCH(SMALL(Calc!$R$5:$R$1004,40),Calc!$R$5:$R$1004,0),"")</f>
        <v>0</v>
      </c>
    </row>
    <row r="61" spans="1:15" x14ac:dyDescent="0.25">
      <c r="A61" s="35">
        <f>IF($O61="","",IF(INDEX('Activity Planner'!$B$5:$B$1004,$O61)="","",INDEX('Activity Planner'!$B$5:$B$1004,$O61)))</f>
        <v>0</v>
      </c>
      <c r="B61" s="36">
        <f>IF($O61="","",IF(INDEX('Activity Planner'!$F$5:$F$1004,$O61)="","",INDEX('Activity Planner'!$F$5:$F$1004,$O61)))</f>
        <v>0</v>
      </c>
      <c r="C61" s="36">
        <f>IF($O61="","",IF(INDEX('Activity Planner'!$G$5:$G$1004,$O61)="","",INDEX('Activity Planner'!$G$5:$G$1004,$O61)))</f>
        <v>0</v>
      </c>
      <c r="D61" s="35">
        <f>IF($O61="","",IF(INDEX('Activity Planner'!$D$5:$D$1004,$O61)="","",INDEX('Activity Planner'!$D$5:$D$1004,$O61)))</f>
        <v>0</v>
      </c>
      <c r="E61" s="35">
        <f>IF($O61="","",IF(INDEX('Activity Planner'!$E$5:$E$1004,$O61)="","",INDEX('Activity Planner'!$E$5:$E$1004,$O61)))</f>
        <v>0</v>
      </c>
      <c r="F61" s="35">
        <f>IF($O61="","",IF(INDEX('Activity Planner'!$H$5:$H$1004,$O61)="","",INDEX('Activity Planner'!$H$5:$H$1004,$O61)))</f>
        <v>0</v>
      </c>
      <c r="G61" s="35">
        <f>IF($O61="","",IF(INDEX('Activity Planner'!$I$5:$I$1004,$O61)="","",INDEX('Activity Planner'!$I$5:$I$1004,$O61)))</f>
        <v>0</v>
      </c>
      <c r="H61" s="35">
        <f>IF($O61="","",IF(INDEX('Activity Planner'!$J$5:$J$1004,$O61)="","",INDEX('Activity Planner'!$J$5:$J$1004,$O61)))</f>
        <v>0</v>
      </c>
      <c r="O61">
        <f>IFERROR(MATCH(SMALL(Calc!$R$5:$R$1004,41),Calc!$R$5:$R$1004,0),"")</f>
        <v>0</v>
      </c>
    </row>
    <row r="62" spans="1:15" x14ac:dyDescent="0.25">
      <c r="A62" s="35">
        <f>IF($O62="","",IF(INDEX('Activity Planner'!$B$5:$B$1004,$O62)="","",INDEX('Activity Planner'!$B$5:$B$1004,$O62)))</f>
        <v>0</v>
      </c>
      <c r="B62" s="36">
        <f>IF($O62="","",IF(INDEX('Activity Planner'!$F$5:$F$1004,$O62)="","",INDEX('Activity Planner'!$F$5:$F$1004,$O62)))</f>
        <v>0</v>
      </c>
      <c r="C62" s="36">
        <f>IF($O62="","",IF(INDEX('Activity Planner'!$G$5:$G$1004,$O62)="","",INDEX('Activity Planner'!$G$5:$G$1004,$O62)))</f>
        <v>0</v>
      </c>
      <c r="D62" s="35">
        <f>IF($O62="","",IF(INDEX('Activity Planner'!$D$5:$D$1004,$O62)="","",INDEX('Activity Planner'!$D$5:$D$1004,$O62)))</f>
        <v>0</v>
      </c>
      <c r="E62" s="35">
        <f>IF($O62="","",IF(INDEX('Activity Planner'!$E$5:$E$1004,$O62)="","",INDEX('Activity Planner'!$E$5:$E$1004,$O62)))</f>
        <v>0</v>
      </c>
      <c r="F62" s="35">
        <f>IF($O62="","",IF(INDEX('Activity Planner'!$H$5:$H$1004,$O62)="","",INDEX('Activity Planner'!$H$5:$H$1004,$O62)))</f>
        <v>0</v>
      </c>
      <c r="G62" s="35">
        <f>IF($O62="","",IF(INDEX('Activity Planner'!$I$5:$I$1004,$O62)="","",INDEX('Activity Planner'!$I$5:$I$1004,$O62)))</f>
        <v>0</v>
      </c>
      <c r="H62" s="35">
        <f>IF($O62="","",IF(INDEX('Activity Planner'!$J$5:$J$1004,$O62)="","",INDEX('Activity Planner'!$J$5:$J$1004,$O62)))</f>
        <v>0</v>
      </c>
      <c r="O62">
        <f>IFERROR(MATCH(SMALL(Calc!$R$5:$R$1004,42),Calc!$R$5:$R$1004,0),"")</f>
        <v>0</v>
      </c>
    </row>
    <row r="63" spans="1:15" x14ac:dyDescent="0.25">
      <c r="A63" s="35">
        <f>IF($O63="","",IF(INDEX('Activity Planner'!$B$5:$B$1004,$O63)="","",INDEX('Activity Planner'!$B$5:$B$1004,$O63)))</f>
        <v>0</v>
      </c>
      <c r="B63" s="36">
        <f>IF($O63="","",IF(INDEX('Activity Planner'!$F$5:$F$1004,$O63)="","",INDEX('Activity Planner'!$F$5:$F$1004,$O63)))</f>
        <v>0</v>
      </c>
      <c r="C63" s="36">
        <f>IF($O63="","",IF(INDEX('Activity Planner'!$G$5:$G$1004,$O63)="","",INDEX('Activity Planner'!$G$5:$G$1004,$O63)))</f>
        <v>0</v>
      </c>
      <c r="D63" s="35">
        <f>IF($O63="","",IF(INDEX('Activity Planner'!$D$5:$D$1004,$O63)="","",INDEX('Activity Planner'!$D$5:$D$1004,$O63)))</f>
        <v>0</v>
      </c>
      <c r="E63" s="35">
        <f>IF($O63="","",IF(INDEX('Activity Planner'!$E$5:$E$1004,$O63)="","",INDEX('Activity Planner'!$E$5:$E$1004,$O63)))</f>
        <v>0</v>
      </c>
      <c r="F63" s="35">
        <f>IF($O63="","",IF(INDEX('Activity Planner'!$H$5:$H$1004,$O63)="","",INDEX('Activity Planner'!$H$5:$H$1004,$O63)))</f>
        <v>0</v>
      </c>
      <c r="G63" s="35">
        <f>IF($O63="","",IF(INDEX('Activity Planner'!$I$5:$I$1004,$O63)="","",INDEX('Activity Planner'!$I$5:$I$1004,$O63)))</f>
        <v>0</v>
      </c>
      <c r="H63" s="35">
        <f>IF($O63="","",IF(INDEX('Activity Planner'!$J$5:$J$1004,$O63)="","",INDEX('Activity Planner'!$J$5:$J$1004,$O63)))</f>
        <v>0</v>
      </c>
      <c r="O63">
        <f>IFERROR(MATCH(SMALL(Calc!$R$5:$R$1004,43),Calc!$R$5:$R$1004,0),"")</f>
        <v>0</v>
      </c>
    </row>
    <row r="64" spans="1:15" x14ac:dyDescent="0.25">
      <c r="A64" s="35">
        <f>IF($O64="","",IF(INDEX('Activity Planner'!$B$5:$B$1004,$O64)="","",INDEX('Activity Planner'!$B$5:$B$1004,$O64)))</f>
        <v>0</v>
      </c>
      <c r="B64" s="36">
        <f>IF($O64="","",IF(INDEX('Activity Planner'!$F$5:$F$1004,$O64)="","",INDEX('Activity Planner'!$F$5:$F$1004,$O64)))</f>
        <v>0</v>
      </c>
      <c r="C64" s="36">
        <f>IF($O64="","",IF(INDEX('Activity Planner'!$G$5:$G$1004,$O64)="","",INDEX('Activity Planner'!$G$5:$G$1004,$O64)))</f>
        <v>0</v>
      </c>
      <c r="D64" s="35">
        <f>IF($O64="","",IF(INDEX('Activity Planner'!$D$5:$D$1004,$O64)="","",INDEX('Activity Planner'!$D$5:$D$1004,$O64)))</f>
        <v>0</v>
      </c>
      <c r="E64" s="35">
        <f>IF($O64="","",IF(INDEX('Activity Planner'!$E$5:$E$1004,$O64)="","",INDEX('Activity Planner'!$E$5:$E$1004,$O64)))</f>
        <v>0</v>
      </c>
      <c r="F64" s="35">
        <f>IF($O64="","",IF(INDEX('Activity Planner'!$H$5:$H$1004,$O64)="","",INDEX('Activity Planner'!$H$5:$H$1004,$O64)))</f>
        <v>0</v>
      </c>
      <c r="G64" s="35">
        <f>IF($O64="","",IF(INDEX('Activity Planner'!$I$5:$I$1004,$O64)="","",INDEX('Activity Planner'!$I$5:$I$1004,$O64)))</f>
        <v>0</v>
      </c>
      <c r="H64" s="35">
        <f>IF($O64="","",IF(INDEX('Activity Planner'!$J$5:$J$1004,$O64)="","",INDEX('Activity Planner'!$J$5:$J$1004,$O64)))</f>
        <v>0</v>
      </c>
      <c r="O64">
        <f>IFERROR(MATCH(SMALL(Calc!$R$5:$R$1004,44),Calc!$R$5:$R$1004,0),"")</f>
        <v>0</v>
      </c>
    </row>
    <row r="65" spans="1:15" x14ac:dyDescent="0.25">
      <c r="A65" s="35">
        <f>IF($O65="","",IF(INDEX('Activity Planner'!$B$5:$B$1004,$O65)="","",INDEX('Activity Planner'!$B$5:$B$1004,$O65)))</f>
        <v>0</v>
      </c>
      <c r="B65" s="36">
        <f>IF($O65="","",IF(INDEX('Activity Planner'!$F$5:$F$1004,$O65)="","",INDEX('Activity Planner'!$F$5:$F$1004,$O65)))</f>
        <v>0</v>
      </c>
      <c r="C65" s="36">
        <f>IF($O65="","",IF(INDEX('Activity Planner'!$G$5:$G$1004,$O65)="","",INDEX('Activity Planner'!$G$5:$G$1004,$O65)))</f>
        <v>0</v>
      </c>
      <c r="D65" s="35">
        <f>IF($O65="","",IF(INDEX('Activity Planner'!$D$5:$D$1004,$O65)="","",INDEX('Activity Planner'!$D$5:$D$1004,$O65)))</f>
        <v>0</v>
      </c>
      <c r="E65" s="35">
        <f>IF($O65="","",IF(INDEX('Activity Planner'!$E$5:$E$1004,$O65)="","",INDEX('Activity Planner'!$E$5:$E$1004,$O65)))</f>
        <v>0</v>
      </c>
      <c r="F65" s="35">
        <f>IF($O65="","",IF(INDEX('Activity Planner'!$H$5:$H$1004,$O65)="","",INDEX('Activity Planner'!$H$5:$H$1004,$O65)))</f>
        <v>0</v>
      </c>
      <c r="G65" s="35">
        <f>IF($O65="","",IF(INDEX('Activity Planner'!$I$5:$I$1004,$O65)="","",INDEX('Activity Planner'!$I$5:$I$1004,$O65)))</f>
        <v>0</v>
      </c>
      <c r="H65" s="35">
        <f>IF($O65="","",IF(INDEX('Activity Planner'!$J$5:$J$1004,$O65)="","",INDEX('Activity Planner'!$J$5:$J$1004,$O65)))</f>
        <v>0</v>
      </c>
      <c r="O65">
        <f>IFERROR(MATCH(SMALL(Calc!$R$5:$R$1004,45),Calc!$R$5:$R$1004,0),"")</f>
        <v>0</v>
      </c>
    </row>
    <row r="66" spans="1:15" x14ac:dyDescent="0.25">
      <c r="A66" s="35">
        <f>IF($O66="","",IF(INDEX('Activity Planner'!$B$5:$B$1004,$O66)="","",INDEX('Activity Planner'!$B$5:$B$1004,$O66)))</f>
        <v>0</v>
      </c>
      <c r="B66" s="36">
        <f>IF($O66="","",IF(INDEX('Activity Planner'!$F$5:$F$1004,$O66)="","",INDEX('Activity Planner'!$F$5:$F$1004,$O66)))</f>
        <v>0</v>
      </c>
      <c r="C66" s="36">
        <f>IF($O66="","",IF(INDEX('Activity Planner'!$G$5:$G$1004,$O66)="","",INDEX('Activity Planner'!$G$5:$G$1004,$O66)))</f>
        <v>0</v>
      </c>
      <c r="D66" s="35">
        <f>IF($O66="","",IF(INDEX('Activity Planner'!$D$5:$D$1004,$O66)="","",INDEX('Activity Planner'!$D$5:$D$1004,$O66)))</f>
        <v>0</v>
      </c>
      <c r="E66" s="35">
        <f>IF($O66="","",IF(INDEX('Activity Planner'!$E$5:$E$1004,$O66)="","",INDEX('Activity Planner'!$E$5:$E$1004,$O66)))</f>
        <v>0</v>
      </c>
      <c r="F66" s="35">
        <f>IF($O66="","",IF(INDEX('Activity Planner'!$H$5:$H$1004,$O66)="","",INDEX('Activity Planner'!$H$5:$H$1004,$O66)))</f>
        <v>0</v>
      </c>
      <c r="G66" s="35">
        <f>IF($O66="","",IF(INDEX('Activity Planner'!$I$5:$I$1004,$O66)="","",INDEX('Activity Planner'!$I$5:$I$1004,$O66)))</f>
        <v>0</v>
      </c>
      <c r="H66" s="35">
        <f>IF($O66="","",IF(INDEX('Activity Planner'!$J$5:$J$1004,$O66)="","",INDEX('Activity Planner'!$J$5:$J$1004,$O66)))</f>
        <v>0</v>
      </c>
      <c r="O66">
        <f>IFERROR(MATCH(SMALL(Calc!$R$5:$R$1004,46),Calc!$R$5:$R$1004,0),"")</f>
        <v>0</v>
      </c>
    </row>
    <row r="67" spans="1:15" x14ac:dyDescent="0.25">
      <c r="A67" s="35">
        <f>IF($O67="","",IF(INDEX('Activity Planner'!$B$5:$B$1004,$O67)="","",INDEX('Activity Planner'!$B$5:$B$1004,$O67)))</f>
        <v>0</v>
      </c>
      <c r="B67" s="36">
        <f>IF($O67="","",IF(INDEX('Activity Planner'!$F$5:$F$1004,$O67)="","",INDEX('Activity Planner'!$F$5:$F$1004,$O67)))</f>
        <v>0</v>
      </c>
      <c r="C67" s="36">
        <f>IF($O67="","",IF(INDEX('Activity Planner'!$G$5:$G$1004,$O67)="","",INDEX('Activity Planner'!$G$5:$G$1004,$O67)))</f>
        <v>0</v>
      </c>
      <c r="D67" s="35">
        <f>IF($O67="","",IF(INDEX('Activity Planner'!$D$5:$D$1004,$O67)="","",INDEX('Activity Planner'!$D$5:$D$1004,$O67)))</f>
        <v>0</v>
      </c>
      <c r="E67" s="35">
        <f>IF($O67="","",IF(INDEX('Activity Planner'!$E$5:$E$1004,$O67)="","",INDEX('Activity Planner'!$E$5:$E$1004,$O67)))</f>
        <v>0</v>
      </c>
      <c r="F67" s="35">
        <f>IF($O67="","",IF(INDEX('Activity Planner'!$H$5:$H$1004,$O67)="","",INDEX('Activity Planner'!$H$5:$H$1004,$O67)))</f>
        <v>0</v>
      </c>
      <c r="G67" s="35">
        <f>IF($O67="","",IF(INDEX('Activity Planner'!$I$5:$I$1004,$O67)="","",INDEX('Activity Planner'!$I$5:$I$1004,$O67)))</f>
        <v>0</v>
      </c>
      <c r="H67" s="35">
        <f>IF($O67="","",IF(INDEX('Activity Planner'!$J$5:$J$1004,$O67)="","",INDEX('Activity Planner'!$J$5:$J$1004,$O67)))</f>
        <v>0</v>
      </c>
      <c r="O67">
        <f>IFERROR(MATCH(SMALL(Calc!$R$5:$R$1004,47),Calc!$R$5:$R$1004,0),"")</f>
        <v>0</v>
      </c>
    </row>
    <row r="68" spans="1:15" x14ac:dyDescent="0.25">
      <c r="A68" s="35">
        <f>IF($O68="","",IF(INDEX('Activity Planner'!$B$5:$B$1004,$O68)="","",INDEX('Activity Planner'!$B$5:$B$1004,$O68)))</f>
        <v>0</v>
      </c>
      <c r="B68" s="36">
        <f>IF($O68="","",IF(INDEX('Activity Planner'!$F$5:$F$1004,$O68)="","",INDEX('Activity Planner'!$F$5:$F$1004,$O68)))</f>
        <v>0</v>
      </c>
      <c r="C68" s="36">
        <f>IF($O68="","",IF(INDEX('Activity Planner'!$G$5:$G$1004,$O68)="","",INDEX('Activity Planner'!$G$5:$G$1004,$O68)))</f>
        <v>0</v>
      </c>
      <c r="D68" s="35">
        <f>IF($O68="","",IF(INDEX('Activity Planner'!$D$5:$D$1004,$O68)="","",INDEX('Activity Planner'!$D$5:$D$1004,$O68)))</f>
        <v>0</v>
      </c>
      <c r="E68" s="35">
        <f>IF($O68="","",IF(INDEX('Activity Planner'!$E$5:$E$1004,$O68)="","",INDEX('Activity Planner'!$E$5:$E$1004,$O68)))</f>
        <v>0</v>
      </c>
      <c r="F68" s="35">
        <f>IF($O68="","",IF(INDEX('Activity Planner'!$H$5:$H$1004,$O68)="","",INDEX('Activity Planner'!$H$5:$H$1004,$O68)))</f>
        <v>0</v>
      </c>
      <c r="G68" s="35">
        <f>IF($O68="","",IF(INDEX('Activity Planner'!$I$5:$I$1004,$O68)="","",INDEX('Activity Planner'!$I$5:$I$1004,$O68)))</f>
        <v>0</v>
      </c>
      <c r="H68" s="35">
        <f>IF($O68="","",IF(INDEX('Activity Planner'!$J$5:$J$1004,$O68)="","",INDEX('Activity Planner'!$J$5:$J$1004,$O68)))</f>
        <v>0</v>
      </c>
      <c r="O68">
        <f>IFERROR(MATCH(SMALL(Calc!$R$5:$R$1004,48),Calc!$R$5:$R$1004,0),"")</f>
        <v>0</v>
      </c>
    </row>
    <row r="69" spans="1:15" x14ac:dyDescent="0.25">
      <c r="A69" s="35">
        <f>IF($O69="","",IF(INDEX('Activity Planner'!$B$5:$B$1004,$O69)="","",INDEX('Activity Planner'!$B$5:$B$1004,$O69)))</f>
        <v>0</v>
      </c>
      <c r="B69" s="36">
        <f>IF($O69="","",IF(INDEX('Activity Planner'!$F$5:$F$1004,$O69)="","",INDEX('Activity Planner'!$F$5:$F$1004,$O69)))</f>
        <v>0</v>
      </c>
      <c r="C69" s="36">
        <f>IF($O69="","",IF(INDEX('Activity Planner'!$G$5:$G$1004,$O69)="","",INDEX('Activity Planner'!$G$5:$G$1004,$O69)))</f>
        <v>0</v>
      </c>
      <c r="D69" s="35">
        <f>IF($O69="","",IF(INDEX('Activity Planner'!$D$5:$D$1004,$O69)="","",INDEX('Activity Planner'!$D$5:$D$1004,$O69)))</f>
        <v>0</v>
      </c>
      <c r="E69" s="35">
        <f>IF($O69="","",IF(INDEX('Activity Planner'!$E$5:$E$1004,$O69)="","",INDEX('Activity Planner'!$E$5:$E$1004,$O69)))</f>
        <v>0</v>
      </c>
      <c r="F69" s="35">
        <f>IF($O69="","",IF(INDEX('Activity Planner'!$H$5:$H$1004,$O69)="","",INDEX('Activity Planner'!$H$5:$H$1004,$O69)))</f>
        <v>0</v>
      </c>
      <c r="G69" s="35">
        <f>IF($O69="","",IF(INDEX('Activity Planner'!$I$5:$I$1004,$O69)="","",INDEX('Activity Planner'!$I$5:$I$1004,$O69)))</f>
        <v>0</v>
      </c>
      <c r="H69" s="35">
        <f>IF($O69="","",IF(INDEX('Activity Planner'!$J$5:$J$1004,$O69)="","",INDEX('Activity Planner'!$J$5:$J$1004,$O69)))</f>
        <v>0</v>
      </c>
      <c r="O69">
        <f>IFERROR(MATCH(SMALL(Calc!$R$5:$R$1004,49),Calc!$R$5:$R$1004,0),"")</f>
        <v>0</v>
      </c>
    </row>
    <row r="70" spans="1:15" x14ac:dyDescent="0.25">
      <c r="A70" s="35">
        <f>IF($O70="","",IF(INDEX('Activity Planner'!$B$5:$B$1004,$O70)="","",INDEX('Activity Planner'!$B$5:$B$1004,$O70)))</f>
        <v>0</v>
      </c>
      <c r="B70" s="36">
        <f>IF($O70="","",IF(INDEX('Activity Planner'!$F$5:$F$1004,$O70)="","",INDEX('Activity Planner'!$F$5:$F$1004,$O70)))</f>
        <v>0</v>
      </c>
      <c r="C70" s="36">
        <f>IF($O70="","",IF(INDEX('Activity Planner'!$G$5:$G$1004,$O70)="","",INDEX('Activity Planner'!$G$5:$G$1004,$O70)))</f>
        <v>0</v>
      </c>
      <c r="D70" s="35">
        <f>IF($O70="","",IF(INDEX('Activity Planner'!$D$5:$D$1004,$O70)="","",INDEX('Activity Planner'!$D$5:$D$1004,$O70)))</f>
        <v>0</v>
      </c>
      <c r="E70" s="35">
        <f>IF($O70="","",IF(INDEX('Activity Planner'!$E$5:$E$1004,$O70)="","",INDEX('Activity Planner'!$E$5:$E$1004,$O70)))</f>
        <v>0</v>
      </c>
      <c r="F70" s="35">
        <f>IF($O70="","",IF(INDEX('Activity Planner'!$H$5:$H$1004,$O70)="","",INDEX('Activity Planner'!$H$5:$H$1004,$O70)))</f>
        <v>0</v>
      </c>
      <c r="G70" s="35">
        <f>IF($O70="","",IF(INDEX('Activity Planner'!$I$5:$I$1004,$O70)="","",INDEX('Activity Planner'!$I$5:$I$1004,$O70)))</f>
        <v>0</v>
      </c>
      <c r="H70" s="35">
        <f>IF($O70="","",IF(INDEX('Activity Planner'!$J$5:$J$1004,$O70)="","",INDEX('Activity Planner'!$J$5:$J$1004,$O70)))</f>
        <v>0</v>
      </c>
      <c r="O70">
        <f>IFERROR(MATCH(SMALL(Calc!$R$5:$R$1004,50),Calc!$R$5:$R$1004,0),"")</f>
        <v>0</v>
      </c>
    </row>
    <row r="71" spans="1:15" x14ac:dyDescent="0.25">
      <c r="A71" s="35">
        <f>IF($O71="","",IF(INDEX('Activity Planner'!$B$5:$B$1004,$O71)="","",INDEX('Activity Planner'!$B$5:$B$1004,$O71)))</f>
        <v>0</v>
      </c>
      <c r="B71" s="36">
        <f>IF($O71="","",IF(INDEX('Activity Planner'!$F$5:$F$1004,$O71)="","",INDEX('Activity Planner'!$F$5:$F$1004,$O71)))</f>
        <v>0</v>
      </c>
      <c r="C71" s="36">
        <f>IF($O71="","",IF(INDEX('Activity Planner'!$G$5:$G$1004,$O71)="","",INDEX('Activity Planner'!$G$5:$G$1004,$O71)))</f>
        <v>0</v>
      </c>
      <c r="D71" s="35">
        <f>IF($O71="","",IF(INDEX('Activity Planner'!$D$5:$D$1004,$O71)="","",INDEX('Activity Planner'!$D$5:$D$1004,$O71)))</f>
        <v>0</v>
      </c>
      <c r="E71" s="35">
        <f>IF($O71="","",IF(INDEX('Activity Planner'!$E$5:$E$1004,$O71)="","",INDEX('Activity Planner'!$E$5:$E$1004,$O71)))</f>
        <v>0</v>
      </c>
      <c r="F71" s="35">
        <f>IF($O71="","",IF(INDEX('Activity Planner'!$H$5:$H$1004,$O71)="","",INDEX('Activity Planner'!$H$5:$H$1004,$O71)))</f>
        <v>0</v>
      </c>
      <c r="G71" s="35">
        <f>IF($O71="","",IF(INDEX('Activity Planner'!$I$5:$I$1004,$O71)="","",INDEX('Activity Planner'!$I$5:$I$1004,$O71)))</f>
        <v>0</v>
      </c>
      <c r="H71" s="35">
        <f>IF($O71="","",IF(INDEX('Activity Planner'!$J$5:$J$1004,$O71)="","",INDEX('Activity Planner'!$J$5:$J$1004,$O71)))</f>
        <v>0</v>
      </c>
      <c r="O71">
        <f>IFERROR(MATCH(SMALL(Calc!$R$5:$R$1004,51),Calc!$R$5:$R$1004,0),"")</f>
        <v>0</v>
      </c>
    </row>
    <row r="72" spans="1:15" x14ac:dyDescent="0.25">
      <c r="A72" s="35">
        <f>IF($O72="","",IF(INDEX('Activity Planner'!$B$5:$B$1004,$O72)="","",INDEX('Activity Planner'!$B$5:$B$1004,$O72)))</f>
        <v>0</v>
      </c>
      <c r="B72" s="36">
        <f>IF($O72="","",IF(INDEX('Activity Planner'!$F$5:$F$1004,$O72)="","",INDEX('Activity Planner'!$F$5:$F$1004,$O72)))</f>
        <v>0</v>
      </c>
      <c r="C72" s="36">
        <f>IF($O72="","",IF(INDEX('Activity Planner'!$G$5:$G$1004,$O72)="","",INDEX('Activity Planner'!$G$5:$G$1004,$O72)))</f>
        <v>0</v>
      </c>
      <c r="D72" s="35">
        <f>IF($O72="","",IF(INDEX('Activity Planner'!$D$5:$D$1004,$O72)="","",INDEX('Activity Planner'!$D$5:$D$1004,$O72)))</f>
        <v>0</v>
      </c>
      <c r="E72" s="35">
        <f>IF($O72="","",IF(INDEX('Activity Planner'!$E$5:$E$1004,$O72)="","",INDEX('Activity Planner'!$E$5:$E$1004,$O72)))</f>
        <v>0</v>
      </c>
      <c r="F72" s="35">
        <f>IF($O72="","",IF(INDEX('Activity Planner'!$H$5:$H$1004,$O72)="","",INDEX('Activity Planner'!$H$5:$H$1004,$O72)))</f>
        <v>0</v>
      </c>
      <c r="G72" s="35">
        <f>IF($O72="","",IF(INDEX('Activity Planner'!$I$5:$I$1004,$O72)="","",INDEX('Activity Planner'!$I$5:$I$1004,$O72)))</f>
        <v>0</v>
      </c>
      <c r="H72" s="35">
        <f>IF($O72="","",IF(INDEX('Activity Planner'!$J$5:$J$1004,$O72)="","",INDEX('Activity Planner'!$J$5:$J$1004,$O72)))</f>
        <v>0</v>
      </c>
      <c r="O72">
        <f>IFERROR(MATCH(SMALL(Calc!$R$5:$R$1004,52),Calc!$R$5:$R$1004,0),"")</f>
        <v>0</v>
      </c>
    </row>
    <row r="73" spans="1:15" x14ac:dyDescent="0.25">
      <c r="A73" s="35">
        <f>IF($O73="","",IF(INDEX('Activity Planner'!$B$5:$B$1004,$O73)="","",INDEX('Activity Planner'!$B$5:$B$1004,$O73)))</f>
        <v>0</v>
      </c>
      <c r="B73" s="36">
        <f>IF($O73="","",IF(INDEX('Activity Planner'!$F$5:$F$1004,$O73)="","",INDEX('Activity Planner'!$F$5:$F$1004,$O73)))</f>
        <v>0</v>
      </c>
      <c r="C73" s="36">
        <f>IF($O73="","",IF(INDEX('Activity Planner'!$G$5:$G$1004,$O73)="","",INDEX('Activity Planner'!$G$5:$G$1004,$O73)))</f>
        <v>0</v>
      </c>
      <c r="D73" s="35">
        <f>IF($O73="","",IF(INDEX('Activity Planner'!$D$5:$D$1004,$O73)="","",INDEX('Activity Planner'!$D$5:$D$1004,$O73)))</f>
        <v>0</v>
      </c>
      <c r="E73" s="35">
        <f>IF($O73="","",IF(INDEX('Activity Planner'!$E$5:$E$1004,$O73)="","",INDEX('Activity Planner'!$E$5:$E$1004,$O73)))</f>
        <v>0</v>
      </c>
      <c r="F73" s="35">
        <f>IF($O73="","",IF(INDEX('Activity Planner'!$H$5:$H$1004,$O73)="","",INDEX('Activity Planner'!$H$5:$H$1004,$O73)))</f>
        <v>0</v>
      </c>
      <c r="G73" s="35">
        <f>IF($O73="","",IF(INDEX('Activity Planner'!$I$5:$I$1004,$O73)="","",INDEX('Activity Planner'!$I$5:$I$1004,$O73)))</f>
        <v>0</v>
      </c>
      <c r="H73" s="35">
        <f>IF($O73="","",IF(INDEX('Activity Planner'!$J$5:$J$1004,$O73)="","",INDEX('Activity Planner'!$J$5:$J$1004,$O73)))</f>
        <v>0</v>
      </c>
      <c r="O73">
        <f>IFERROR(MATCH(SMALL(Calc!$R$5:$R$1004,53),Calc!$R$5:$R$1004,0),"")</f>
        <v>0</v>
      </c>
    </row>
    <row r="74" spans="1:15" x14ac:dyDescent="0.25">
      <c r="A74" s="35">
        <f>IF($O74="","",IF(INDEX('Activity Planner'!$B$5:$B$1004,$O74)="","",INDEX('Activity Planner'!$B$5:$B$1004,$O74)))</f>
        <v>0</v>
      </c>
      <c r="B74" s="36">
        <f>IF($O74="","",IF(INDEX('Activity Planner'!$F$5:$F$1004,$O74)="","",INDEX('Activity Planner'!$F$5:$F$1004,$O74)))</f>
        <v>0</v>
      </c>
      <c r="C74" s="36">
        <f>IF($O74="","",IF(INDEX('Activity Planner'!$G$5:$G$1004,$O74)="","",INDEX('Activity Planner'!$G$5:$G$1004,$O74)))</f>
        <v>0</v>
      </c>
      <c r="D74" s="35">
        <f>IF($O74="","",IF(INDEX('Activity Planner'!$D$5:$D$1004,$O74)="","",INDEX('Activity Planner'!$D$5:$D$1004,$O74)))</f>
        <v>0</v>
      </c>
      <c r="E74" s="35">
        <f>IF($O74="","",IF(INDEX('Activity Planner'!$E$5:$E$1004,$O74)="","",INDEX('Activity Planner'!$E$5:$E$1004,$O74)))</f>
        <v>0</v>
      </c>
      <c r="F74" s="35">
        <f>IF($O74="","",IF(INDEX('Activity Planner'!$H$5:$H$1004,$O74)="","",INDEX('Activity Planner'!$H$5:$H$1004,$O74)))</f>
        <v>0</v>
      </c>
      <c r="G74" s="35">
        <f>IF($O74="","",IF(INDEX('Activity Planner'!$I$5:$I$1004,$O74)="","",INDEX('Activity Planner'!$I$5:$I$1004,$O74)))</f>
        <v>0</v>
      </c>
      <c r="H74" s="35">
        <f>IF($O74="","",IF(INDEX('Activity Planner'!$J$5:$J$1004,$O74)="","",INDEX('Activity Planner'!$J$5:$J$1004,$O74)))</f>
        <v>0</v>
      </c>
      <c r="O74">
        <f>IFERROR(MATCH(SMALL(Calc!$R$5:$R$1004,54),Calc!$R$5:$R$1004,0),"")</f>
        <v>0</v>
      </c>
    </row>
    <row r="75" spans="1:15" x14ac:dyDescent="0.25">
      <c r="A75" s="35">
        <f>IF($O75="","",IF(INDEX('Activity Planner'!$B$5:$B$1004,$O75)="","",INDEX('Activity Planner'!$B$5:$B$1004,$O75)))</f>
        <v>0</v>
      </c>
      <c r="B75" s="36">
        <f>IF($O75="","",IF(INDEX('Activity Planner'!$F$5:$F$1004,$O75)="","",INDEX('Activity Planner'!$F$5:$F$1004,$O75)))</f>
        <v>0</v>
      </c>
      <c r="C75" s="36">
        <f>IF($O75="","",IF(INDEX('Activity Planner'!$G$5:$G$1004,$O75)="","",INDEX('Activity Planner'!$G$5:$G$1004,$O75)))</f>
        <v>0</v>
      </c>
      <c r="D75" s="35">
        <f>IF($O75="","",IF(INDEX('Activity Planner'!$D$5:$D$1004,$O75)="","",INDEX('Activity Planner'!$D$5:$D$1004,$O75)))</f>
        <v>0</v>
      </c>
      <c r="E75" s="35">
        <f>IF($O75="","",IF(INDEX('Activity Planner'!$E$5:$E$1004,$O75)="","",INDEX('Activity Planner'!$E$5:$E$1004,$O75)))</f>
        <v>0</v>
      </c>
      <c r="F75" s="35">
        <f>IF($O75="","",IF(INDEX('Activity Planner'!$H$5:$H$1004,$O75)="","",INDEX('Activity Planner'!$H$5:$H$1004,$O75)))</f>
        <v>0</v>
      </c>
      <c r="G75" s="35">
        <f>IF($O75="","",IF(INDEX('Activity Planner'!$I$5:$I$1004,$O75)="","",INDEX('Activity Planner'!$I$5:$I$1004,$O75)))</f>
        <v>0</v>
      </c>
      <c r="H75" s="35">
        <f>IF($O75="","",IF(INDEX('Activity Planner'!$J$5:$J$1004,$O75)="","",INDEX('Activity Planner'!$J$5:$J$1004,$O75)))</f>
        <v>0</v>
      </c>
      <c r="O75">
        <f>IFERROR(MATCH(SMALL(Calc!$R$5:$R$1004,55),Calc!$R$5:$R$1004,0),"")</f>
        <v>0</v>
      </c>
    </row>
    <row r="76" spans="1:15" x14ac:dyDescent="0.25">
      <c r="A76" s="35">
        <f>IF($O76="","",IF(INDEX('Activity Planner'!$B$5:$B$1004,$O76)="","",INDEX('Activity Planner'!$B$5:$B$1004,$O76)))</f>
        <v>0</v>
      </c>
      <c r="B76" s="36">
        <f>IF($O76="","",IF(INDEX('Activity Planner'!$F$5:$F$1004,$O76)="","",INDEX('Activity Planner'!$F$5:$F$1004,$O76)))</f>
        <v>0</v>
      </c>
      <c r="C76" s="36">
        <f>IF($O76="","",IF(INDEX('Activity Planner'!$G$5:$G$1004,$O76)="","",INDEX('Activity Planner'!$G$5:$G$1004,$O76)))</f>
        <v>0</v>
      </c>
      <c r="D76" s="35">
        <f>IF($O76="","",IF(INDEX('Activity Planner'!$D$5:$D$1004,$O76)="","",INDEX('Activity Planner'!$D$5:$D$1004,$O76)))</f>
        <v>0</v>
      </c>
      <c r="E76" s="35">
        <f>IF($O76="","",IF(INDEX('Activity Planner'!$E$5:$E$1004,$O76)="","",INDEX('Activity Planner'!$E$5:$E$1004,$O76)))</f>
        <v>0</v>
      </c>
      <c r="F76" s="35">
        <f>IF($O76="","",IF(INDEX('Activity Planner'!$H$5:$H$1004,$O76)="","",INDEX('Activity Planner'!$H$5:$H$1004,$O76)))</f>
        <v>0</v>
      </c>
      <c r="G76" s="35">
        <f>IF($O76="","",IF(INDEX('Activity Planner'!$I$5:$I$1004,$O76)="","",INDEX('Activity Planner'!$I$5:$I$1004,$O76)))</f>
        <v>0</v>
      </c>
      <c r="H76" s="35">
        <f>IF($O76="","",IF(INDEX('Activity Planner'!$J$5:$J$1004,$O76)="","",INDEX('Activity Planner'!$J$5:$J$1004,$O76)))</f>
        <v>0</v>
      </c>
      <c r="O76">
        <f>IFERROR(MATCH(SMALL(Calc!$R$5:$R$1004,56),Calc!$R$5:$R$1004,0),"")</f>
        <v>0</v>
      </c>
    </row>
    <row r="77" spans="1:15" x14ac:dyDescent="0.25">
      <c r="A77" s="35">
        <f>IF($O77="","",IF(INDEX('Activity Planner'!$B$5:$B$1004,$O77)="","",INDEX('Activity Planner'!$B$5:$B$1004,$O77)))</f>
        <v>0</v>
      </c>
      <c r="B77" s="36">
        <f>IF($O77="","",IF(INDEX('Activity Planner'!$F$5:$F$1004,$O77)="","",INDEX('Activity Planner'!$F$5:$F$1004,$O77)))</f>
        <v>0</v>
      </c>
      <c r="C77" s="36">
        <f>IF($O77="","",IF(INDEX('Activity Planner'!$G$5:$G$1004,$O77)="","",INDEX('Activity Planner'!$G$5:$G$1004,$O77)))</f>
        <v>0</v>
      </c>
      <c r="D77" s="35">
        <f>IF($O77="","",IF(INDEX('Activity Planner'!$D$5:$D$1004,$O77)="","",INDEX('Activity Planner'!$D$5:$D$1004,$O77)))</f>
        <v>0</v>
      </c>
      <c r="E77" s="35">
        <f>IF($O77="","",IF(INDEX('Activity Planner'!$E$5:$E$1004,$O77)="","",INDEX('Activity Planner'!$E$5:$E$1004,$O77)))</f>
        <v>0</v>
      </c>
      <c r="F77" s="35">
        <f>IF($O77="","",IF(INDEX('Activity Planner'!$H$5:$H$1004,$O77)="","",INDEX('Activity Planner'!$H$5:$H$1004,$O77)))</f>
        <v>0</v>
      </c>
      <c r="G77" s="35">
        <f>IF($O77="","",IF(INDEX('Activity Planner'!$I$5:$I$1004,$O77)="","",INDEX('Activity Planner'!$I$5:$I$1004,$O77)))</f>
        <v>0</v>
      </c>
      <c r="H77" s="35">
        <f>IF($O77="","",IF(INDEX('Activity Planner'!$J$5:$J$1004,$O77)="","",INDEX('Activity Planner'!$J$5:$J$1004,$O77)))</f>
        <v>0</v>
      </c>
      <c r="O77">
        <f>IFERROR(MATCH(SMALL(Calc!$R$5:$R$1004,57),Calc!$R$5:$R$1004,0),"")</f>
        <v>0</v>
      </c>
    </row>
    <row r="78" spans="1:15" x14ac:dyDescent="0.25">
      <c r="A78" s="35">
        <f>IF($O78="","",IF(INDEX('Activity Planner'!$B$5:$B$1004,$O78)="","",INDEX('Activity Planner'!$B$5:$B$1004,$O78)))</f>
        <v>0</v>
      </c>
      <c r="B78" s="36">
        <f>IF($O78="","",IF(INDEX('Activity Planner'!$F$5:$F$1004,$O78)="","",INDEX('Activity Planner'!$F$5:$F$1004,$O78)))</f>
        <v>0</v>
      </c>
      <c r="C78" s="36">
        <f>IF($O78="","",IF(INDEX('Activity Planner'!$G$5:$G$1004,$O78)="","",INDEX('Activity Planner'!$G$5:$G$1004,$O78)))</f>
        <v>0</v>
      </c>
      <c r="D78" s="35">
        <f>IF($O78="","",IF(INDEX('Activity Planner'!$D$5:$D$1004,$O78)="","",INDEX('Activity Planner'!$D$5:$D$1004,$O78)))</f>
        <v>0</v>
      </c>
      <c r="E78" s="35">
        <f>IF($O78="","",IF(INDEX('Activity Planner'!$E$5:$E$1004,$O78)="","",INDEX('Activity Planner'!$E$5:$E$1004,$O78)))</f>
        <v>0</v>
      </c>
      <c r="F78" s="35">
        <f>IF($O78="","",IF(INDEX('Activity Planner'!$H$5:$H$1004,$O78)="","",INDEX('Activity Planner'!$H$5:$H$1004,$O78)))</f>
        <v>0</v>
      </c>
      <c r="G78" s="35">
        <f>IF($O78="","",IF(INDEX('Activity Planner'!$I$5:$I$1004,$O78)="","",INDEX('Activity Planner'!$I$5:$I$1004,$O78)))</f>
        <v>0</v>
      </c>
      <c r="H78" s="35">
        <f>IF($O78="","",IF(INDEX('Activity Planner'!$J$5:$J$1004,$O78)="","",INDEX('Activity Planner'!$J$5:$J$1004,$O78)))</f>
        <v>0</v>
      </c>
      <c r="O78">
        <f>IFERROR(MATCH(SMALL(Calc!$R$5:$R$1004,58),Calc!$R$5:$R$1004,0),"")</f>
        <v>0</v>
      </c>
    </row>
    <row r="79" spans="1:15" x14ac:dyDescent="0.25">
      <c r="A79" s="35">
        <f>IF($O79="","",IF(INDEX('Activity Planner'!$B$5:$B$1004,$O79)="","",INDEX('Activity Planner'!$B$5:$B$1004,$O79)))</f>
        <v>0</v>
      </c>
      <c r="B79" s="36">
        <f>IF($O79="","",IF(INDEX('Activity Planner'!$F$5:$F$1004,$O79)="","",INDEX('Activity Planner'!$F$5:$F$1004,$O79)))</f>
        <v>0</v>
      </c>
      <c r="C79" s="36">
        <f>IF($O79="","",IF(INDEX('Activity Planner'!$G$5:$G$1004,$O79)="","",INDEX('Activity Planner'!$G$5:$G$1004,$O79)))</f>
        <v>0</v>
      </c>
      <c r="D79" s="35">
        <f>IF($O79="","",IF(INDEX('Activity Planner'!$D$5:$D$1004,$O79)="","",INDEX('Activity Planner'!$D$5:$D$1004,$O79)))</f>
        <v>0</v>
      </c>
      <c r="E79" s="35">
        <f>IF($O79="","",IF(INDEX('Activity Planner'!$E$5:$E$1004,$O79)="","",INDEX('Activity Planner'!$E$5:$E$1004,$O79)))</f>
        <v>0</v>
      </c>
      <c r="F79" s="35">
        <f>IF($O79="","",IF(INDEX('Activity Planner'!$H$5:$H$1004,$O79)="","",INDEX('Activity Planner'!$H$5:$H$1004,$O79)))</f>
        <v>0</v>
      </c>
      <c r="G79" s="35">
        <f>IF($O79="","",IF(INDEX('Activity Planner'!$I$5:$I$1004,$O79)="","",INDEX('Activity Planner'!$I$5:$I$1004,$O79)))</f>
        <v>0</v>
      </c>
      <c r="H79" s="35">
        <f>IF($O79="","",IF(INDEX('Activity Planner'!$J$5:$J$1004,$O79)="","",INDEX('Activity Planner'!$J$5:$J$1004,$O79)))</f>
        <v>0</v>
      </c>
      <c r="O79">
        <f>IFERROR(MATCH(SMALL(Calc!$R$5:$R$1004,59),Calc!$R$5:$R$1004,0),"")</f>
        <v>0</v>
      </c>
    </row>
    <row r="80" spans="1:15" x14ac:dyDescent="0.25">
      <c r="A80" s="35">
        <f>IF($O80="","",IF(INDEX('Activity Planner'!$B$5:$B$1004,$O80)="","",INDEX('Activity Planner'!$B$5:$B$1004,$O80)))</f>
        <v>0</v>
      </c>
      <c r="B80" s="36">
        <f>IF($O80="","",IF(INDEX('Activity Planner'!$F$5:$F$1004,$O80)="","",INDEX('Activity Planner'!$F$5:$F$1004,$O80)))</f>
        <v>0</v>
      </c>
      <c r="C80" s="36">
        <f>IF($O80="","",IF(INDEX('Activity Planner'!$G$5:$G$1004,$O80)="","",INDEX('Activity Planner'!$G$5:$G$1004,$O80)))</f>
        <v>0</v>
      </c>
      <c r="D80" s="35">
        <f>IF($O80="","",IF(INDEX('Activity Planner'!$D$5:$D$1004,$O80)="","",INDEX('Activity Planner'!$D$5:$D$1004,$O80)))</f>
        <v>0</v>
      </c>
      <c r="E80" s="35">
        <f>IF($O80="","",IF(INDEX('Activity Planner'!$E$5:$E$1004,$O80)="","",INDEX('Activity Planner'!$E$5:$E$1004,$O80)))</f>
        <v>0</v>
      </c>
      <c r="F80" s="35">
        <f>IF($O80="","",IF(INDEX('Activity Planner'!$H$5:$H$1004,$O80)="","",INDEX('Activity Planner'!$H$5:$H$1004,$O80)))</f>
        <v>0</v>
      </c>
      <c r="G80" s="35">
        <f>IF($O80="","",IF(INDEX('Activity Planner'!$I$5:$I$1004,$O80)="","",INDEX('Activity Planner'!$I$5:$I$1004,$O80)))</f>
        <v>0</v>
      </c>
      <c r="H80" s="35">
        <f>IF($O80="","",IF(INDEX('Activity Planner'!$J$5:$J$1004,$O80)="","",INDEX('Activity Planner'!$J$5:$J$1004,$O80)))</f>
        <v>0</v>
      </c>
      <c r="O80">
        <f>IFERROR(MATCH(SMALL(Calc!$R$5:$R$1004,60),Calc!$R$5:$R$1004,0),"")</f>
        <v>0</v>
      </c>
    </row>
    <row r="82" spans="1:1" x14ac:dyDescent="0.25">
      <c r="A82" s="11">
        <f>IF(COUNT(Calc!$R$5:$R$1004)&gt;60,"Showing the first 60 of "&amp;COUNT(Calc!$R$5:$R$1004)&amp;" activities.","")</f>
        <v>0</v>
      </c>
    </row>
  </sheetData>
  <sheetProtection sheet="1" objects="1" scenarios="1" formatColumns="0" formatRows="0"/>
  <mergeCells count="2">
    <mergeCell ref="A10:M10"/>
    <mergeCell ref="A19:M19"/>
  </mergeCells>
  <conditionalFormatting sqref="B12:M12">
    <cfRule type="expression" dxfId="15" priority="1">
      <formula>LEN(B12)&gt;0</formula>
    </cfRule>
  </conditionalFormatting>
  <conditionalFormatting sqref="B13:M13">
    <cfRule type="expression" dxfId="14" priority="2">
      <formula>LEN(B13)&gt;0</formula>
    </cfRule>
  </conditionalFormatting>
  <conditionalFormatting sqref="B14:M14">
    <cfRule type="expression" dxfId="13" priority="3">
      <formula>LEN(B14)&gt;0</formula>
    </cfRule>
  </conditionalFormatting>
  <conditionalFormatting sqref="B17:M17">
    <cfRule type="dataBar" priority="4">
      <dataBar>
        <cfvo type="min"/>
        <cfvo type="max"/>
        <color rgb="FF0A7FC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D21:D80">
    <cfRule type="expression" dxfId="3" priority="5">
      <formula>$D21=Lists!$E$5</formula>
    </cfRule>
    <cfRule type="expression" dxfId="4" priority="6">
      <formula>$D21=Lists!$E$6</formula>
    </cfRule>
    <cfRule type="expression" dxfId="5" priority="7">
      <formula>$D21=Lists!$E$7</formula>
    </cfRule>
  </conditionalFormatting>
  <dataValidations count="1">
    <dataValidation type="list" allowBlank="1" showInputMessage="1" showErrorMessage="1" sqref="B5">
      <formula1>PracticeList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0A7FC2"/>
              <x14:negativeFillColor rgb="FFFF0000"/>
              <x14:negativeBorderColor rgb="FFFF0000"/>
              <x14:axisColor rgb="FF000000"/>
            </x14:dataBar>
          </x14:cfRule>
          <xm:sqref>B17:M17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4.7109375" customWidth="1"/>
    <col min="3" max="3" width="20.7109375" customWidth="1"/>
    <col min="4" max="4" width="26.7109375" customWidth="1"/>
    <col min="5" max="5" width="18.7109375" customWidth="1"/>
    <col min="6" max="7" width="12.7109375" customWidth="1"/>
    <col min="8" max="8" width="13.7109375" customWidth="1"/>
    <col min="9" max="9" width="16.7109375" customWidth="1"/>
    <col min="10" max="10" width="22.7109375" customWidth="1"/>
    <col min="11" max="11" width="34.7109375" customWidth="1"/>
    <col min="12" max="12" width="13.7109375" customWidth="1"/>
    <col min="13" max="13" width="24.7109375" customWidth="1"/>
    <col min="14" max="27" width="10.7109375" hidden="1" customWidth="1"/>
  </cols>
  <sheetData>
    <row r="1" spans="1:27" ht="32" customHeight="1">
      <c r="A1" s="2" t="s">
        <v>54</v>
      </c>
    </row>
    <row r="2" spans="1:27">
      <c r="A2" s="3" t="s">
        <v>55</v>
      </c>
    </row>
    <row r="3" spans="1:27">
      <c r="A3" s="11">
        <f>"Rows used: "&amp;COUNTIF($B$5:$B$1004,"?*")&amp;" of 1000   |   Planning year: "&amp;PlanYear&amp;"   |   Showing: "&amp;StatusFilter</f>
        <v>0</v>
      </c>
    </row>
    <row r="4" spans="1:27" ht="22" customHeight="1">
      <c r="A4" s="13" t="s">
        <v>56</v>
      </c>
      <c r="B4" s="13" t="s">
        <v>57</v>
      </c>
      <c r="C4" s="13" t="s">
        <v>58</v>
      </c>
      <c r="D4" s="13" t="s">
        <v>59</v>
      </c>
      <c r="E4" s="13" t="s">
        <v>60</v>
      </c>
      <c r="F4" s="13" t="s">
        <v>61</v>
      </c>
      <c r="G4" s="13" t="s">
        <v>62</v>
      </c>
      <c r="H4" s="13" t="s">
        <v>63</v>
      </c>
      <c r="I4" s="13" t="s">
        <v>64</v>
      </c>
      <c r="J4" s="13" t="s">
        <v>65</v>
      </c>
      <c r="K4" s="13" t="s">
        <v>66</v>
      </c>
      <c r="L4" s="13" t="s">
        <v>67</v>
      </c>
      <c r="M4" s="13" t="s">
        <v>68</v>
      </c>
      <c r="N4" s="13" t="s">
        <v>69</v>
      </c>
      <c r="O4" s="13" t="s">
        <v>70</v>
      </c>
      <c r="P4" s="13" t="s">
        <v>71</v>
      </c>
      <c r="Q4" s="13" t="s">
        <v>72</v>
      </c>
      <c r="R4" s="13" t="s">
        <v>73</v>
      </c>
      <c r="S4" s="13" t="s">
        <v>74</v>
      </c>
      <c r="T4" s="13" t="s">
        <v>75</v>
      </c>
      <c r="U4" s="13" t="s">
        <v>76</v>
      </c>
      <c r="V4" s="13" t="s">
        <v>77</v>
      </c>
      <c r="W4" s="13" t="s">
        <v>78</v>
      </c>
      <c r="X4" s="13" t="s">
        <v>79</v>
      </c>
      <c r="Y4" s="13" t="s">
        <v>80</v>
      </c>
      <c r="Z4" s="13" t="s">
        <v>81</v>
      </c>
      <c r="AA4" s="13" t="s">
        <v>82</v>
      </c>
    </row>
    <row r="5" spans="1:27">
      <c r="A5" s="42">
        <f>IF($B5="","","ACT-"&amp;TEXT(ROW()-4,"000"))</f>
        <v>0</v>
      </c>
      <c r="B5" t="s">
        <v>83</v>
      </c>
      <c r="C5" t="s">
        <v>3</v>
      </c>
      <c r="D5" t="s">
        <v>25</v>
      </c>
      <c r="F5" s="36">
        <v>46392</v>
      </c>
      <c r="G5" s="36">
        <v>46415</v>
      </c>
      <c r="H5" t="s">
        <v>19</v>
      </c>
      <c r="K5" t="s">
        <v>84</v>
      </c>
      <c r="M5" s="43">
        <f>IF(COUNTA($B5:$K5)=0,"",IF($B5="","Missing activity name",IF($C5="","Missing practice",IF(COUNTIF(PracticeNames,$C5)=0,"Practice not in Lists",IF($D5="","Missing motion",IF(NOT(ISNUMBER($F5)),"Missing or invalid start date",IF(AND(ISNUMBER($G5),$G5&lt;$F5),"End date before start",IF(AND($N5=1,$AA5=0),"Outside planning year","OK"))))))))</f>
        <v>0</v>
      </c>
      <c r="N5">
        <f>IF(AND($B5&lt;&gt;"",$C5&lt;&gt;"",$D5&lt;&gt;"",ISNUMBER($F5),COUNTIF(PracticeNames,$C5)&gt;0,COUNTIF(MotionNames,$D5)&gt;0,NOT(AND(ISNUMBER($G5),$G5&lt;$F5))),IF(StatusFilter="All (excl. Cancelled)",IF($H5="Cancelled",0,1),IF(StatusFilter="All",1,IF($H5=StatusFilter,1,0))),0)</f>
        <v>0</v>
      </c>
      <c r="O5">
        <f>IF($N5=0,0,IF(AND($F5&lt;=EOMONTH(DATE(PlanYear,1,1),0),IF(ISNUMBER($G5),$G5,$F5)&gt;=DATE(PlanYear,1,1)),1,0))</f>
        <v>0</v>
      </c>
      <c r="P5">
        <f>IF($N5=0,0,IF(AND($F5&lt;=EOMONTH(DATE(PlanYear,2,1),0),IF(ISNUMBER($G5),$G5,$F5)&gt;=DATE(PlanYear,2,1)),1,0))</f>
        <v>0</v>
      </c>
      <c r="Q5">
        <f>IF($N5=0,0,IF(AND($F5&lt;=EOMONTH(DATE(PlanYear,3,1),0),IF(ISNUMBER($G5),$G5,$F5)&gt;=DATE(PlanYear,3,1)),1,0))</f>
        <v>0</v>
      </c>
      <c r="R5">
        <f>IF($N5=0,0,IF(AND($F5&lt;=EOMONTH(DATE(PlanYear,4,1),0),IF(ISNUMBER($G5),$G5,$F5)&gt;=DATE(PlanYear,4,1)),1,0))</f>
        <v>0</v>
      </c>
      <c r="S5">
        <f>IF($N5=0,0,IF(AND($F5&lt;=EOMONTH(DATE(PlanYear,5,1),0),IF(ISNUMBER($G5),$G5,$F5)&gt;=DATE(PlanYear,5,1)),1,0))</f>
        <v>0</v>
      </c>
      <c r="T5">
        <f>IF($N5=0,0,IF(AND($F5&lt;=EOMONTH(DATE(PlanYear,6,1),0),IF(ISNUMBER($G5),$G5,$F5)&gt;=DATE(PlanYear,6,1)),1,0))</f>
        <v>0</v>
      </c>
      <c r="U5">
        <f>IF($N5=0,0,IF(AND($F5&lt;=EOMONTH(DATE(PlanYear,7,1),0),IF(ISNUMBER($G5),$G5,$F5)&gt;=DATE(PlanYear,7,1)),1,0))</f>
        <v>0</v>
      </c>
      <c r="V5">
        <f>IF($N5=0,0,IF(AND($F5&lt;=EOMONTH(DATE(PlanYear,8,1),0),IF(ISNUMBER($G5),$G5,$F5)&gt;=DATE(PlanYear,8,1)),1,0))</f>
        <v>0</v>
      </c>
      <c r="W5">
        <f>IF($N5=0,0,IF(AND($F5&lt;=EOMONTH(DATE(PlanYear,9,1),0),IF(ISNUMBER($G5),$G5,$F5)&gt;=DATE(PlanYear,9,1)),1,0))</f>
        <v>0</v>
      </c>
      <c r="X5">
        <f>IF($N5=0,0,IF(AND($F5&lt;=EOMONTH(DATE(PlanYear,10,1),0),IF(ISNUMBER($G5),$G5,$F5)&gt;=DATE(PlanYear,10,1)),1,0))</f>
        <v>0</v>
      </c>
      <c r="Y5">
        <f>IF($N5=0,0,IF(AND($F5&lt;=EOMONTH(DATE(PlanYear,11,1),0),IF(ISNUMBER($G5),$G5,$F5)&gt;=DATE(PlanYear,11,1)),1,0))</f>
        <v>0</v>
      </c>
      <c r="Z5">
        <f>IF($N5=0,0,IF(AND($F5&lt;=EOMONTH(DATE(PlanYear,12,1),0),IF(ISNUMBER($G5),$G5,$F5)&gt;=DATE(PlanYear,12,1)),1,0))</f>
        <v>0</v>
      </c>
      <c r="AA5">
        <f>SUM($O5:$Z5)</f>
        <v>0</v>
      </c>
    </row>
    <row r="6" spans="1:27">
      <c r="A6" s="42">
        <f>IF($B6="","","ACT-"&amp;TEXT(ROW()-4,"000"))</f>
        <v>0</v>
      </c>
      <c r="B6" t="s">
        <v>85</v>
      </c>
      <c r="C6" t="s">
        <v>3</v>
      </c>
      <c r="D6" t="s">
        <v>26</v>
      </c>
      <c r="F6" s="36">
        <v>46423</v>
      </c>
      <c r="G6" s="36">
        <v>46443</v>
      </c>
      <c r="H6" t="s">
        <v>19</v>
      </c>
      <c r="K6" t="s">
        <v>84</v>
      </c>
      <c r="M6" s="43">
        <f>IF(COUNTA($B6:$K6)=0,"",IF($B6="","Missing activity name",IF($C6="","Missing practice",IF(COUNTIF(PracticeNames,$C6)=0,"Practice not in Lists",IF($D6="","Missing motion",IF(NOT(ISNUMBER($F6)),"Missing or invalid start date",IF(AND(ISNUMBER($G6),$G6&lt;$F6),"End date before start",IF(AND($N6=1,$AA6=0),"Outside planning year","OK"))))))))</f>
        <v>0</v>
      </c>
      <c r="N6">
        <f>IF(AND($B6&lt;&gt;"",$C6&lt;&gt;"",$D6&lt;&gt;"",ISNUMBER($F6),COUNTIF(PracticeNames,$C6)&gt;0,COUNTIF(MotionNames,$D6)&gt;0,NOT(AND(ISNUMBER($G6),$G6&lt;$F6))),IF(StatusFilter="All (excl. Cancelled)",IF($H6="Cancelled",0,1),IF(StatusFilter="All",1,IF($H6=StatusFilter,1,0))),0)</f>
        <v>0</v>
      </c>
      <c r="O6">
        <f>IF($N6=0,0,IF(AND($F6&lt;=EOMONTH(DATE(PlanYear,1,1),0),IF(ISNUMBER($G6),$G6,$F6)&gt;=DATE(PlanYear,1,1)),1,0))</f>
        <v>0</v>
      </c>
      <c r="P6">
        <f>IF($N6=0,0,IF(AND($F6&lt;=EOMONTH(DATE(PlanYear,2,1),0),IF(ISNUMBER($G6),$G6,$F6)&gt;=DATE(PlanYear,2,1)),1,0))</f>
        <v>0</v>
      </c>
      <c r="Q6">
        <f>IF($N6=0,0,IF(AND($F6&lt;=EOMONTH(DATE(PlanYear,3,1),0),IF(ISNUMBER($G6),$G6,$F6)&gt;=DATE(PlanYear,3,1)),1,0))</f>
        <v>0</v>
      </c>
      <c r="R6">
        <f>IF($N6=0,0,IF(AND($F6&lt;=EOMONTH(DATE(PlanYear,4,1),0),IF(ISNUMBER($G6),$G6,$F6)&gt;=DATE(PlanYear,4,1)),1,0))</f>
        <v>0</v>
      </c>
      <c r="S6">
        <f>IF($N6=0,0,IF(AND($F6&lt;=EOMONTH(DATE(PlanYear,5,1),0),IF(ISNUMBER($G6),$G6,$F6)&gt;=DATE(PlanYear,5,1)),1,0))</f>
        <v>0</v>
      </c>
      <c r="T6">
        <f>IF($N6=0,0,IF(AND($F6&lt;=EOMONTH(DATE(PlanYear,6,1),0),IF(ISNUMBER($G6),$G6,$F6)&gt;=DATE(PlanYear,6,1)),1,0))</f>
        <v>0</v>
      </c>
      <c r="U6">
        <f>IF($N6=0,0,IF(AND($F6&lt;=EOMONTH(DATE(PlanYear,7,1),0),IF(ISNUMBER($G6),$G6,$F6)&gt;=DATE(PlanYear,7,1)),1,0))</f>
        <v>0</v>
      </c>
      <c r="V6">
        <f>IF($N6=0,0,IF(AND($F6&lt;=EOMONTH(DATE(PlanYear,8,1),0),IF(ISNUMBER($G6),$G6,$F6)&gt;=DATE(PlanYear,8,1)),1,0))</f>
        <v>0</v>
      </c>
      <c r="W6">
        <f>IF($N6=0,0,IF(AND($F6&lt;=EOMONTH(DATE(PlanYear,9,1),0),IF(ISNUMBER($G6),$G6,$F6)&gt;=DATE(PlanYear,9,1)),1,0))</f>
        <v>0</v>
      </c>
      <c r="X6">
        <f>IF($N6=0,0,IF(AND($F6&lt;=EOMONTH(DATE(PlanYear,10,1),0),IF(ISNUMBER($G6),$G6,$F6)&gt;=DATE(PlanYear,10,1)),1,0))</f>
        <v>0</v>
      </c>
      <c r="Y6">
        <f>IF($N6=0,0,IF(AND($F6&lt;=EOMONTH(DATE(PlanYear,11,1),0),IF(ISNUMBER($G6),$G6,$F6)&gt;=DATE(PlanYear,11,1)),1,0))</f>
        <v>0</v>
      </c>
      <c r="Z6">
        <f>IF($N6=0,0,IF(AND($F6&lt;=EOMONTH(DATE(PlanYear,12,1),0),IF(ISNUMBER($G6),$G6,$F6)&gt;=DATE(PlanYear,12,1)),1,0))</f>
        <v>0</v>
      </c>
      <c r="AA6">
        <f>SUM($O6:$Z6)</f>
        <v>0</v>
      </c>
    </row>
    <row r="7" spans="1:27">
      <c r="A7" s="42">
        <f>IF($B7="","","ACT-"&amp;TEXT(ROW()-4,"000"))</f>
        <v>0</v>
      </c>
      <c r="B7" t="s">
        <v>86</v>
      </c>
      <c r="C7" t="s">
        <v>3</v>
      </c>
      <c r="D7" t="s">
        <v>26</v>
      </c>
      <c r="E7" t="s">
        <v>8</v>
      </c>
      <c r="F7" s="36">
        <v>46461</v>
      </c>
      <c r="H7" t="s">
        <v>19</v>
      </c>
      <c r="K7" t="s">
        <v>84</v>
      </c>
      <c r="M7" s="43">
        <f>IF(COUNTA($B7:$K7)=0,"",IF($B7="","Missing activity name",IF($C7="","Missing practice",IF(COUNTIF(PracticeNames,$C7)=0,"Practice not in Lists",IF($D7="","Missing motion",IF(NOT(ISNUMBER($F7)),"Missing or invalid start date",IF(AND(ISNUMBER($G7),$G7&lt;$F7),"End date before start",IF(AND($N7=1,$AA7=0),"Outside planning year","OK"))))))))</f>
        <v>0</v>
      </c>
      <c r="N7">
        <f>IF(AND($B7&lt;&gt;"",$C7&lt;&gt;"",$D7&lt;&gt;"",ISNUMBER($F7),COUNTIF(PracticeNames,$C7)&gt;0,COUNTIF(MotionNames,$D7)&gt;0,NOT(AND(ISNUMBER($G7),$G7&lt;$F7))),IF(StatusFilter="All (excl. Cancelled)",IF($H7="Cancelled",0,1),IF(StatusFilter="All",1,IF($H7=StatusFilter,1,0))),0)</f>
        <v>0</v>
      </c>
      <c r="O7">
        <f>IF($N7=0,0,IF(AND($F7&lt;=EOMONTH(DATE(PlanYear,1,1),0),IF(ISNUMBER($G7),$G7,$F7)&gt;=DATE(PlanYear,1,1)),1,0))</f>
        <v>0</v>
      </c>
      <c r="P7">
        <f>IF($N7=0,0,IF(AND($F7&lt;=EOMONTH(DATE(PlanYear,2,1),0),IF(ISNUMBER($G7),$G7,$F7)&gt;=DATE(PlanYear,2,1)),1,0))</f>
        <v>0</v>
      </c>
      <c r="Q7">
        <f>IF($N7=0,0,IF(AND($F7&lt;=EOMONTH(DATE(PlanYear,3,1),0),IF(ISNUMBER($G7),$G7,$F7)&gt;=DATE(PlanYear,3,1)),1,0))</f>
        <v>0</v>
      </c>
      <c r="R7">
        <f>IF($N7=0,0,IF(AND($F7&lt;=EOMONTH(DATE(PlanYear,4,1),0),IF(ISNUMBER($G7),$G7,$F7)&gt;=DATE(PlanYear,4,1)),1,0))</f>
        <v>0</v>
      </c>
      <c r="S7">
        <f>IF($N7=0,0,IF(AND($F7&lt;=EOMONTH(DATE(PlanYear,5,1),0),IF(ISNUMBER($G7),$G7,$F7)&gt;=DATE(PlanYear,5,1)),1,0))</f>
        <v>0</v>
      </c>
      <c r="T7">
        <f>IF($N7=0,0,IF(AND($F7&lt;=EOMONTH(DATE(PlanYear,6,1),0),IF(ISNUMBER($G7),$G7,$F7)&gt;=DATE(PlanYear,6,1)),1,0))</f>
        <v>0</v>
      </c>
      <c r="U7">
        <f>IF($N7=0,0,IF(AND($F7&lt;=EOMONTH(DATE(PlanYear,7,1),0),IF(ISNUMBER($G7),$G7,$F7)&gt;=DATE(PlanYear,7,1)),1,0))</f>
        <v>0</v>
      </c>
      <c r="V7">
        <f>IF($N7=0,0,IF(AND($F7&lt;=EOMONTH(DATE(PlanYear,8,1),0),IF(ISNUMBER($G7),$G7,$F7)&gt;=DATE(PlanYear,8,1)),1,0))</f>
        <v>0</v>
      </c>
      <c r="W7">
        <f>IF($N7=0,0,IF(AND($F7&lt;=EOMONTH(DATE(PlanYear,9,1),0),IF(ISNUMBER($G7),$G7,$F7)&gt;=DATE(PlanYear,9,1)),1,0))</f>
        <v>0</v>
      </c>
      <c r="X7">
        <f>IF($N7=0,0,IF(AND($F7&lt;=EOMONTH(DATE(PlanYear,10,1),0),IF(ISNUMBER($G7),$G7,$F7)&gt;=DATE(PlanYear,10,1)),1,0))</f>
        <v>0</v>
      </c>
      <c r="Y7">
        <f>IF($N7=0,0,IF(AND($F7&lt;=EOMONTH(DATE(PlanYear,11,1),0),IF(ISNUMBER($G7),$G7,$F7)&gt;=DATE(PlanYear,11,1)),1,0))</f>
        <v>0</v>
      </c>
      <c r="Z7">
        <f>IF($N7=0,0,IF(AND($F7&lt;=EOMONTH(DATE(PlanYear,12,1),0),IF(ISNUMBER($G7),$G7,$F7)&gt;=DATE(PlanYear,12,1)),1,0))</f>
        <v>0</v>
      </c>
      <c r="AA7">
        <f>SUM($O7:$Z7)</f>
        <v>0</v>
      </c>
    </row>
    <row r="8" spans="1:27">
      <c r="A8" s="42">
        <f>IF($B8="","","ACT-"&amp;TEXT(ROW()-4,"000"))</f>
        <v>0</v>
      </c>
      <c r="B8" t="s">
        <v>15</v>
      </c>
      <c r="C8" t="s">
        <v>3</v>
      </c>
      <c r="D8" t="s">
        <v>27</v>
      </c>
      <c r="F8" s="36">
        <v>46482</v>
      </c>
      <c r="G8" s="36">
        <v>46504</v>
      </c>
      <c r="H8" t="s">
        <v>19</v>
      </c>
      <c r="K8" t="s">
        <v>84</v>
      </c>
      <c r="M8" s="43">
        <f>IF(COUNTA($B8:$K8)=0,"",IF($B8="","Missing activity name",IF($C8="","Missing practice",IF(COUNTIF(PracticeNames,$C8)=0,"Practice not in Lists",IF($D8="","Missing motion",IF(NOT(ISNUMBER($F8)),"Missing or invalid start date",IF(AND(ISNUMBER($G8),$G8&lt;$F8),"End date before start",IF(AND($N8=1,$AA8=0),"Outside planning year","OK"))))))))</f>
        <v>0</v>
      </c>
      <c r="N8">
        <f>IF(AND($B8&lt;&gt;"",$C8&lt;&gt;"",$D8&lt;&gt;"",ISNUMBER($F8),COUNTIF(PracticeNames,$C8)&gt;0,COUNTIF(MotionNames,$D8)&gt;0,NOT(AND(ISNUMBER($G8),$G8&lt;$F8))),IF(StatusFilter="All (excl. Cancelled)",IF($H8="Cancelled",0,1),IF(StatusFilter="All",1,IF($H8=StatusFilter,1,0))),0)</f>
        <v>0</v>
      </c>
      <c r="O8">
        <f>IF($N8=0,0,IF(AND($F8&lt;=EOMONTH(DATE(PlanYear,1,1),0),IF(ISNUMBER($G8),$G8,$F8)&gt;=DATE(PlanYear,1,1)),1,0))</f>
        <v>0</v>
      </c>
      <c r="P8">
        <f>IF($N8=0,0,IF(AND($F8&lt;=EOMONTH(DATE(PlanYear,2,1),0),IF(ISNUMBER($G8),$G8,$F8)&gt;=DATE(PlanYear,2,1)),1,0))</f>
        <v>0</v>
      </c>
      <c r="Q8">
        <f>IF($N8=0,0,IF(AND($F8&lt;=EOMONTH(DATE(PlanYear,3,1),0),IF(ISNUMBER($G8),$G8,$F8)&gt;=DATE(PlanYear,3,1)),1,0))</f>
        <v>0</v>
      </c>
      <c r="R8">
        <f>IF($N8=0,0,IF(AND($F8&lt;=EOMONTH(DATE(PlanYear,4,1),0),IF(ISNUMBER($G8),$G8,$F8)&gt;=DATE(PlanYear,4,1)),1,0))</f>
        <v>0</v>
      </c>
      <c r="S8">
        <f>IF($N8=0,0,IF(AND($F8&lt;=EOMONTH(DATE(PlanYear,5,1),0),IF(ISNUMBER($G8),$G8,$F8)&gt;=DATE(PlanYear,5,1)),1,0))</f>
        <v>0</v>
      </c>
      <c r="T8">
        <f>IF($N8=0,0,IF(AND($F8&lt;=EOMONTH(DATE(PlanYear,6,1),0),IF(ISNUMBER($G8),$G8,$F8)&gt;=DATE(PlanYear,6,1)),1,0))</f>
        <v>0</v>
      </c>
      <c r="U8">
        <f>IF($N8=0,0,IF(AND($F8&lt;=EOMONTH(DATE(PlanYear,7,1),0),IF(ISNUMBER($G8),$G8,$F8)&gt;=DATE(PlanYear,7,1)),1,0))</f>
        <v>0</v>
      </c>
      <c r="V8">
        <f>IF($N8=0,0,IF(AND($F8&lt;=EOMONTH(DATE(PlanYear,8,1),0),IF(ISNUMBER($G8),$G8,$F8)&gt;=DATE(PlanYear,8,1)),1,0))</f>
        <v>0</v>
      </c>
      <c r="W8">
        <f>IF($N8=0,0,IF(AND($F8&lt;=EOMONTH(DATE(PlanYear,9,1),0),IF(ISNUMBER($G8),$G8,$F8)&gt;=DATE(PlanYear,9,1)),1,0))</f>
        <v>0</v>
      </c>
      <c r="X8">
        <f>IF($N8=0,0,IF(AND($F8&lt;=EOMONTH(DATE(PlanYear,10,1),0),IF(ISNUMBER($G8),$G8,$F8)&gt;=DATE(PlanYear,10,1)),1,0))</f>
        <v>0</v>
      </c>
      <c r="Y8">
        <f>IF($N8=0,0,IF(AND($F8&lt;=EOMONTH(DATE(PlanYear,11,1),0),IF(ISNUMBER($G8),$G8,$F8)&gt;=DATE(PlanYear,11,1)),1,0))</f>
        <v>0</v>
      </c>
      <c r="Z8">
        <f>IF($N8=0,0,IF(AND($F8&lt;=EOMONTH(DATE(PlanYear,12,1),0),IF(ISNUMBER($G8),$G8,$F8)&gt;=DATE(PlanYear,12,1)),1,0))</f>
        <v>0</v>
      </c>
      <c r="AA8">
        <f>SUM($O8:$Z8)</f>
        <v>0</v>
      </c>
    </row>
    <row r="9" spans="1:27">
      <c r="A9" s="42">
        <f>IF($B9="","","ACT-"&amp;TEXT(ROW()-4,"000"))</f>
        <v>0</v>
      </c>
      <c r="B9" t="s">
        <v>87</v>
      </c>
      <c r="C9" t="s">
        <v>3</v>
      </c>
      <c r="D9" t="s">
        <v>27</v>
      </c>
      <c r="F9" s="36">
        <v>46512</v>
      </c>
      <c r="G9" s="36">
        <v>46535</v>
      </c>
      <c r="H9" t="s">
        <v>19</v>
      </c>
      <c r="K9" t="s">
        <v>84</v>
      </c>
      <c r="M9" s="43">
        <f>IF(COUNTA($B9:$K9)=0,"",IF($B9="","Missing activity name",IF($C9="","Missing practice",IF(COUNTIF(PracticeNames,$C9)=0,"Practice not in Lists",IF($D9="","Missing motion",IF(NOT(ISNUMBER($F9)),"Missing or invalid start date",IF(AND(ISNUMBER($G9),$G9&lt;$F9),"End date before start",IF(AND($N9=1,$AA9=0),"Outside planning year","OK"))))))))</f>
        <v>0</v>
      </c>
      <c r="N9">
        <f>IF(AND($B9&lt;&gt;"",$C9&lt;&gt;"",$D9&lt;&gt;"",ISNUMBER($F9),COUNTIF(PracticeNames,$C9)&gt;0,COUNTIF(MotionNames,$D9)&gt;0,NOT(AND(ISNUMBER($G9),$G9&lt;$F9))),IF(StatusFilter="All (excl. Cancelled)",IF($H9="Cancelled",0,1),IF(StatusFilter="All",1,IF($H9=StatusFilter,1,0))),0)</f>
        <v>0</v>
      </c>
      <c r="O9">
        <f>IF($N9=0,0,IF(AND($F9&lt;=EOMONTH(DATE(PlanYear,1,1),0),IF(ISNUMBER($G9),$G9,$F9)&gt;=DATE(PlanYear,1,1)),1,0))</f>
        <v>0</v>
      </c>
      <c r="P9">
        <f>IF($N9=0,0,IF(AND($F9&lt;=EOMONTH(DATE(PlanYear,2,1),0),IF(ISNUMBER($G9),$G9,$F9)&gt;=DATE(PlanYear,2,1)),1,0))</f>
        <v>0</v>
      </c>
      <c r="Q9">
        <f>IF($N9=0,0,IF(AND($F9&lt;=EOMONTH(DATE(PlanYear,3,1),0),IF(ISNUMBER($G9),$G9,$F9)&gt;=DATE(PlanYear,3,1)),1,0))</f>
        <v>0</v>
      </c>
      <c r="R9">
        <f>IF($N9=0,0,IF(AND($F9&lt;=EOMONTH(DATE(PlanYear,4,1),0),IF(ISNUMBER($G9),$G9,$F9)&gt;=DATE(PlanYear,4,1)),1,0))</f>
        <v>0</v>
      </c>
      <c r="S9">
        <f>IF($N9=0,0,IF(AND($F9&lt;=EOMONTH(DATE(PlanYear,5,1),0),IF(ISNUMBER($G9),$G9,$F9)&gt;=DATE(PlanYear,5,1)),1,0))</f>
        <v>0</v>
      </c>
      <c r="T9">
        <f>IF($N9=0,0,IF(AND($F9&lt;=EOMONTH(DATE(PlanYear,6,1),0),IF(ISNUMBER($G9),$G9,$F9)&gt;=DATE(PlanYear,6,1)),1,0))</f>
        <v>0</v>
      </c>
      <c r="U9">
        <f>IF($N9=0,0,IF(AND($F9&lt;=EOMONTH(DATE(PlanYear,7,1),0),IF(ISNUMBER($G9),$G9,$F9)&gt;=DATE(PlanYear,7,1)),1,0))</f>
        <v>0</v>
      </c>
      <c r="V9">
        <f>IF($N9=0,0,IF(AND($F9&lt;=EOMONTH(DATE(PlanYear,8,1),0),IF(ISNUMBER($G9),$G9,$F9)&gt;=DATE(PlanYear,8,1)),1,0))</f>
        <v>0</v>
      </c>
      <c r="W9">
        <f>IF($N9=0,0,IF(AND($F9&lt;=EOMONTH(DATE(PlanYear,9,1),0),IF(ISNUMBER($G9),$G9,$F9)&gt;=DATE(PlanYear,9,1)),1,0))</f>
        <v>0</v>
      </c>
      <c r="X9">
        <f>IF($N9=0,0,IF(AND($F9&lt;=EOMONTH(DATE(PlanYear,10,1),0),IF(ISNUMBER($G9),$G9,$F9)&gt;=DATE(PlanYear,10,1)),1,0))</f>
        <v>0</v>
      </c>
      <c r="Y9">
        <f>IF($N9=0,0,IF(AND($F9&lt;=EOMONTH(DATE(PlanYear,11,1),0),IF(ISNUMBER($G9),$G9,$F9)&gt;=DATE(PlanYear,11,1)),1,0))</f>
        <v>0</v>
      </c>
      <c r="Z9">
        <f>IF($N9=0,0,IF(AND($F9&lt;=EOMONTH(DATE(PlanYear,12,1),0),IF(ISNUMBER($G9),$G9,$F9)&gt;=DATE(PlanYear,12,1)),1,0))</f>
        <v>0</v>
      </c>
      <c r="AA9">
        <f>SUM($O9:$Z9)</f>
        <v>0</v>
      </c>
    </row>
    <row r="10" spans="1:27">
      <c r="A10" s="42">
        <f>IF($B10="","","ACT-"&amp;TEXT(ROW()-4,"000"))</f>
        <v>0</v>
      </c>
      <c r="B10" t="s">
        <v>88</v>
      </c>
      <c r="C10" t="s">
        <v>4</v>
      </c>
      <c r="D10" t="s">
        <v>25</v>
      </c>
      <c r="F10" s="36">
        <v>46423</v>
      </c>
      <c r="G10" s="36">
        <v>46443</v>
      </c>
      <c r="H10" t="s">
        <v>19</v>
      </c>
      <c r="K10" t="s">
        <v>84</v>
      </c>
      <c r="M10" s="43">
        <f>IF(COUNTA($B10:$K10)=0,"",IF($B10="","Missing activity name",IF($C10="","Missing practice",IF(COUNTIF(PracticeNames,$C10)=0,"Practice not in Lists",IF($D10="","Missing motion",IF(NOT(ISNUMBER($F10)),"Missing or invalid start date",IF(AND(ISNUMBER($G10),$G10&lt;$F10),"End date before start",IF(AND($N10=1,$AA10=0),"Outside planning year","OK"))))))))</f>
        <v>0</v>
      </c>
      <c r="N10">
        <f>IF(AND($B10&lt;&gt;"",$C10&lt;&gt;"",$D10&lt;&gt;"",ISNUMBER($F10),COUNTIF(PracticeNames,$C10)&gt;0,COUNTIF(MotionNames,$D10)&gt;0,NOT(AND(ISNUMBER($G10),$G10&lt;$F10))),IF(StatusFilter="All (excl. Cancelled)",IF($H10="Cancelled",0,1),IF(StatusFilter="All",1,IF($H10=StatusFilter,1,0))),0)</f>
        <v>0</v>
      </c>
      <c r="O10">
        <f>IF($N10=0,0,IF(AND($F10&lt;=EOMONTH(DATE(PlanYear,1,1),0),IF(ISNUMBER($G10),$G10,$F10)&gt;=DATE(PlanYear,1,1)),1,0))</f>
        <v>0</v>
      </c>
      <c r="P10">
        <f>IF($N10=0,0,IF(AND($F10&lt;=EOMONTH(DATE(PlanYear,2,1),0),IF(ISNUMBER($G10),$G10,$F10)&gt;=DATE(PlanYear,2,1)),1,0))</f>
        <v>0</v>
      </c>
      <c r="Q10">
        <f>IF($N10=0,0,IF(AND($F10&lt;=EOMONTH(DATE(PlanYear,3,1),0),IF(ISNUMBER($G10),$G10,$F10)&gt;=DATE(PlanYear,3,1)),1,0))</f>
        <v>0</v>
      </c>
      <c r="R10">
        <f>IF($N10=0,0,IF(AND($F10&lt;=EOMONTH(DATE(PlanYear,4,1),0),IF(ISNUMBER($G10),$G10,$F10)&gt;=DATE(PlanYear,4,1)),1,0))</f>
        <v>0</v>
      </c>
      <c r="S10">
        <f>IF($N10=0,0,IF(AND($F10&lt;=EOMONTH(DATE(PlanYear,5,1),0),IF(ISNUMBER($G10),$G10,$F10)&gt;=DATE(PlanYear,5,1)),1,0))</f>
        <v>0</v>
      </c>
      <c r="T10">
        <f>IF($N10=0,0,IF(AND($F10&lt;=EOMONTH(DATE(PlanYear,6,1),0),IF(ISNUMBER($G10),$G10,$F10)&gt;=DATE(PlanYear,6,1)),1,0))</f>
        <v>0</v>
      </c>
      <c r="U10">
        <f>IF($N10=0,0,IF(AND($F10&lt;=EOMONTH(DATE(PlanYear,7,1),0),IF(ISNUMBER($G10),$G10,$F10)&gt;=DATE(PlanYear,7,1)),1,0))</f>
        <v>0</v>
      </c>
      <c r="V10">
        <f>IF($N10=0,0,IF(AND($F10&lt;=EOMONTH(DATE(PlanYear,8,1),0),IF(ISNUMBER($G10),$G10,$F10)&gt;=DATE(PlanYear,8,1)),1,0))</f>
        <v>0</v>
      </c>
      <c r="W10">
        <f>IF($N10=0,0,IF(AND($F10&lt;=EOMONTH(DATE(PlanYear,9,1),0),IF(ISNUMBER($G10),$G10,$F10)&gt;=DATE(PlanYear,9,1)),1,0))</f>
        <v>0</v>
      </c>
      <c r="X10">
        <f>IF($N10=0,0,IF(AND($F10&lt;=EOMONTH(DATE(PlanYear,10,1),0),IF(ISNUMBER($G10),$G10,$F10)&gt;=DATE(PlanYear,10,1)),1,0))</f>
        <v>0</v>
      </c>
      <c r="Y10">
        <f>IF($N10=0,0,IF(AND($F10&lt;=EOMONTH(DATE(PlanYear,11,1),0),IF(ISNUMBER($G10),$G10,$F10)&gt;=DATE(PlanYear,11,1)),1,0))</f>
        <v>0</v>
      </c>
      <c r="Z10">
        <f>IF($N10=0,0,IF(AND($F10&lt;=EOMONTH(DATE(PlanYear,12,1),0),IF(ISNUMBER($G10),$G10,$F10)&gt;=DATE(PlanYear,12,1)),1,0))</f>
        <v>0</v>
      </c>
      <c r="AA10">
        <f>SUM($O10:$Z10)</f>
        <v>0</v>
      </c>
    </row>
    <row r="11" spans="1:27">
      <c r="A11" s="42">
        <f>IF($B11="","","ACT-"&amp;TEXT(ROW()-4,"000"))</f>
        <v>0</v>
      </c>
      <c r="B11" t="s">
        <v>9</v>
      </c>
      <c r="C11" t="s">
        <v>4</v>
      </c>
      <c r="D11" t="s">
        <v>26</v>
      </c>
      <c r="F11" s="36">
        <v>46451</v>
      </c>
      <c r="G11" s="36">
        <v>46474</v>
      </c>
      <c r="H11" t="s">
        <v>19</v>
      </c>
      <c r="K11" t="s">
        <v>84</v>
      </c>
      <c r="M11" s="43">
        <f>IF(COUNTA($B11:$K11)=0,"",IF($B11="","Missing activity name",IF($C11="","Missing practice",IF(COUNTIF(PracticeNames,$C11)=0,"Practice not in Lists",IF($D11="","Missing motion",IF(NOT(ISNUMBER($F11)),"Missing or invalid start date",IF(AND(ISNUMBER($G11),$G11&lt;$F11),"End date before start",IF(AND($N11=1,$AA11=0),"Outside planning year","OK"))))))))</f>
        <v>0</v>
      </c>
      <c r="N11">
        <f>IF(AND($B11&lt;&gt;"",$C11&lt;&gt;"",$D11&lt;&gt;"",ISNUMBER($F11),COUNTIF(PracticeNames,$C11)&gt;0,COUNTIF(MotionNames,$D11)&gt;0,NOT(AND(ISNUMBER($G11),$G11&lt;$F11))),IF(StatusFilter="All (excl. Cancelled)",IF($H11="Cancelled",0,1),IF(StatusFilter="All",1,IF($H11=StatusFilter,1,0))),0)</f>
        <v>0</v>
      </c>
      <c r="O11">
        <f>IF($N11=0,0,IF(AND($F11&lt;=EOMONTH(DATE(PlanYear,1,1),0),IF(ISNUMBER($G11),$G11,$F11)&gt;=DATE(PlanYear,1,1)),1,0))</f>
        <v>0</v>
      </c>
      <c r="P11">
        <f>IF($N11=0,0,IF(AND($F11&lt;=EOMONTH(DATE(PlanYear,2,1),0),IF(ISNUMBER($G11),$G11,$F11)&gt;=DATE(PlanYear,2,1)),1,0))</f>
        <v>0</v>
      </c>
      <c r="Q11">
        <f>IF($N11=0,0,IF(AND($F11&lt;=EOMONTH(DATE(PlanYear,3,1),0),IF(ISNUMBER($G11),$G11,$F11)&gt;=DATE(PlanYear,3,1)),1,0))</f>
        <v>0</v>
      </c>
      <c r="R11">
        <f>IF($N11=0,0,IF(AND($F11&lt;=EOMONTH(DATE(PlanYear,4,1),0),IF(ISNUMBER($G11),$G11,$F11)&gt;=DATE(PlanYear,4,1)),1,0))</f>
        <v>0</v>
      </c>
      <c r="S11">
        <f>IF($N11=0,0,IF(AND($F11&lt;=EOMONTH(DATE(PlanYear,5,1),0),IF(ISNUMBER($G11),$G11,$F11)&gt;=DATE(PlanYear,5,1)),1,0))</f>
        <v>0</v>
      </c>
      <c r="T11">
        <f>IF($N11=0,0,IF(AND($F11&lt;=EOMONTH(DATE(PlanYear,6,1),0),IF(ISNUMBER($G11),$G11,$F11)&gt;=DATE(PlanYear,6,1)),1,0))</f>
        <v>0</v>
      </c>
      <c r="U11">
        <f>IF($N11=0,0,IF(AND($F11&lt;=EOMONTH(DATE(PlanYear,7,1),0),IF(ISNUMBER($G11),$G11,$F11)&gt;=DATE(PlanYear,7,1)),1,0))</f>
        <v>0</v>
      </c>
      <c r="V11">
        <f>IF($N11=0,0,IF(AND($F11&lt;=EOMONTH(DATE(PlanYear,8,1),0),IF(ISNUMBER($G11),$G11,$F11)&gt;=DATE(PlanYear,8,1)),1,0))</f>
        <v>0</v>
      </c>
      <c r="W11">
        <f>IF($N11=0,0,IF(AND($F11&lt;=EOMONTH(DATE(PlanYear,9,1),0),IF(ISNUMBER($G11),$G11,$F11)&gt;=DATE(PlanYear,9,1)),1,0))</f>
        <v>0</v>
      </c>
      <c r="X11">
        <f>IF($N11=0,0,IF(AND($F11&lt;=EOMONTH(DATE(PlanYear,10,1),0),IF(ISNUMBER($G11),$G11,$F11)&gt;=DATE(PlanYear,10,1)),1,0))</f>
        <v>0</v>
      </c>
      <c r="Y11">
        <f>IF($N11=0,0,IF(AND($F11&lt;=EOMONTH(DATE(PlanYear,11,1),0),IF(ISNUMBER($G11),$G11,$F11)&gt;=DATE(PlanYear,11,1)),1,0))</f>
        <v>0</v>
      </c>
      <c r="Z11">
        <f>IF($N11=0,0,IF(AND($F11&lt;=EOMONTH(DATE(PlanYear,12,1),0),IF(ISNUMBER($G11),$G11,$F11)&gt;=DATE(PlanYear,12,1)),1,0))</f>
        <v>0</v>
      </c>
      <c r="AA11">
        <f>SUM($O11:$Z11)</f>
        <v>0</v>
      </c>
    </row>
    <row r="12" spans="1:27">
      <c r="A12" s="42">
        <f>IF($B12="","","ACT-"&amp;TEXT(ROW()-4,"000"))</f>
        <v>0</v>
      </c>
      <c r="B12" t="s">
        <v>89</v>
      </c>
      <c r="C12" t="s">
        <v>4</v>
      </c>
      <c r="D12" t="s">
        <v>27</v>
      </c>
      <c r="E12" t="s">
        <v>14</v>
      </c>
      <c r="F12" s="36">
        <v>46482</v>
      </c>
      <c r="G12" s="36">
        <v>46504</v>
      </c>
      <c r="H12" t="s">
        <v>19</v>
      </c>
      <c r="K12" t="s">
        <v>84</v>
      </c>
      <c r="M12" s="43">
        <f>IF(COUNTA($B12:$K12)=0,"",IF($B12="","Missing activity name",IF($C12="","Missing practice",IF(COUNTIF(PracticeNames,$C12)=0,"Practice not in Lists",IF($D12="","Missing motion",IF(NOT(ISNUMBER($F12)),"Missing or invalid start date",IF(AND(ISNUMBER($G12),$G12&lt;$F12),"End date before start",IF(AND($N12=1,$AA12=0),"Outside planning year","OK"))))))))</f>
        <v>0</v>
      </c>
      <c r="N12">
        <f>IF(AND($B12&lt;&gt;"",$C12&lt;&gt;"",$D12&lt;&gt;"",ISNUMBER($F12),COUNTIF(PracticeNames,$C12)&gt;0,COUNTIF(MotionNames,$D12)&gt;0,NOT(AND(ISNUMBER($G12),$G12&lt;$F12))),IF(StatusFilter="All (excl. Cancelled)",IF($H12="Cancelled",0,1),IF(StatusFilter="All",1,IF($H12=StatusFilter,1,0))),0)</f>
        <v>0</v>
      </c>
      <c r="O12">
        <f>IF($N12=0,0,IF(AND($F12&lt;=EOMONTH(DATE(PlanYear,1,1),0),IF(ISNUMBER($G12),$G12,$F12)&gt;=DATE(PlanYear,1,1)),1,0))</f>
        <v>0</v>
      </c>
      <c r="P12">
        <f>IF($N12=0,0,IF(AND($F12&lt;=EOMONTH(DATE(PlanYear,2,1),0),IF(ISNUMBER($G12),$G12,$F12)&gt;=DATE(PlanYear,2,1)),1,0))</f>
        <v>0</v>
      </c>
      <c r="Q12">
        <f>IF($N12=0,0,IF(AND($F12&lt;=EOMONTH(DATE(PlanYear,3,1),0),IF(ISNUMBER($G12),$G12,$F12)&gt;=DATE(PlanYear,3,1)),1,0))</f>
        <v>0</v>
      </c>
      <c r="R12">
        <f>IF($N12=0,0,IF(AND($F12&lt;=EOMONTH(DATE(PlanYear,4,1),0),IF(ISNUMBER($G12),$G12,$F12)&gt;=DATE(PlanYear,4,1)),1,0))</f>
        <v>0</v>
      </c>
      <c r="S12">
        <f>IF($N12=0,0,IF(AND($F12&lt;=EOMONTH(DATE(PlanYear,5,1),0),IF(ISNUMBER($G12),$G12,$F12)&gt;=DATE(PlanYear,5,1)),1,0))</f>
        <v>0</v>
      </c>
      <c r="T12">
        <f>IF($N12=0,0,IF(AND($F12&lt;=EOMONTH(DATE(PlanYear,6,1),0),IF(ISNUMBER($G12),$G12,$F12)&gt;=DATE(PlanYear,6,1)),1,0))</f>
        <v>0</v>
      </c>
      <c r="U12">
        <f>IF($N12=0,0,IF(AND($F12&lt;=EOMONTH(DATE(PlanYear,7,1),0),IF(ISNUMBER($G12),$G12,$F12)&gt;=DATE(PlanYear,7,1)),1,0))</f>
        <v>0</v>
      </c>
      <c r="V12">
        <f>IF($N12=0,0,IF(AND($F12&lt;=EOMONTH(DATE(PlanYear,8,1),0),IF(ISNUMBER($G12),$G12,$F12)&gt;=DATE(PlanYear,8,1)),1,0))</f>
        <v>0</v>
      </c>
      <c r="W12">
        <f>IF($N12=0,0,IF(AND($F12&lt;=EOMONTH(DATE(PlanYear,9,1),0),IF(ISNUMBER($G12),$G12,$F12)&gt;=DATE(PlanYear,9,1)),1,0))</f>
        <v>0</v>
      </c>
      <c r="X12">
        <f>IF($N12=0,0,IF(AND($F12&lt;=EOMONTH(DATE(PlanYear,10,1),0),IF(ISNUMBER($G12),$G12,$F12)&gt;=DATE(PlanYear,10,1)),1,0))</f>
        <v>0</v>
      </c>
      <c r="Y12">
        <f>IF($N12=0,0,IF(AND($F12&lt;=EOMONTH(DATE(PlanYear,11,1),0),IF(ISNUMBER($G12),$G12,$F12)&gt;=DATE(PlanYear,11,1)),1,0))</f>
        <v>0</v>
      </c>
      <c r="Z12">
        <f>IF($N12=0,0,IF(AND($F12&lt;=EOMONTH(DATE(PlanYear,12,1),0),IF(ISNUMBER($G12),$G12,$F12)&gt;=DATE(PlanYear,12,1)),1,0))</f>
        <v>0</v>
      </c>
      <c r="AA12">
        <f>SUM($O12:$Z12)</f>
        <v>0</v>
      </c>
    </row>
    <row r="13" spans="1:27">
      <c r="A13" s="42">
        <f>IF($B13="","","ACT-"&amp;TEXT(ROW()-4,"000"))</f>
        <v>0</v>
      </c>
      <c r="B13" t="s">
        <v>90</v>
      </c>
      <c r="C13" t="s">
        <v>4</v>
      </c>
      <c r="D13" t="s">
        <v>27</v>
      </c>
      <c r="E13" t="s">
        <v>8</v>
      </c>
      <c r="F13" s="36">
        <v>46522</v>
      </c>
      <c r="H13" t="s">
        <v>19</v>
      </c>
      <c r="K13" t="s">
        <v>84</v>
      </c>
      <c r="M13" s="43">
        <f>IF(COUNTA($B13:$K13)=0,"",IF($B13="","Missing activity name",IF($C13="","Missing practice",IF(COUNTIF(PracticeNames,$C13)=0,"Practice not in Lists",IF($D13="","Missing motion",IF(NOT(ISNUMBER($F13)),"Missing or invalid start date",IF(AND(ISNUMBER($G13),$G13&lt;$F13),"End date before start",IF(AND($N13=1,$AA13=0),"Outside planning year","OK"))))))))</f>
        <v>0</v>
      </c>
      <c r="N13">
        <f>IF(AND($B13&lt;&gt;"",$C13&lt;&gt;"",$D13&lt;&gt;"",ISNUMBER($F13),COUNTIF(PracticeNames,$C13)&gt;0,COUNTIF(MotionNames,$D13)&gt;0,NOT(AND(ISNUMBER($G13),$G13&lt;$F13))),IF(StatusFilter="All (excl. Cancelled)",IF($H13="Cancelled",0,1),IF(StatusFilter="All",1,IF($H13=StatusFilter,1,0))),0)</f>
        <v>0</v>
      </c>
      <c r="O13">
        <f>IF($N13=0,0,IF(AND($F13&lt;=EOMONTH(DATE(PlanYear,1,1),0),IF(ISNUMBER($G13),$G13,$F13)&gt;=DATE(PlanYear,1,1)),1,0))</f>
        <v>0</v>
      </c>
      <c r="P13">
        <f>IF($N13=0,0,IF(AND($F13&lt;=EOMONTH(DATE(PlanYear,2,1),0),IF(ISNUMBER($G13),$G13,$F13)&gt;=DATE(PlanYear,2,1)),1,0))</f>
        <v>0</v>
      </c>
      <c r="Q13">
        <f>IF($N13=0,0,IF(AND($F13&lt;=EOMONTH(DATE(PlanYear,3,1),0),IF(ISNUMBER($G13),$G13,$F13)&gt;=DATE(PlanYear,3,1)),1,0))</f>
        <v>0</v>
      </c>
      <c r="R13">
        <f>IF($N13=0,0,IF(AND($F13&lt;=EOMONTH(DATE(PlanYear,4,1),0),IF(ISNUMBER($G13),$G13,$F13)&gt;=DATE(PlanYear,4,1)),1,0))</f>
        <v>0</v>
      </c>
      <c r="S13">
        <f>IF($N13=0,0,IF(AND($F13&lt;=EOMONTH(DATE(PlanYear,5,1),0),IF(ISNUMBER($G13),$G13,$F13)&gt;=DATE(PlanYear,5,1)),1,0))</f>
        <v>0</v>
      </c>
      <c r="T13">
        <f>IF($N13=0,0,IF(AND($F13&lt;=EOMONTH(DATE(PlanYear,6,1),0),IF(ISNUMBER($G13),$G13,$F13)&gt;=DATE(PlanYear,6,1)),1,0))</f>
        <v>0</v>
      </c>
      <c r="U13">
        <f>IF($N13=0,0,IF(AND($F13&lt;=EOMONTH(DATE(PlanYear,7,1),0),IF(ISNUMBER($G13),$G13,$F13)&gt;=DATE(PlanYear,7,1)),1,0))</f>
        <v>0</v>
      </c>
      <c r="V13">
        <f>IF($N13=0,0,IF(AND($F13&lt;=EOMONTH(DATE(PlanYear,8,1),0),IF(ISNUMBER($G13),$G13,$F13)&gt;=DATE(PlanYear,8,1)),1,0))</f>
        <v>0</v>
      </c>
      <c r="W13">
        <f>IF($N13=0,0,IF(AND($F13&lt;=EOMONTH(DATE(PlanYear,9,1),0),IF(ISNUMBER($G13),$G13,$F13)&gt;=DATE(PlanYear,9,1)),1,0))</f>
        <v>0</v>
      </c>
      <c r="X13">
        <f>IF($N13=0,0,IF(AND($F13&lt;=EOMONTH(DATE(PlanYear,10,1),0),IF(ISNUMBER($G13),$G13,$F13)&gt;=DATE(PlanYear,10,1)),1,0))</f>
        <v>0</v>
      </c>
      <c r="Y13">
        <f>IF($N13=0,0,IF(AND($F13&lt;=EOMONTH(DATE(PlanYear,11,1),0),IF(ISNUMBER($G13),$G13,$F13)&gt;=DATE(PlanYear,11,1)),1,0))</f>
        <v>0</v>
      </c>
      <c r="Z13">
        <f>IF($N13=0,0,IF(AND($F13&lt;=EOMONTH(DATE(PlanYear,12,1),0),IF(ISNUMBER($G13),$G13,$F13)&gt;=DATE(PlanYear,12,1)),1,0))</f>
        <v>0</v>
      </c>
      <c r="AA13">
        <f>SUM($O13:$Z13)</f>
        <v>0</v>
      </c>
    </row>
    <row r="14" spans="1:27">
      <c r="A14" s="42">
        <f>IF($B14="","","ACT-"&amp;TEXT(ROW()-4,"000"))</f>
        <v>0</v>
      </c>
      <c r="B14" t="s">
        <v>87</v>
      </c>
      <c r="C14" t="s">
        <v>4</v>
      </c>
      <c r="D14" t="s">
        <v>27</v>
      </c>
      <c r="F14" s="36">
        <v>46543</v>
      </c>
      <c r="G14" s="36">
        <v>46565</v>
      </c>
      <c r="H14" t="s">
        <v>19</v>
      </c>
      <c r="K14" t="s">
        <v>84</v>
      </c>
      <c r="M14" s="43">
        <f>IF(COUNTA($B14:$K14)=0,"",IF($B14="","Missing activity name",IF($C14="","Missing practice",IF(COUNTIF(PracticeNames,$C14)=0,"Practice not in Lists",IF($D14="","Missing motion",IF(NOT(ISNUMBER($F14)),"Missing or invalid start date",IF(AND(ISNUMBER($G14),$G14&lt;$F14),"End date before start",IF(AND($N14=1,$AA14=0),"Outside planning year","OK"))))))))</f>
        <v>0</v>
      </c>
      <c r="N14">
        <f>IF(AND($B14&lt;&gt;"",$C14&lt;&gt;"",$D14&lt;&gt;"",ISNUMBER($F14),COUNTIF(PracticeNames,$C14)&gt;0,COUNTIF(MotionNames,$D14)&gt;0,NOT(AND(ISNUMBER($G14),$G14&lt;$F14))),IF(StatusFilter="All (excl. Cancelled)",IF($H14="Cancelled",0,1),IF(StatusFilter="All",1,IF($H14=StatusFilter,1,0))),0)</f>
        <v>0</v>
      </c>
      <c r="O14">
        <f>IF($N14=0,0,IF(AND($F14&lt;=EOMONTH(DATE(PlanYear,1,1),0),IF(ISNUMBER($G14),$G14,$F14)&gt;=DATE(PlanYear,1,1)),1,0))</f>
        <v>0</v>
      </c>
      <c r="P14">
        <f>IF($N14=0,0,IF(AND($F14&lt;=EOMONTH(DATE(PlanYear,2,1),0),IF(ISNUMBER($G14),$G14,$F14)&gt;=DATE(PlanYear,2,1)),1,0))</f>
        <v>0</v>
      </c>
      <c r="Q14">
        <f>IF($N14=0,0,IF(AND($F14&lt;=EOMONTH(DATE(PlanYear,3,1),0),IF(ISNUMBER($G14),$G14,$F14)&gt;=DATE(PlanYear,3,1)),1,0))</f>
        <v>0</v>
      </c>
      <c r="R14">
        <f>IF($N14=0,0,IF(AND($F14&lt;=EOMONTH(DATE(PlanYear,4,1),0),IF(ISNUMBER($G14),$G14,$F14)&gt;=DATE(PlanYear,4,1)),1,0))</f>
        <v>0</v>
      </c>
      <c r="S14">
        <f>IF($N14=0,0,IF(AND($F14&lt;=EOMONTH(DATE(PlanYear,5,1),0),IF(ISNUMBER($G14),$G14,$F14)&gt;=DATE(PlanYear,5,1)),1,0))</f>
        <v>0</v>
      </c>
      <c r="T14">
        <f>IF($N14=0,0,IF(AND($F14&lt;=EOMONTH(DATE(PlanYear,6,1),0),IF(ISNUMBER($G14),$G14,$F14)&gt;=DATE(PlanYear,6,1)),1,0))</f>
        <v>0</v>
      </c>
      <c r="U14">
        <f>IF($N14=0,0,IF(AND($F14&lt;=EOMONTH(DATE(PlanYear,7,1),0),IF(ISNUMBER($G14),$G14,$F14)&gt;=DATE(PlanYear,7,1)),1,0))</f>
        <v>0</v>
      </c>
      <c r="V14">
        <f>IF($N14=0,0,IF(AND($F14&lt;=EOMONTH(DATE(PlanYear,8,1),0),IF(ISNUMBER($G14),$G14,$F14)&gt;=DATE(PlanYear,8,1)),1,0))</f>
        <v>0</v>
      </c>
      <c r="W14">
        <f>IF($N14=0,0,IF(AND($F14&lt;=EOMONTH(DATE(PlanYear,9,1),0),IF(ISNUMBER($G14),$G14,$F14)&gt;=DATE(PlanYear,9,1)),1,0))</f>
        <v>0</v>
      </c>
      <c r="X14">
        <f>IF($N14=0,0,IF(AND($F14&lt;=EOMONTH(DATE(PlanYear,10,1),0),IF(ISNUMBER($G14),$G14,$F14)&gt;=DATE(PlanYear,10,1)),1,0))</f>
        <v>0</v>
      </c>
      <c r="Y14">
        <f>IF($N14=0,0,IF(AND($F14&lt;=EOMONTH(DATE(PlanYear,11,1),0),IF(ISNUMBER($G14),$G14,$F14)&gt;=DATE(PlanYear,11,1)),1,0))</f>
        <v>0</v>
      </c>
      <c r="Z14">
        <f>IF($N14=0,0,IF(AND($F14&lt;=EOMONTH(DATE(PlanYear,12,1),0),IF(ISNUMBER($G14),$G14,$F14)&gt;=DATE(PlanYear,12,1)),1,0))</f>
        <v>0</v>
      </c>
      <c r="AA14">
        <f>SUM($O14:$Z14)</f>
        <v>0</v>
      </c>
    </row>
    <row r="15" spans="1:27">
      <c r="A15" s="42">
        <f>IF($B15="","","ACT-"&amp;TEXT(ROW()-4,"000"))</f>
        <v>0</v>
      </c>
      <c r="B15" t="s">
        <v>91</v>
      </c>
      <c r="C15" t="s">
        <v>5</v>
      </c>
      <c r="D15" t="s">
        <v>25</v>
      </c>
      <c r="F15" s="36">
        <v>46392</v>
      </c>
      <c r="G15" s="36">
        <v>46415</v>
      </c>
      <c r="H15" t="s">
        <v>19</v>
      </c>
      <c r="K15" t="s">
        <v>84</v>
      </c>
      <c r="M15" s="43">
        <f>IF(COUNTA($B15:$K15)=0,"",IF($B15="","Missing activity name",IF($C15="","Missing practice",IF(COUNTIF(PracticeNames,$C15)=0,"Practice not in Lists",IF($D15="","Missing motion",IF(NOT(ISNUMBER($F15)),"Missing or invalid start date",IF(AND(ISNUMBER($G15),$G15&lt;$F15),"End date before start",IF(AND($N15=1,$AA15=0),"Outside planning year","OK"))))))))</f>
        <v>0</v>
      </c>
      <c r="N15">
        <f>IF(AND($B15&lt;&gt;"",$C15&lt;&gt;"",$D15&lt;&gt;"",ISNUMBER($F15),COUNTIF(PracticeNames,$C15)&gt;0,COUNTIF(MotionNames,$D15)&gt;0,NOT(AND(ISNUMBER($G15),$G15&lt;$F15))),IF(StatusFilter="All (excl. Cancelled)",IF($H15="Cancelled",0,1),IF(StatusFilter="All",1,IF($H15=StatusFilter,1,0))),0)</f>
        <v>0</v>
      </c>
      <c r="O15">
        <f>IF($N15=0,0,IF(AND($F15&lt;=EOMONTH(DATE(PlanYear,1,1),0),IF(ISNUMBER($G15),$G15,$F15)&gt;=DATE(PlanYear,1,1)),1,0))</f>
        <v>0</v>
      </c>
      <c r="P15">
        <f>IF($N15=0,0,IF(AND($F15&lt;=EOMONTH(DATE(PlanYear,2,1),0),IF(ISNUMBER($G15),$G15,$F15)&gt;=DATE(PlanYear,2,1)),1,0))</f>
        <v>0</v>
      </c>
      <c r="Q15">
        <f>IF($N15=0,0,IF(AND($F15&lt;=EOMONTH(DATE(PlanYear,3,1),0),IF(ISNUMBER($G15),$G15,$F15)&gt;=DATE(PlanYear,3,1)),1,0))</f>
        <v>0</v>
      </c>
      <c r="R15">
        <f>IF($N15=0,0,IF(AND($F15&lt;=EOMONTH(DATE(PlanYear,4,1),0),IF(ISNUMBER($G15),$G15,$F15)&gt;=DATE(PlanYear,4,1)),1,0))</f>
        <v>0</v>
      </c>
      <c r="S15">
        <f>IF($N15=0,0,IF(AND($F15&lt;=EOMONTH(DATE(PlanYear,5,1),0),IF(ISNUMBER($G15),$G15,$F15)&gt;=DATE(PlanYear,5,1)),1,0))</f>
        <v>0</v>
      </c>
      <c r="T15">
        <f>IF($N15=0,0,IF(AND($F15&lt;=EOMONTH(DATE(PlanYear,6,1),0),IF(ISNUMBER($G15),$G15,$F15)&gt;=DATE(PlanYear,6,1)),1,0))</f>
        <v>0</v>
      </c>
      <c r="U15">
        <f>IF($N15=0,0,IF(AND($F15&lt;=EOMONTH(DATE(PlanYear,7,1),0),IF(ISNUMBER($G15),$G15,$F15)&gt;=DATE(PlanYear,7,1)),1,0))</f>
        <v>0</v>
      </c>
      <c r="V15">
        <f>IF($N15=0,0,IF(AND($F15&lt;=EOMONTH(DATE(PlanYear,8,1),0),IF(ISNUMBER($G15),$G15,$F15)&gt;=DATE(PlanYear,8,1)),1,0))</f>
        <v>0</v>
      </c>
      <c r="W15">
        <f>IF($N15=0,0,IF(AND($F15&lt;=EOMONTH(DATE(PlanYear,9,1),0),IF(ISNUMBER($G15),$G15,$F15)&gt;=DATE(PlanYear,9,1)),1,0))</f>
        <v>0</v>
      </c>
      <c r="X15">
        <f>IF($N15=0,0,IF(AND($F15&lt;=EOMONTH(DATE(PlanYear,10,1),0),IF(ISNUMBER($G15),$G15,$F15)&gt;=DATE(PlanYear,10,1)),1,0))</f>
        <v>0</v>
      </c>
      <c r="Y15">
        <f>IF($N15=0,0,IF(AND($F15&lt;=EOMONTH(DATE(PlanYear,11,1),0),IF(ISNUMBER($G15),$G15,$F15)&gt;=DATE(PlanYear,11,1)),1,0))</f>
        <v>0</v>
      </c>
      <c r="Z15">
        <f>IF($N15=0,0,IF(AND($F15&lt;=EOMONTH(DATE(PlanYear,12,1),0),IF(ISNUMBER($G15),$G15,$F15)&gt;=DATE(PlanYear,12,1)),1,0))</f>
        <v>0</v>
      </c>
      <c r="AA15">
        <f>SUM($O15:$Z15)</f>
        <v>0</v>
      </c>
    </row>
    <row r="16" spans="1:27">
      <c r="A16" s="42">
        <f>IF($B16="","","ACT-"&amp;TEXT(ROW()-4,"000"))</f>
        <v>0</v>
      </c>
      <c r="B16" t="s">
        <v>13</v>
      </c>
      <c r="C16" t="s">
        <v>5</v>
      </c>
      <c r="D16" t="s">
        <v>26</v>
      </c>
      <c r="E16" t="s">
        <v>13</v>
      </c>
      <c r="F16" s="36">
        <v>46451</v>
      </c>
      <c r="G16" s="36">
        <v>46474</v>
      </c>
      <c r="H16" t="s">
        <v>19</v>
      </c>
      <c r="K16" t="s">
        <v>84</v>
      </c>
      <c r="M16" s="43">
        <f>IF(COUNTA($B16:$K16)=0,"",IF($B16="","Missing activity name",IF($C16="","Missing practice",IF(COUNTIF(PracticeNames,$C16)=0,"Practice not in Lists",IF($D16="","Missing motion",IF(NOT(ISNUMBER($F16)),"Missing or invalid start date",IF(AND(ISNUMBER($G16),$G16&lt;$F16),"End date before start",IF(AND($N16=1,$AA16=0),"Outside planning year","OK"))))))))</f>
        <v>0</v>
      </c>
      <c r="N16">
        <f>IF(AND($B16&lt;&gt;"",$C16&lt;&gt;"",$D16&lt;&gt;"",ISNUMBER($F16),COUNTIF(PracticeNames,$C16)&gt;0,COUNTIF(MotionNames,$D16)&gt;0,NOT(AND(ISNUMBER($G16),$G16&lt;$F16))),IF(StatusFilter="All (excl. Cancelled)",IF($H16="Cancelled",0,1),IF(StatusFilter="All",1,IF($H16=StatusFilter,1,0))),0)</f>
        <v>0</v>
      </c>
      <c r="O16">
        <f>IF($N16=0,0,IF(AND($F16&lt;=EOMONTH(DATE(PlanYear,1,1),0),IF(ISNUMBER($G16),$G16,$F16)&gt;=DATE(PlanYear,1,1)),1,0))</f>
        <v>0</v>
      </c>
      <c r="P16">
        <f>IF($N16=0,0,IF(AND($F16&lt;=EOMONTH(DATE(PlanYear,2,1),0),IF(ISNUMBER($G16),$G16,$F16)&gt;=DATE(PlanYear,2,1)),1,0))</f>
        <v>0</v>
      </c>
      <c r="Q16">
        <f>IF($N16=0,0,IF(AND($F16&lt;=EOMONTH(DATE(PlanYear,3,1),0),IF(ISNUMBER($G16),$G16,$F16)&gt;=DATE(PlanYear,3,1)),1,0))</f>
        <v>0</v>
      </c>
      <c r="R16">
        <f>IF($N16=0,0,IF(AND($F16&lt;=EOMONTH(DATE(PlanYear,4,1),0),IF(ISNUMBER($G16),$G16,$F16)&gt;=DATE(PlanYear,4,1)),1,0))</f>
        <v>0</v>
      </c>
      <c r="S16">
        <f>IF($N16=0,0,IF(AND($F16&lt;=EOMONTH(DATE(PlanYear,5,1),0),IF(ISNUMBER($G16),$G16,$F16)&gt;=DATE(PlanYear,5,1)),1,0))</f>
        <v>0</v>
      </c>
      <c r="T16">
        <f>IF($N16=0,0,IF(AND($F16&lt;=EOMONTH(DATE(PlanYear,6,1),0),IF(ISNUMBER($G16),$G16,$F16)&gt;=DATE(PlanYear,6,1)),1,0))</f>
        <v>0</v>
      </c>
      <c r="U16">
        <f>IF($N16=0,0,IF(AND($F16&lt;=EOMONTH(DATE(PlanYear,7,1),0),IF(ISNUMBER($G16),$G16,$F16)&gt;=DATE(PlanYear,7,1)),1,0))</f>
        <v>0</v>
      </c>
      <c r="V16">
        <f>IF($N16=0,0,IF(AND($F16&lt;=EOMONTH(DATE(PlanYear,8,1),0),IF(ISNUMBER($G16),$G16,$F16)&gt;=DATE(PlanYear,8,1)),1,0))</f>
        <v>0</v>
      </c>
      <c r="W16">
        <f>IF($N16=0,0,IF(AND($F16&lt;=EOMONTH(DATE(PlanYear,9,1),0),IF(ISNUMBER($G16),$G16,$F16)&gt;=DATE(PlanYear,9,1)),1,0))</f>
        <v>0</v>
      </c>
      <c r="X16">
        <f>IF($N16=0,0,IF(AND($F16&lt;=EOMONTH(DATE(PlanYear,10,1),0),IF(ISNUMBER($G16),$G16,$F16)&gt;=DATE(PlanYear,10,1)),1,0))</f>
        <v>0</v>
      </c>
      <c r="Y16">
        <f>IF($N16=0,0,IF(AND($F16&lt;=EOMONTH(DATE(PlanYear,11,1),0),IF(ISNUMBER($G16),$G16,$F16)&gt;=DATE(PlanYear,11,1)),1,0))</f>
        <v>0</v>
      </c>
      <c r="Z16">
        <f>IF($N16=0,0,IF(AND($F16&lt;=EOMONTH(DATE(PlanYear,12,1),0),IF(ISNUMBER($G16),$G16,$F16)&gt;=DATE(PlanYear,12,1)),1,0))</f>
        <v>0</v>
      </c>
      <c r="AA16">
        <f>SUM($O16:$Z16)</f>
        <v>0</v>
      </c>
    </row>
    <row r="17" spans="1:27">
      <c r="A17" s="42">
        <f>IF($B17="","","ACT-"&amp;TEXT(ROW()-4,"000"))</f>
        <v>0</v>
      </c>
      <c r="B17" t="s">
        <v>86</v>
      </c>
      <c r="C17" t="s">
        <v>5</v>
      </c>
      <c r="D17" t="s">
        <v>27</v>
      </c>
      <c r="E17" t="s">
        <v>8</v>
      </c>
      <c r="F17" s="36">
        <v>46492</v>
      </c>
      <c r="H17" t="s">
        <v>19</v>
      </c>
      <c r="K17" t="s">
        <v>84</v>
      </c>
      <c r="M17" s="43">
        <f>IF(COUNTA($B17:$K17)=0,"",IF($B17="","Missing activity name",IF($C17="","Missing practice",IF(COUNTIF(PracticeNames,$C17)=0,"Practice not in Lists",IF($D17="","Missing motion",IF(NOT(ISNUMBER($F17)),"Missing or invalid start date",IF(AND(ISNUMBER($G17),$G17&lt;$F17),"End date before start",IF(AND($N17=1,$AA17=0),"Outside planning year","OK"))))))))</f>
        <v>0</v>
      </c>
      <c r="N17">
        <f>IF(AND($B17&lt;&gt;"",$C17&lt;&gt;"",$D17&lt;&gt;"",ISNUMBER($F17),COUNTIF(PracticeNames,$C17)&gt;0,COUNTIF(MotionNames,$D17)&gt;0,NOT(AND(ISNUMBER($G17),$G17&lt;$F17))),IF(StatusFilter="All (excl. Cancelled)",IF($H17="Cancelled",0,1),IF(StatusFilter="All",1,IF($H17=StatusFilter,1,0))),0)</f>
        <v>0</v>
      </c>
      <c r="O17">
        <f>IF($N17=0,0,IF(AND($F17&lt;=EOMONTH(DATE(PlanYear,1,1),0),IF(ISNUMBER($G17),$G17,$F17)&gt;=DATE(PlanYear,1,1)),1,0))</f>
        <v>0</v>
      </c>
      <c r="P17">
        <f>IF($N17=0,0,IF(AND($F17&lt;=EOMONTH(DATE(PlanYear,2,1),0),IF(ISNUMBER($G17),$G17,$F17)&gt;=DATE(PlanYear,2,1)),1,0))</f>
        <v>0</v>
      </c>
      <c r="Q17">
        <f>IF($N17=0,0,IF(AND($F17&lt;=EOMONTH(DATE(PlanYear,3,1),0),IF(ISNUMBER($G17),$G17,$F17)&gt;=DATE(PlanYear,3,1)),1,0))</f>
        <v>0</v>
      </c>
      <c r="R17">
        <f>IF($N17=0,0,IF(AND($F17&lt;=EOMONTH(DATE(PlanYear,4,1),0),IF(ISNUMBER($G17),$G17,$F17)&gt;=DATE(PlanYear,4,1)),1,0))</f>
        <v>0</v>
      </c>
      <c r="S17">
        <f>IF($N17=0,0,IF(AND($F17&lt;=EOMONTH(DATE(PlanYear,5,1),0),IF(ISNUMBER($G17),$G17,$F17)&gt;=DATE(PlanYear,5,1)),1,0))</f>
        <v>0</v>
      </c>
      <c r="T17">
        <f>IF($N17=0,0,IF(AND($F17&lt;=EOMONTH(DATE(PlanYear,6,1),0),IF(ISNUMBER($G17),$G17,$F17)&gt;=DATE(PlanYear,6,1)),1,0))</f>
        <v>0</v>
      </c>
      <c r="U17">
        <f>IF($N17=0,0,IF(AND($F17&lt;=EOMONTH(DATE(PlanYear,7,1),0),IF(ISNUMBER($G17),$G17,$F17)&gt;=DATE(PlanYear,7,1)),1,0))</f>
        <v>0</v>
      </c>
      <c r="V17">
        <f>IF($N17=0,0,IF(AND($F17&lt;=EOMONTH(DATE(PlanYear,8,1),0),IF(ISNUMBER($G17),$G17,$F17)&gt;=DATE(PlanYear,8,1)),1,0))</f>
        <v>0</v>
      </c>
      <c r="W17">
        <f>IF($N17=0,0,IF(AND($F17&lt;=EOMONTH(DATE(PlanYear,9,1),0),IF(ISNUMBER($G17),$G17,$F17)&gt;=DATE(PlanYear,9,1)),1,0))</f>
        <v>0</v>
      </c>
      <c r="X17">
        <f>IF($N17=0,0,IF(AND($F17&lt;=EOMONTH(DATE(PlanYear,10,1),0),IF(ISNUMBER($G17),$G17,$F17)&gt;=DATE(PlanYear,10,1)),1,0))</f>
        <v>0</v>
      </c>
      <c r="Y17">
        <f>IF($N17=0,0,IF(AND($F17&lt;=EOMONTH(DATE(PlanYear,11,1),0),IF(ISNUMBER($G17),$G17,$F17)&gt;=DATE(PlanYear,11,1)),1,0))</f>
        <v>0</v>
      </c>
      <c r="Z17">
        <f>IF($N17=0,0,IF(AND($F17&lt;=EOMONTH(DATE(PlanYear,12,1),0),IF(ISNUMBER($G17),$G17,$F17)&gt;=DATE(PlanYear,12,1)),1,0))</f>
        <v>0</v>
      </c>
      <c r="AA17">
        <f>SUM($O17:$Z17)</f>
        <v>0</v>
      </c>
    </row>
    <row r="18" spans="1:27">
      <c r="A18" s="42">
        <f>IF($B18="","","ACT-"&amp;TEXT(ROW()-4,"000"))</f>
        <v>0</v>
      </c>
      <c r="B18" t="s">
        <v>92</v>
      </c>
      <c r="C18" t="s">
        <v>5</v>
      </c>
      <c r="D18" t="s">
        <v>27</v>
      </c>
      <c r="F18" s="36">
        <v>46512</v>
      </c>
      <c r="G18" s="36">
        <v>46535</v>
      </c>
      <c r="H18" t="s">
        <v>19</v>
      </c>
      <c r="K18" t="s">
        <v>84</v>
      </c>
      <c r="M18" s="43">
        <f>IF(COUNTA($B18:$K18)=0,"",IF($B18="","Missing activity name",IF($C18="","Missing practice",IF(COUNTIF(PracticeNames,$C18)=0,"Practice not in Lists",IF($D18="","Missing motion",IF(NOT(ISNUMBER($F18)),"Missing or invalid start date",IF(AND(ISNUMBER($G18),$G18&lt;$F18),"End date before start",IF(AND($N18=1,$AA18=0),"Outside planning year","OK"))))))))</f>
        <v>0</v>
      </c>
      <c r="N18">
        <f>IF(AND($B18&lt;&gt;"",$C18&lt;&gt;"",$D18&lt;&gt;"",ISNUMBER($F18),COUNTIF(PracticeNames,$C18)&gt;0,COUNTIF(MotionNames,$D18)&gt;0,NOT(AND(ISNUMBER($G18),$G18&lt;$F18))),IF(StatusFilter="All (excl. Cancelled)",IF($H18="Cancelled",0,1),IF(StatusFilter="All",1,IF($H18=StatusFilter,1,0))),0)</f>
        <v>0</v>
      </c>
      <c r="O18">
        <f>IF($N18=0,0,IF(AND($F18&lt;=EOMONTH(DATE(PlanYear,1,1),0),IF(ISNUMBER($G18),$G18,$F18)&gt;=DATE(PlanYear,1,1)),1,0))</f>
        <v>0</v>
      </c>
      <c r="P18">
        <f>IF($N18=0,0,IF(AND($F18&lt;=EOMONTH(DATE(PlanYear,2,1),0),IF(ISNUMBER($G18),$G18,$F18)&gt;=DATE(PlanYear,2,1)),1,0))</f>
        <v>0</v>
      </c>
      <c r="Q18">
        <f>IF($N18=0,0,IF(AND($F18&lt;=EOMONTH(DATE(PlanYear,3,1),0),IF(ISNUMBER($G18),$G18,$F18)&gt;=DATE(PlanYear,3,1)),1,0))</f>
        <v>0</v>
      </c>
      <c r="R18">
        <f>IF($N18=0,0,IF(AND($F18&lt;=EOMONTH(DATE(PlanYear,4,1),0),IF(ISNUMBER($G18),$G18,$F18)&gt;=DATE(PlanYear,4,1)),1,0))</f>
        <v>0</v>
      </c>
      <c r="S18">
        <f>IF($N18=0,0,IF(AND($F18&lt;=EOMONTH(DATE(PlanYear,5,1),0),IF(ISNUMBER($G18),$G18,$F18)&gt;=DATE(PlanYear,5,1)),1,0))</f>
        <v>0</v>
      </c>
      <c r="T18">
        <f>IF($N18=0,0,IF(AND($F18&lt;=EOMONTH(DATE(PlanYear,6,1),0),IF(ISNUMBER($G18),$G18,$F18)&gt;=DATE(PlanYear,6,1)),1,0))</f>
        <v>0</v>
      </c>
      <c r="U18">
        <f>IF($N18=0,0,IF(AND($F18&lt;=EOMONTH(DATE(PlanYear,7,1),0),IF(ISNUMBER($G18),$G18,$F18)&gt;=DATE(PlanYear,7,1)),1,0))</f>
        <v>0</v>
      </c>
      <c r="V18">
        <f>IF($N18=0,0,IF(AND($F18&lt;=EOMONTH(DATE(PlanYear,8,1),0),IF(ISNUMBER($G18),$G18,$F18)&gt;=DATE(PlanYear,8,1)),1,0))</f>
        <v>0</v>
      </c>
      <c r="W18">
        <f>IF($N18=0,0,IF(AND($F18&lt;=EOMONTH(DATE(PlanYear,9,1),0),IF(ISNUMBER($G18),$G18,$F18)&gt;=DATE(PlanYear,9,1)),1,0))</f>
        <v>0</v>
      </c>
      <c r="X18">
        <f>IF($N18=0,0,IF(AND($F18&lt;=EOMONTH(DATE(PlanYear,10,1),0),IF(ISNUMBER($G18),$G18,$F18)&gt;=DATE(PlanYear,10,1)),1,0))</f>
        <v>0</v>
      </c>
      <c r="Y18">
        <f>IF($N18=0,0,IF(AND($F18&lt;=EOMONTH(DATE(PlanYear,11,1),0),IF(ISNUMBER($G18),$G18,$F18)&gt;=DATE(PlanYear,11,1)),1,0))</f>
        <v>0</v>
      </c>
      <c r="Z18">
        <f>IF($N18=0,0,IF(AND($F18&lt;=EOMONTH(DATE(PlanYear,12,1),0),IF(ISNUMBER($G18),$G18,$F18)&gt;=DATE(PlanYear,12,1)),1,0))</f>
        <v>0</v>
      </c>
      <c r="AA18">
        <f>SUM($O18:$Z18)</f>
        <v>0</v>
      </c>
    </row>
    <row r="19" spans="1:27">
      <c r="A19" s="42">
        <f>IF($B19="","","ACT-"&amp;TEXT(ROW()-4,"000"))</f>
        <v>0</v>
      </c>
      <c r="B19" t="s">
        <v>93</v>
      </c>
      <c r="C19" t="s">
        <v>5</v>
      </c>
      <c r="D19" t="s">
        <v>27</v>
      </c>
      <c r="F19" s="36">
        <v>46539</v>
      </c>
      <c r="G19" s="36">
        <v>46630</v>
      </c>
      <c r="H19" t="s">
        <v>19</v>
      </c>
      <c r="K19" t="s">
        <v>84</v>
      </c>
      <c r="M19" s="43">
        <f>IF(COUNTA($B19:$K19)=0,"",IF($B19="","Missing activity name",IF($C19="","Missing practice",IF(COUNTIF(PracticeNames,$C19)=0,"Practice not in Lists",IF($D19="","Missing motion",IF(NOT(ISNUMBER($F19)),"Missing or invalid start date",IF(AND(ISNUMBER($G19),$G19&lt;$F19),"End date before start",IF(AND($N19=1,$AA19=0),"Outside planning year","OK"))))))))</f>
        <v>0</v>
      </c>
      <c r="N19">
        <f>IF(AND($B19&lt;&gt;"",$C19&lt;&gt;"",$D19&lt;&gt;"",ISNUMBER($F19),COUNTIF(PracticeNames,$C19)&gt;0,COUNTIF(MotionNames,$D19)&gt;0,NOT(AND(ISNUMBER($G19),$G19&lt;$F19))),IF(StatusFilter="All (excl. Cancelled)",IF($H19="Cancelled",0,1),IF(StatusFilter="All",1,IF($H19=StatusFilter,1,0))),0)</f>
        <v>0</v>
      </c>
      <c r="O19">
        <f>IF($N19=0,0,IF(AND($F19&lt;=EOMONTH(DATE(PlanYear,1,1),0),IF(ISNUMBER($G19),$G19,$F19)&gt;=DATE(PlanYear,1,1)),1,0))</f>
        <v>0</v>
      </c>
      <c r="P19">
        <f>IF($N19=0,0,IF(AND($F19&lt;=EOMONTH(DATE(PlanYear,2,1),0),IF(ISNUMBER($G19),$G19,$F19)&gt;=DATE(PlanYear,2,1)),1,0))</f>
        <v>0</v>
      </c>
      <c r="Q19">
        <f>IF($N19=0,0,IF(AND($F19&lt;=EOMONTH(DATE(PlanYear,3,1),0),IF(ISNUMBER($G19),$G19,$F19)&gt;=DATE(PlanYear,3,1)),1,0))</f>
        <v>0</v>
      </c>
      <c r="R19">
        <f>IF($N19=0,0,IF(AND($F19&lt;=EOMONTH(DATE(PlanYear,4,1),0),IF(ISNUMBER($G19),$G19,$F19)&gt;=DATE(PlanYear,4,1)),1,0))</f>
        <v>0</v>
      </c>
      <c r="S19">
        <f>IF($N19=0,0,IF(AND($F19&lt;=EOMONTH(DATE(PlanYear,5,1),0),IF(ISNUMBER($G19),$G19,$F19)&gt;=DATE(PlanYear,5,1)),1,0))</f>
        <v>0</v>
      </c>
      <c r="T19">
        <f>IF($N19=0,0,IF(AND($F19&lt;=EOMONTH(DATE(PlanYear,6,1),0),IF(ISNUMBER($G19),$G19,$F19)&gt;=DATE(PlanYear,6,1)),1,0))</f>
        <v>0</v>
      </c>
      <c r="U19">
        <f>IF($N19=0,0,IF(AND($F19&lt;=EOMONTH(DATE(PlanYear,7,1),0),IF(ISNUMBER($G19),$G19,$F19)&gt;=DATE(PlanYear,7,1)),1,0))</f>
        <v>0</v>
      </c>
      <c r="V19">
        <f>IF($N19=0,0,IF(AND($F19&lt;=EOMONTH(DATE(PlanYear,8,1),0),IF(ISNUMBER($G19),$G19,$F19)&gt;=DATE(PlanYear,8,1)),1,0))</f>
        <v>0</v>
      </c>
      <c r="W19">
        <f>IF($N19=0,0,IF(AND($F19&lt;=EOMONTH(DATE(PlanYear,9,1),0),IF(ISNUMBER($G19),$G19,$F19)&gt;=DATE(PlanYear,9,1)),1,0))</f>
        <v>0</v>
      </c>
      <c r="X19">
        <f>IF($N19=0,0,IF(AND($F19&lt;=EOMONTH(DATE(PlanYear,10,1),0),IF(ISNUMBER($G19),$G19,$F19)&gt;=DATE(PlanYear,10,1)),1,0))</f>
        <v>0</v>
      </c>
      <c r="Y19">
        <f>IF($N19=0,0,IF(AND($F19&lt;=EOMONTH(DATE(PlanYear,11,1),0),IF(ISNUMBER($G19),$G19,$F19)&gt;=DATE(PlanYear,11,1)),1,0))</f>
        <v>0</v>
      </c>
      <c r="Z19">
        <f>IF($N19=0,0,IF(AND($F19&lt;=EOMONTH(DATE(PlanYear,12,1),0),IF(ISNUMBER($G19),$G19,$F19)&gt;=DATE(PlanYear,12,1)),1,0))</f>
        <v>0</v>
      </c>
      <c r="AA19">
        <f>SUM($O19:$Z19)</f>
        <v>0</v>
      </c>
    </row>
    <row r="20" spans="1:27">
      <c r="A20" s="42">
        <f>IF($B20="","","ACT-"&amp;TEXT(ROW()-4,"000"))</f>
        <v>0</v>
      </c>
      <c r="B20" t="s">
        <v>94</v>
      </c>
      <c r="C20" t="s">
        <v>6</v>
      </c>
      <c r="D20" t="s">
        <v>25</v>
      </c>
      <c r="F20" s="36">
        <v>46423</v>
      </c>
      <c r="G20" s="36">
        <v>46443</v>
      </c>
      <c r="H20" t="s">
        <v>19</v>
      </c>
      <c r="K20" t="s">
        <v>84</v>
      </c>
      <c r="M20" s="43">
        <f>IF(COUNTA($B20:$K20)=0,"",IF($B20="","Missing activity name",IF($C20="","Missing practice",IF(COUNTIF(PracticeNames,$C20)=0,"Practice not in Lists",IF($D20="","Missing motion",IF(NOT(ISNUMBER($F20)),"Missing or invalid start date",IF(AND(ISNUMBER($G20),$G20&lt;$F20),"End date before start",IF(AND($N20=1,$AA20=0),"Outside planning year","OK"))))))))</f>
        <v>0</v>
      </c>
      <c r="N20">
        <f>IF(AND($B20&lt;&gt;"",$C20&lt;&gt;"",$D20&lt;&gt;"",ISNUMBER($F20),COUNTIF(PracticeNames,$C20)&gt;0,COUNTIF(MotionNames,$D20)&gt;0,NOT(AND(ISNUMBER($G20),$G20&lt;$F20))),IF(StatusFilter="All (excl. Cancelled)",IF($H20="Cancelled",0,1),IF(StatusFilter="All",1,IF($H20=StatusFilter,1,0))),0)</f>
        <v>0</v>
      </c>
      <c r="O20">
        <f>IF($N20=0,0,IF(AND($F20&lt;=EOMONTH(DATE(PlanYear,1,1),0),IF(ISNUMBER($G20),$G20,$F20)&gt;=DATE(PlanYear,1,1)),1,0))</f>
        <v>0</v>
      </c>
      <c r="P20">
        <f>IF($N20=0,0,IF(AND($F20&lt;=EOMONTH(DATE(PlanYear,2,1),0),IF(ISNUMBER($G20),$G20,$F20)&gt;=DATE(PlanYear,2,1)),1,0))</f>
        <v>0</v>
      </c>
      <c r="Q20">
        <f>IF($N20=0,0,IF(AND($F20&lt;=EOMONTH(DATE(PlanYear,3,1),0),IF(ISNUMBER($G20),$G20,$F20)&gt;=DATE(PlanYear,3,1)),1,0))</f>
        <v>0</v>
      </c>
      <c r="R20">
        <f>IF($N20=0,0,IF(AND($F20&lt;=EOMONTH(DATE(PlanYear,4,1),0),IF(ISNUMBER($G20),$G20,$F20)&gt;=DATE(PlanYear,4,1)),1,0))</f>
        <v>0</v>
      </c>
      <c r="S20">
        <f>IF($N20=0,0,IF(AND($F20&lt;=EOMONTH(DATE(PlanYear,5,1),0),IF(ISNUMBER($G20),$G20,$F20)&gt;=DATE(PlanYear,5,1)),1,0))</f>
        <v>0</v>
      </c>
      <c r="T20">
        <f>IF($N20=0,0,IF(AND($F20&lt;=EOMONTH(DATE(PlanYear,6,1),0),IF(ISNUMBER($G20),$G20,$F20)&gt;=DATE(PlanYear,6,1)),1,0))</f>
        <v>0</v>
      </c>
      <c r="U20">
        <f>IF($N20=0,0,IF(AND($F20&lt;=EOMONTH(DATE(PlanYear,7,1),0),IF(ISNUMBER($G20),$G20,$F20)&gt;=DATE(PlanYear,7,1)),1,0))</f>
        <v>0</v>
      </c>
      <c r="V20">
        <f>IF($N20=0,0,IF(AND($F20&lt;=EOMONTH(DATE(PlanYear,8,1),0),IF(ISNUMBER($G20),$G20,$F20)&gt;=DATE(PlanYear,8,1)),1,0))</f>
        <v>0</v>
      </c>
      <c r="W20">
        <f>IF($N20=0,0,IF(AND($F20&lt;=EOMONTH(DATE(PlanYear,9,1),0),IF(ISNUMBER($G20),$G20,$F20)&gt;=DATE(PlanYear,9,1)),1,0))</f>
        <v>0</v>
      </c>
      <c r="X20">
        <f>IF($N20=0,0,IF(AND($F20&lt;=EOMONTH(DATE(PlanYear,10,1),0),IF(ISNUMBER($G20),$G20,$F20)&gt;=DATE(PlanYear,10,1)),1,0))</f>
        <v>0</v>
      </c>
      <c r="Y20">
        <f>IF($N20=0,0,IF(AND($F20&lt;=EOMONTH(DATE(PlanYear,11,1),0),IF(ISNUMBER($G20),$G20,$F20)&gt;=DATE(PlanYear,11,1)),1,0))</f>
        <v>0</v>
      </c>
      <c r="Z20">
        <f>IF($N20=0,0,IF(AND($F20&lt;=EOMONTH(DATE(PlanYear,12,1),0),IF(ISNUMBER($G20),$G20,$F20)&gt;=DATE(PlanYear,12,1)),1,0))</f>
        <v>0</v>
      </c>
      <c r="AA20">
        <f>SUM($O20:$Z20)</f>
        <v>0</v>
      </c>
    </row>
    <row r="21" spans="1:27">
      <c r="A21" s="42">
        <f>IF($B21="","","ACT-"&amp;TEXT(ROW()-4,"000"))</f>
        <v>0</v>
      </c>
      <c r="B21" t="s">
        <v>95</v>
      </c>
      <c r="C21" t="s">
        <v>6</v>
      </c>
      <c r="D21" t="s">
        <v>26</v>
      </c>
      <c r="F21" s="36">
        <v>46451</v>
      </c>
      <c r="G21" s="36">
        <v>46474</v>
      </c>
      <c r="H21" t="s">
        <v>19</v>
      </c>
      <c r="K21" t="s">
        <v>84</v>
      </c>
      <c r="M21" s="43">
        <f>IF(COUNTA($B21:$K21)=0,"",IF($B21="","Missing activity name",IF($C21="","Missing practice",IF(COUNTIF(PracticeNames,$C21)=0,"Practice not in Lists",IF($D21="","Missing motion",IF(NOT(ISNUMBER($F21)),"Missing or invalid start date",IF(AND(ISNUMBER($G21),$G21&lt;$F21),"End date before start",IF(AND($N21=1,$AA21=0),"Outside planning year","OK"))))))))</f>
        <v>0</v>
      </c>
      <c r="N21">
        <f>IF(AND($B21&lt;&gt;"",$C21&lt;&gt;"",$D21&lt;&gt;"",ISNUMBER($F21),COUNTIF(PracticeNames,$C21)&gt;0,COUNTIF(MotionNames,$D21)&gt;0,NOT(AND(ISNUMBER($G21),$G21&lt;$F21))),IF(StatusFilter="All (excl. Cancelled)",IF($H21="Cancelled",0,1),IF(StatusFilter="All",1,IF($H21=StatusFilter,1,0))),0)</f>
        <v>0</v>
      </c>
      <c r="O21">
        <f>IF($N21=0,0,IF(AND($F21&lt;=EOMONTH(DATE(PlanYear,1,1),0),IF(ISNUMBER($G21),$G21,$F21)&gt;=DATE(PlanYear,1,1)),1,0))</f>
        <v>0</v>
      </c>
      <c r="P21">
        <f>IF($N21=0,0,IF(AND($F21&lt;=EOMONTH(DATE(PlanYear,2,1),0),IF(ISNUMBER($G21),$G21,$F21)&gt;=DATE(PlanYear,2,1)),1,0))</f>
        <v>0</v>
      </c>
      <c r="Q21">
        <f>IF($N21=0,0,IF(AND($F21&lt;=EOMONTH(DATE(PlanYear,3,1),0),IF(ISNUMBER($G21),$G21,$F21)&gt;=DATE(PlanYear,3,1)),1,0))</f>
        <v>0</v>
      </c>
      <c r="R21">
        <f>IF($N21=0,0,IF(AND($F21&lt;=EOMONTH(DATE(PlanYear,4,1),0),IF(ISNUMBER($G21),$G21,$F21)&gt;=DATE(PlanYear,4,1)),1,0))</f>
        <v>0</v>
      </c>
      <c r="S21">
        <f>IF($N21=0,0,IF(AND($F21&lt;=EOMONTH(DATE(PlanYear,5,1),0),IF(ISNUMBER($G21),$G21,$F21)&gt;=DATE(PlanYear,5,1)),1,0))</f>
        <v>0</v>
      </c>
      <c r="T21">
        <f>IF($N21=0,0,IF(AND($F21&lt;=EOMONTH(DATE(PlanYear,6,1),0),IF(ISNUMBER($G21),$G21,$F21)&gt;=DATE(PlanYear,6,1)),1,0))</f>
        <v>0</v>
      </c>
      <c r="U21">
        <f>IF($N21=0,0,IF(AND($F21&lt;=EOMONTH(DATE(PlanYear,7,1),0),IF(ISNUMBER($G21),$G21,$F21)&gt;=DATE(PlanYear,7,1)),1,0))</f>
        <v>0</v>
      </c>
      <c r="V21">
        <f>IF($N21=0,0,IF(AND($F21&lt;=EOMONTH(DATE(PlanYear,8,1),0),IF(ISNUMBER($G21),$G21,$F21)&gt;=DATE(PlanYear,8,1)),1,0))</f>
        <v>0</v>
      </c>
      <c r="W21">
        <f>IF($N21=0,0,IF(AND($F21&lt;=EOMONTH(DATE(PlanYear,9,1),0),IF(ISNUMBER($G21),$G21,$F21)&gt;=DATE(PlanYear,9,1)),1,0))</f>
        <v>0</v>
      </c>
      <c r="X21">
        <f>IF($N21=0,0,IF(AND($F21&lt;=EOMONTH(DATE(PlanYear,10,1),0),IF(ISNUMBER($G21),$G21,$F21)&gt;=DATE(PlanYear,10,1)),1,0))</f>
        <v>0</v>
      </c>
      <c r="Y21">
        <f>IF($N21=0,0,IF(AND($F21&lt;=EOMONTH(DATE(PlanYear,11,1),0),IF(ISNUMBER($G21),$G21,$F21)&gt;=DATE(PlanYear,11,1)),1,0))</f>
        <v>0</v>
      </c>
      <c r="Z21">
        <f>IF($N21=0,0,IF(AND($F21&lt;=EOMONTH(DATE(PlanYear,12,1),0),IF(ISNUMBER($G21),$G21,$F21)&gt;=DATE(PlanYear,12,1)),1,0))</f>
        <v>0</v>
      </c>
      <c r="AA21">
        <f>SUM($O21:$Z21)</f>
        <v>0</v>
      </c>
    </row>
    <row r="22" spans="1:27">
      <c r="A22" s="42">
        <f>IF($B22="","","ACT-"&amp;TEXT(ROW()-4,"000"))</f>
        <v>0</v>
      </c>
      <c r="B22" t="s">
        <v>96</v>
      </c>
      <c r="C22" t="s">
        <v>6</v>
      </c>
      <c r="D22" t="s">
        <v>27</v>
      </c>
      <c r="E22" t="s">
        <v>8</v>
      </c>
      <c r="F22" s="36">
        <v>46522</v>
      </c>
      <c r="H22" t="s">
        <v>19</v>
      </c>
      <c r="K22" t="s">
        <v>84</v>
      </c>
      <c r="M22" s="43">
        <f>IF(COUNTA($B22:$K22)=0,"",IF($B22="","Missing activity name",IF($C22="","Missing practice",IF(COUNTIF(PracticeNames,$C22)=0,"Practice not in Lists",IF($D22="","Missing motion",IF(NOT(ISNUMBER($F22)),"Missing or invalid start date",IF(AND(ISNUMBER($G22),$G22&lt;$F22),"End date before start",IF(AND($N22=1,$AA22=0),"Outside planning year","OK"))))))))</f>
        <v>0</v>
      </c>
      <c r="N22">
        <f>IF(AND($B22&lt;&gt;"",$C22&lt;&gt;"",$D22&lt;&gt;"",ISNUMBER($F22),COUNTIF(PracticeNames,$C22)&gt;0,COUNTIF(MotionNames,$D22)&gt;0,NOT(AND(ISNUMBER($G22),$G22&lt;$F22))),IF(StatusFilter="All (excl. Cancelled)",IF($H22="Cancelled",0,1),IF(StatusFilter="All",1,IF($H22=StatusFilter,1,0))),0)</f>
        <v>0</v>
      </c>
      <c r="O22">
        <f>IF($N22=0,0,IF(AND($F22&lt;=EOMONTH(DATE(PlanYear,1,1),0),IF(ISNUMBER($G22),$G22,$F22)&gt;=DATE(PlanYear,1,1)),1,0))</f>
        <v>0</v>
      </c>
      <c r="P22">
        <f>IF($N22=0,0,IF(AND($F22&lt;=EOMONTH(DATE(PlanYear,2,1),0),IF(ISNUMBER($G22),$G22,$F22)&gt;=DATE(PlanYear,2,1)),1,0))</f>
        <v>0</v>
      </c>
      <c r="Q22">
        <f>IF($N22=0,0,IF(AND($F22&lt;=EOMONTH(DATE(PlanYear,3,1),0),IF(ISNUMBER($G22),$G22,$F22)&gt;=DATE(PlanYear,3,1)),1,0))</f>
        <v>0</v>
      </c>
      <c r="R22">
        <f>IF($N22=0,0,IF(AND($F22&lt;=EOMONTH(DATE(PlanYear,4,1),0),IF(ISNUMBER($G22),$G22,$F22)&gt;=DATE(PlanYear,4,1)),1,0))</f>
        <v>0</v>
      </c>
      <c r="S22">
        <f>IF($N22=0,0,IF(AND($F22&lt;=EOMONTH(DATE(PlanYear,5,1),0),IF(ISNUMBER($G22),$G22,$F22)&gt;=DATE(PlanYear,5,1)),1,0))</f>
        <v>0</v>
      </c>
      <c r="T22">
        <f>IF($N22=0,0,IF(AND($F22&lt;=EOMONTH(DATE(PlanYear,6,1),0),IF(ISNUMBER($G22),$G22,$F22)&gt;=DATE(PlanYear,6,1)),1,0))</f>
        <v>0</v>
      </c>
      <c r="U22">
        <f>IF($N22=0,0,IF(AND($F22&lt;=EOMONTH(DATE(PlanYear,7,1),0),IF(ISNUMBER($G22),$G22,$F22)&gt;=DATE(PlanYear,7,1)),1,0))</f>
        <v>0</v>
      </c>
      <c r="V22">
        <f>IF($N22=0,0,IF(AND($F22&lt;=EOMONTH(DATE(PlanYear,8,1),0),IF(ISNUMBER($G22),$G22,$F22)&gt;=DATE(PlanYear,8,1)),1,0))</f>
        <v>0</v>
      </c>
      <c r="W22">
        <f>IF($N22=0,0,IF(AND($F22&lt;=EOMONTH(DATE(PlanYear,9,1),0),IF(ISNUMBER($G22),$G22,$F22)&gt;=DATE(PlanYear,9,1)),1,0))</f>
        <v>0</v>
      </c>
      <c r="X22">
        <f>IF($N22=0,0,IF(AND($F22&lt;=EOMONTH(DATE(PlanYear,10,1),0),IF(ISNUMBER($G22),$G22,$F22)&gt;=DATE(PlanYear,10,1)),1,0))</f>
        <v>0</v>
      </c>
      <c r="Y22">
        <f>IF($N22=0,0,IF(AND($F22&lt;=EOMONTH(DATE(PlanYear,11,1),0),IF(ISNUMBER($G22),$G22,$F22)&gt;=DATE(PlanYear,11,1)),1,0))</f>
        <v>0</v>
      </c>
      <c r="Z22">
        <f>IF($N22=0,0,IF(AND($F22&lt;=EOMONTH(DATE(PlanYear,12,1),0),IF(ISNUMBER($G22),$G22,$F22)&gt;=DATE(PlanYear,12,1)),1,0))</f>
        <v>0</v>
      </c>
      <c r="AA22">
        <f>SUM($O22:$Z22)</f>
        <v>0</v>
      </c>
    </row>
    <row r="23" spans="1:27">
      <c r="A23" s="42">
        <f>IF($B23="","","ACT-"&amp;TEXT(ROW()-4,"000"))</f>
        <v>0</v>
      </c>
      <c r="B23" t="s">
        <v>97</v>
      </c>
      <c r="C23" t="s">
        <v>6</v>
      </c>
      <c r="D23" t="s">
        <v>27</v>
      </c>
      <c r="F23" s="36">
        <v>46543</v>
      </c>
      <c r="G23" s="36">
        <v>46565</v>
      </c>
      <c r="H23" t="s">
        <v>19</v>
      </c>
      <c r="K23" t="s">
        <v>84</v>
      </c>
      <c r="M23" s="43">
        <f>IF(COUNTA($B23:$K23)=0,"",IF($B23="","Missing activity name",IF($C23="","Missing practice",IF(COUNTIF(PracticeNames,$C23)=0,"Practice not in Lists",IF($D23="","Missing motion",IF(NOT(ISNUMBER($F23)),"Missing or invalid start date",IF(AND(ISNUMBER($G23),$G23&lt;$F23),"End date before start",IF(AND($N23=1,$AA23=0),"Outside planning year","OK"))))))))</f>
        <v>0</v>
      </c>
      <c r="N23">
        <f>IF(AND($B23&lt;&gt;"",$C23&lt;&gt;"",$D23&lt;&gt;"",ISNUMBER($F23),COUNTIF(PracticeNames,$C23)&gt;0,COUNTIF(MotionNames,$D23)&gt;0,NOT(AND(ISNUMBER($G23),$G23&lt;$F23))),IF(StatusFilter="All (excl. Cancelled)",IF($H23="Cancelled",0,1),IF(StatusFilter="All",1,IF($H23=StatusFilter,1,0))),0)</f>
        <v>0</v>
      </c>
      <c r="O23">
        <f>IF($N23=0,0,IF(AND($F23&lt;=EOMONTH(DATE(PlanYear,1,1),0),IF(ISNUMBER($G23),$G23,$F23)&gt;=DATE(PlanYear,1,1)),1,0))</f>
        <v>0</v>
      </c>
      <c r="P23">
        <f>IF($N23=0,0,IF(AND($F23&lt;=EOMONTH(DATE(PlanYear,2,1),0),IF(ISNUMBER($G23),$G23,$F23)&gt;=DATE(PlanYear,2,1)),1,0))</f>
        <v>0</v>
      </c>
      <c r="Q23">
        <f>IF($N23=0,0,IF(AND($F23&lt;=EOMONTH(DATE(PlanYear,3,1),0),IF(ISNUMBER($G23),$G23,$F23)&gt;=DATE(PlanYear,3,1)),1,0))</f>
        <v>0</v>
      </c>
      <c r="R23">
        <f>IF($N23=0,0,IF(AND($F23&lt;=EOMONTH(DATE(PlanYear,4,1),0),IF(ISNUMBER($G23),$G23,$F23)&gt;=DATE(PlanYear,4,1)),1,0))</f>
        <v>0</v>
      </c>
      <c r="S23">
        <f>IF($N23=0,0,IF(AND($F23&lt;=EOMONTH(DATE(PlanYear,5,1),0),IF(ISNUMBER($G23),$G23,$F23)&gt;=DATE(PlanYear,5,1)),1,0))</f>
        <v>0</v>
      </c>
      <c r="T23">
        <f>IF($N23=0,0,IF(AND($F23&lt;=EOMONTH(DATE(PlanYear,6,1),0),IF(ISNUMBER($G23),$G23,$F23)&gt;=DATE(PlanYear,6,1)),1,0))</f>
        <v>0</v>
      </c>
      <c r="U23">
        <f>IF($N23=0,0,IF(AND($F23&lt;=EOMONTH(DATE(PlanYear,7,1),0),IF(ISNUMBER($G23),$G23,$F23)&gt;=DATE(PlanYear,7,1)),1,0))</f>
        <v>0</v>
      </c>
      <c r="V23">
        <f>IF($N23=0,0,IF(AND($F23&lt;=EOMONTH(DATE(PlanYear,8,1),0),IF(ISNUMBER($G23),$G23,$F23)&gt;=DATE(PlanYear,8,1)),1,0))</f>
        <v>0</v>
      </c>
      <c r="W23">
        <f>IF($N23=0,0,IF(AND($F23&lt;=EOMONTH(DATE(PlanYear,9,1),0),IF(ISNUMBER($G23),$G23,$F23)&gt;=DATE(PlanYear,9,1)),1,0))</f>
        <v>0</v>
      </c>
      <c r="X23">
        <f>IF($N23=0,0,IF(AND($F23&lt;=EOMONTH(DATE(PlanYear,10,1),0),IF(ISNUMBER($G23),$G23,$F23)&gt;=DATE(PlanYear,10,1)),1,0))</f>
        <v>0</v>
      </c>
      <c r="Y23">
        <f>IF($N23=0,0,IF(AND($F23&lt;=EOMONTH(DATE(PlanYear,11,1),0),IF(ISNUMBER($G23),$G23,$F23)&gt;=DATE(PlanYear,11,1)),1,0))</f>
        <v>0</v>
      </c>
      <c r="Z23">
        <f>IF($N23=0,0,IF(AND($F23&lt;=EOMONTH(DATE(PlanYear,12,1),0),IF(ISNUMBER($G23),$G23,$F23)&gt;=DATE(PlanYear,12,1)),1,0))</f>
        <v>0</v>
      </c>
      <c r="AA23">
        <f>SUM($O23:$Z23)</f>
        <v>0</v>
      </c>
    </row>
    <row r="24" spans="1:27">
      <c r="A24" s="42">
        <f>IF($B24="","","ACT-"&amp;TEXT(ROW()-4,"000"))</f>
        <v>0</v>
      </c>
      <c r="M24" s="43">
        <f>IF(COUNTA($B24:$K24)=0,"",IF($B24="","Missing activity name",IF($C24="","Missing practice",IF(COUNTIF(PracticeNames,$C24)=0,"Practice not in Lists",IF($D24="","Missing motion",IF(NOT(ISNUMBER($F24)),"Missing or invalid start date",IF(AND(ISNUMBER($G24),$G24&lt;$F24),"End date before start",IF(AND($N24=1,$AA24=0),"Outside planning year","OK"))))))))</f>
        <v>0</v>
      </c>
      <c r="N24">
        <f>IF(AND($B24&lt;&gt;"",$C24&lt;&gt;"",$D24&lt;&gt;"",ISNUMBER($F24),COUNTIF(PracticeNames,$C24)&gt;0,COUNTIF(MotionNames,$D24)&gt;0,NOT(AND(ISNUMBER($G24),$G24&lt;$F24))),IF(StatusFilter="All (excl. Cancelled)",IF($H24="Cancelled",0,1),IF(StatusFilter="All",1,IF($H24=StatusFilter,1,0))),0)</f>
        <v>0</v>
      </c>
      <c r="O24">
        <f>IF($N24=0,0,IF(AND($F24&lt;=EOMONTH(DATE(PlanYear,1,1),0),IF(ISNUMBER($G24),$G24,$F24)&gt;=DATE(PlanYear,1,1)),1,0))</f>
        <v>0</v>
      </c>
      <c r="P24">
        <f>IF($N24=0,0,IF(AND($F24&lt;=EOMONTH(DATE(PlanYear,2,1),0),IF(ISNUMBER($G24),$G24,$F24)&gt;=DATE(PlanYear,2,1)),1,0))</f>
        <v>0</v>
      </c>
      <c r="Q24">
        <f>IF($N24=0,0,IF(AND($F24&lt;=EOMONTH(DATE(PlanYear,3,1),0),IF(ISNUMBER($G24),$G24,$F24)&gt;=DATE(PlanYear,3,1)),1,0))</f>
        <v>0</v>
      </c>
      <c r="R24">
        <f>IF($N24=0,0,IF(AND($F24&lt;=EOMONTH(DATE(PlanYear,4,1),0),IF(ISNUMBER($G24),$G24,$F24)&gt;=DATE(PlanYear,4,1)),1,0))</f>
        <v>0</v>
      </c>
      <c r="S24">
        <f>IF($N24=0,0,IF(AND($F24&lt;=EOMONTH(DATE(PlanYear,5,1),0),IF(ISNUMBER($G24),$G24,$F24)&gt;=DATE(PlanYear,5,1)),1,0))</f>
        <v>0</v>
      </c>
      <c r="T24">
        <f>IF($N24=0,0,IF(AND($F24&lt;=EOMONTH(DATE(PlanYear,6,1),0),IF(ISNUMBER($G24),$G24,$F24)&gt;=DATE(PlanYear,6,1)),1,0))</f>
        <v>0</v>
      </c>
      <c r="U24">
        <f>IF($N24=0,0,IF(AND($F24&lt;=EOMONTH(DATE(PlanYear,7,1),0),IF(ISNUMBER($G24),$G24,$F24)&gt;=DATE(PlanYear,7,1)),1,0))</f>
        <v>0</v>
      </c>
      <c r="V24">
        <f>IF($N24=0,0,IF(AND($F24&lt;=EOMONTH(DATE(PlanYear,8,1),0),IF(ISNUMBER($G24),$G24,$F24)&gt;=DATE(PlanYear,8,1)),1,0))</f>
        <v>0</v>
      </c>
      <c r="W24">
        <f>IF($N24=0,0,IF(AND($F24&lt;=EOMONTH(DATE(PlanYear,9,1),0),IF(ISNUMBER($G24),$G24,$F24)&gt;=DATE(PlanYear,9,1)),1,0))</f>
        <v>0</v>
      </c>
      <c r="X24">
        <f>IF($N24=0,0,IF(AND($F24&lt;=EOMONTH(DATE(PlanYear,10,1),0),IF(ISNUMBER($G24),$G24,$F24)&gt;=DATE(PlanYear,10,1)),1,0))</f>
        <v>0</v>
      </c>
      <c r="Y24">
        <f>IF($N24=0,0,IF(AND($F24&lt;=EOMONTH(DATE(PlanYear,11,1),0),IF(ISNUMBER($G24),$G24,$F24)&gt;=DATE(PlanYear,11,1)),1,0))</f>
        <v>0</v>
      </c>
      <c r="Z24">
        <f>IF($N24=0,0,IF(AND($F24&lt;=EOMONTH(DATE(PlanYear,12,1),0),IF(ISNUMBER($G24),$G24,$F24)&gt;=DATE(PlanYear,12,1)),1,0))</f>
        <v>0</v>
      </c>
      <c r="AA24">
        <f>SUM($O24:$Z24)</f>
        <v>0</v>
      </c>
    </row>
    <row r="25" spans="1:27">
      <c r="A25" s="42">
        <f>IF($B25="","","ACT-"&amp;TEXT(ROW()-4,"000"))</f>
        <v>0</v>
      </c>
      <c r="M25" s="43">
        <f>IF(COUNTA($B25:$K25)=0,"",IF($B25="","Missing activity name",IF($C25="","Missing practice",IF(COUNTIF(PracticeNames,$C25)=0,"Practice not in Lists",IF($D25="","Missing motion",IF(NOT(ISNUMBER($F25)),"Missing or invalid start date",IF(AND(ISNUMBER($G25),$G25&lt;$F25),"End date before start",IF(AND($N25=1,$AA25=0),"Outside planning year","OK"))))))))</f>
        <v>0</v>
      </c>
      <c r="N25">
        <f>IF(AND($B25&lt;&gt;"",$C25&lt;&gt;"",$D25&lt;&gt;"",ISNUMBER($F25),COUNTIF(PracticeNames,$C25)&gt;0,COUNTIF(MotionNames,$D25)&gt;0,NOT(AND(ISNUMBER($G25),$G25&lt;$F25))),IF(StatusFilter="All (excl. Cancelled)",IF($H25="Cancelled",0,1),IF(StatusFilter="All",1,IF($H25=StatusFilter,1,0))),0)</f>
        <v>0</v>
      </c>
      <c r="O25">
        <f>IF($N25=0,0,IF(AND($F25&lt;=EOMONTH(DATE(PlanYear,1,1),0),IF(ISNUMBER($G25),$G25,$F25)&gt;=DATE(PlanYear,1,1)),1,0))</f>
        <v>0</v>
      </c>
      <c r="P25">
        <f>IF($N25=0,0,IF(AND($F25&lt;=EOMONTH(DATE(PlanYear,2,1),0),IF(ISNUMBER($G25),$G25,$F25)&gt;=DATE(PlanYear,2,1)),1,0))</f>
        <v>0</v>
      </c>
      <c r="Q25">
        <f>IF($N25=0,0,IF(AND($F25&lt;=EOMONTH(DATE(PlanYear,3,1),0),IF(ISNUMBER($G25),$G25,$F25)&gt;=DATE(PlanYear,3,1)),1,0))</f>
        <v>0</v>
      </c>
      <c r="R25">
        <f>IF($N25=0,0,IF(AND($F25&lt;=EOMONTH(DATE(PlanYear,4,1),0),IF(ISNUMBER($G25),$G25,$F25)&gt;=DATE(PlanYear,4,1)),1,0))</f>
        <v>0</v>
      </c>
      <c r="S25">
        <f>IF($N25=0,0,IF(AND($F25&lt;=EOMONTH(DATE(PlanYear,5,1),0),IF(ISNUMBER($G25),$G25,$F25)&gt;=DATE(PlanYear,5,1)),1,0))</f>
        <v>0</v>
      </c>
      <c r="T25">
        <f>IF($N25=0,0,IF(AND($F25&lt;=EOMONTH(DATE(PlanYear,6,1),0),IF(ISNUMBER($G25),$G25,$F25)&gt;=DATE(PlanYear,6,1)),1,0))</f>
        <v>0</v>
      </c>
      <c r="U25">
        <f>IF($N25=0,0,IF(AND($F25&lt;=EOMONTH(DATE(PlanYear,7,1),0),IF(ISNUMBER($G25),$G25,$F25)&gt;=DATE(PlanYear,7,1)),1,0))</f>
        <v>0</v>
      </c>
      <c r="V25">
        <f>IF($N25=0,0,IF(AND($F25&lt;=EOMONTH(DATE(PlanYear,8,1),0),IF(ISNUMBER($G25),$G25,$F25)&gt;=DATE(PlanYear,8,1)),1,0))</f>
        <v>0</v>
      </c>
      <c r="W25">
        <f>IF($N25=0,0,IF(AND($F25&lt;=EOMONTH(DATE(PlanYear,9,1),0),IF(ISNUMBER($G25),$G25,$F25)&gt;=DATE(PlanYear,9,1)),1,0))</f>
        <v>0</v>
      </c>
      <c r="X25">
        <f>IF($N25=0,0,IF(AND($F25&lt;=EOMONTH(DATE(PlanYear,10,1),0),IF(ISNUMBER($G25),$G25,$F25)&gt;=DATE(PlanYear,10,1)),1,0))</f>
        <v>0</v>
      </c>
      <c r="Y25">
        <f>IF($N25=0,0,IF(AND($F25&lt;=EOMONTH(DATE(PlanYear,11,1),0),IF(ISNUMBER($G25),$G25,$F25)&gt;=DATE(PlanYear,11,1)),1,0))</f>
        <v>0</v>
      </c>
      <c r="Z25">
        <f>IF($N25=0,0,IF(AND($F25&lt;=EOMONTH(DATE(PlanYear,12,1),0),IF(ISNUMBER($G25),$G25,$F25)&gt;=DATE(PlanYear,12,1)),1,0))</f>
        <v>0</v>
      </c>
      <c r="AA25">
        <f>SUM($O25:$Z25)</f>
        <v>0</v>
      </c>
    </row>
    <row r="26" spans="1:27">
      <c r="A26" s="42">
        <f>IF($B26="","","ACT-"&amp;TEXT(ROW()-4,"000"))</f>
        <v>0</v>
      </c>
      <c r="M26" s="43">
        <f>IF(COUNTA($B26:$K26)=0,"",IF($B26="","Missing activity name",IF($C26="","Missing practice",IF(COUNTIF(PracticeNames,$C26)=0,"Practice not in Lists",IF($D26="","Missing motion",IF(NOT(ISNUMBER($F26)),"Missing or invalid start date",IF(AND(ISNUMBER($G26),$G26&lt;$F26),"End date before start",IF(AND($N26=1,$AA26=0),"Outside planning year","OK"))))))))</f>
        <v>0</v>
      </c>
      <c r="N26">
        <f>IF(AND($B26&lt;&gt;"",$C26&lt;&gt;"",$D26&lt;&gt;"",ISNUMBER($F26),COUNTIF(PracticeNames,$C26)&gt;0,COUNTIF(MotionNames,$D26)&gt;0,NOT(AND(ISNUMBER($G26),$G26&lt;$F26))),IF(StatusFilter="All (excl. Cancelled)",IF($H26="Cancelled",0,1),IF(StatusFilter="All",1,IF($H26=StatusFilter,1,0))),0)</f>
        <v>0</v>
      </c>
      <c r="O26">
        <f>IF($N26=0,0,IF(AND($F26&lt;=EOMONTH(DATE(PlanYear,1,1),0),IF(ISNUMBER($G26),$G26,$F26)&gt;=DATE(PlanYear,1,1)),1,0))</f>
        <v>0</v>
      </c>
      <c r="P26">
        <f>IF($N26=0,0,IF(AND($F26&lt;=EOMONTH(DATE(PlanYear,2,1),0),IF(ISNUMBER($G26),$G26,$F26)&gt;=DATE(PlanYear,2,1)),1,0))</f>
        <v>0</v>
      </c>
      <c r="Q26">
        <f>IF($N26=0,0,IF(AND($F26&lt;=EOMONTH(DATE(PlanYear,3,1),0),IF(ISNUMBER($G26),$G26,$F26)&gt;=DATE(PlanYear,3,1)),1,0))</f>
        <v>0</v>
      </c>
      <c r="R26">
        <f>IF($N26=0,0,IF(AND($F26&lt;=EOMONTH(DATE(PlanYear,4,1),0),IF(ISNUMBER($G26),$G26,$F26)&gt;=DATE(PlanYear,4,1)),1,0))</f>
        <v>0</v>
      </c>
      <c r="S26">
        <f>IF($N26=0,0,IF(AND($F26&lt;=EOMONTH(DATE(PlanYear,5,1),0),IF(ISNUMBER($G26),$G26,$F26)&gt;=DATE(PlanYear,5,1)),1,0))</f>
        <v>0</v>
      </c>
      <c r="T26">
        <f>IF($N26=0,0,IF(AND($F26&lt;=EOMONTH(DATE(PlanYear,6,1),0),IF(ISNUMBER($G26),$G26,$F26)&gt;=DATE(PlanYear,6,1)),1,0))</f>
        <v>0</v>
      </c>
      <c r="U26">
        <f>IF($N26=0,0,IF(AND($F26&lt;=EOMONTH(DATE(PlanYear,7,1),0),IF(ISNUMBER($G26),$G26,$F26)&gt;=DATE(PlanYear,7,1)),1,0))</f>
        <v>0</v>
      </c>
      <c r="V26">
        <f>IF($N26=0,0,IF(AND($F26&lt;=EOMONTH(DATE(PlanYear,8,1),0),IF(ISNUMBER($G26),$G26,$F26)&gt;=DATE(PlanYear,8,1)),1,0))</f>
        <v>0</v>
      </c>
      <c r="W26">
        <f>IF($N26=0,0,IF(AND($F26&lt;=EOMONTH(DATE(PlanYear,9,1),0),IF(ISNUMBER($G26),$G26,$F26)&gt;=DATE(PlanYear,9,1)),1,0))</f>
        <v>0</v>
      </c>
      <c r="X26">
        <f>IF($N26=0,0,IF(AND($F26&lt;=EOMONTH(DATE(PlanYear,10,1),0),IF(ISNUMBER($G26),$G26,$F26)&gt;=DATE(PlanYear,10,1)),1,0))</f>
        <v>0</v>
      </c>
      <c r="Y26">
        <f>IF($N26=0,0,IF(AND($F26&lt;=EOMONTH(DATE(PlanYear,11,1),0),IF(ISNUMBER($G26),$G26,$F26)&gt;=DATE(PlanYear,11,1)),1,0))</f>
        <v>0</v>
      </c>
      <c r="Z26">
        <f>IF($N26=0,0,IF(AND($F26&lt;=EOMONTH(DATE(PlanYear,12,1),0),IF(ISNUMBER($G26),$G26,$F26)&gt;=DATE(PlanYear,12,1)),1,0))</f>
        <v>0</v>
      </c>
      <c r="AA26">
        <f>SUM($O26:$Z26)</f>
        <v>0</v>
      </c>
    </row>
    <row r="27" spans="1:27">
      <c r="A27" s="42">
        <f>IF($B27="","","ACT-"&amp;TEXT(ROW()-4,"000"))</f>
        <v>0</v>
      </c>
      <c r="M27" s="43">
        <f>IF(COUNTA($B27:$K27)=0,"",IF($B27="","Missing activity name",IF($C27="","Missing practice",IF(COUNTIF(PracticeNames,$C27)=0,"Practice not in Lists",IF($D27="","Missing motion",IF(NOT(ISNUMBER($F27)),"Missing or invalid start date",IF(AND(ISNUMBER($G27),$G27&lt;$F27),"End date before start",IF(AND($N27=1,$AA27=0),"Outside planning year","OK"))))))))</f>
        <v>0</v>
      </c>
      <c r="N27">
        <f>IF(AND($B27&lt;&gt;"",$C27&lt;&gt;"",$D27&lt;&gt;"",ISNUMBER($F27),COUNTIF(PracticeNames,$C27)&gt;0,COUNTIF(MotionNames,$D27)&gt;0,NOT(AND(ISNUMBER($G27),$G27&lt;$F27))),IF(StatusFilter="All (excl. Cancelled)",IF($H27="Cancelled",0,1),IF(StatusFilter="All",1,IF($H27=StatusFilter,1,0))),0)</f>
        <v>0</v>
      </c>
      <c r="O27">
        <f>IF($N27=0,0,IF(AND($F27&lt;=EOMONTH(DATE(PlanYear,1,1),0),IF(ISNUMBER($G27),$G27,$F27)&gt;=DATE(PlanYear,1,1)),1,0))</f>
        <v>0</v>
      </c>
      <c r="P27">
        <f>IF($N27=0,0,IF(AND($F27&lt;=EOMONTH(DATE(PlanYear,2,1),0),IF(ISNUMBER($G27),$G27,$F27)&gt;=DATE(PlanYear,2,1)),1,0))</f>
        <v>0</v>
      </c>
      <c r="Q27">
        <f>IF($N27=0,0,IF(AND($F27&lt;=EOMONTH(DATE(PlanYear,3,1),0),IF(ISNUMBER($G27),$G27,$F27)&gt;=DATE(PlanYear,3,1)),1,0))</f>
        <v>0</v>
      </c>
      <c r="R27">
        <f>IF($N27=0,0,IF(AND($F27&lt;=EOMONTH(DATE(PlanYear,4,1),0),IF(ISNUMBER($G27),$G27,$F27)&gt;=DATE(PlanYear,4,1)),1,0))</f>
        <v>0</v>
      </c>
      <c r="S27">
        <f>IF($N27=0,0,IF(AND($F27&lt;=EOMONTH(DATE(PlanYear,5,1),0),IF(ISNUMBER($G27),$G27,$F27)&gt;=DATE(PlanYear,5,1)),1,0))</f>
        <v>0</v>
      </c>
      <c r="T27">
        <f>IF($N27=0,0,IF(AND($F27&lt;=EOMONTH(DATE(PlanYear,6,1),0),IF(ISNUMBER($G27),$G27,$F27)&gt;=DATE(PlanYear,6,1)),1,0))</f>
        <v>0</v>
      </c>
      <c r="U27">
        <f>IF($N27=0,0,IF(AND($F27&lt;=EOMONTH(DATE(PlanYear,7,1),0),IF(ISNUMBER($G27),$G27,$F27)&gt;=DATE(PlanYear,7,1)),1,0))</f>
        <v>0</v>
      </c>
      <c r="V27">
        <f>IF($N27=0,0,IF(AND($F27&lt;=EOMONTH(DATE(PlanYear,8,1),0),IF(ISNUMBER($G27),$G27,$F27)&gt;=DATE(PlanYear,8,1)),1,0))</f>
        <v>0</v>
      </c>
      <c r="W27">
        <f>IF($N27=0,0,IF(AND($F27&lt;=EOMONTH(DATE(PlanYear,9,1),0),IF(ISNUMBER($G27),$G27,$F27)&gt;=DATE(PlanYear,9,1)),1,0))</f>
        <v>0</v>
      </c>
      <c r="X27">
        <f>IF($N27=0,0,IF(AND($F27&lt;=EOMONTH(DATE(PlanYear,10,1),0),IF(ISNUMBER($G27),$G27,$F27)&gt;=DATE(PlanYear,10,1)),1,0))</f>
        <v>0</v>
      </c>
      <c r="Y27">
        <f>IF($N27=0,0,IF(AND($F27&lt;=EOMONTH(DATE(PlanYear,11,1),0),IF(ISNUMBER($G27),$G27,$F27)&gt;=DATE(PlanYear,11,1)),1,0))</f>
        <v>0</v>
      </c>
      <c r="Z27">
        <f>IF($N27=0,0,IF(AND($F27&lt;=EOMONTH(DATE(PlanYear,12,1),0),IF(ISNUMBER($G27),$G27,$F27)&gt;=DATE(PlanYear,12,1)),1,0))</f>
        <v>0</v>
      </c>
      <c r="AA27">
        <f>SUM($O27:$Z27)</f>
        <v>0</v>
      </c>
    </row>
    <row r="28" spans="1:27">
      <c r="A28" s="42">
        <f>IF($B28="","","ACT-"&amp;TEXT(ROW()-4,"000"))</f>
        <v>0</v>
      </c>
      <c r="M28" s="43">
        <f>IF(COUNTA($B28:$K28)=0,"",IF($B28="","Missing activity name",IF($C28="","Missing practice",IF(COUNTIF(PracticeNames,$C28)=0,"Practice not in Lists",IF($D28="","Missing motion",IF(NOT(ISNUMBER($F28)),"Missing or invalid start date",IF(AND(ISNUMBER($G28),$G28&lt;$F28),"End date before start",IF(AND($N28=1,$AA28=0),"Outside planning year","OK"))))))))</f>
        <v>0</v>
      </c>
      <c r="N28">
        <f>IF(AND($B28&lt;&gt;"",$C28&lt;&gt;"",$D28&lt;&gt;"",ISNUMBER($F28),COUNTIF(PracticeNames,$C28)&gt;0,COUNTIF(MotionNames,$D28)&gt;0,NOT(AND(ISNUMBER($G28),$G28&lt;$F28))),IF(StatusFilter="All (excl. Cancelled)",IF($H28="Cancelled",0,1),IF(StatusFilter="All",1,IF($H28=StatusFilter,1,0))),0)</f>
        <v>0</v>
      </c>
      <c r="O28">
        <f>IF($N28=0,0,IF(AND($F28&lt;=EOMONTH(DATE(PlanYear,1,1),0),IF(ISNUMBER($G28),$G28,$F28)&gt;=DATE(PlanYear,1,1)),1,0))</f>
        <v>0</v>
      </c>
      <c r="P28">
        <f>IF($N28=0,0,IF(AND($F28&lt;=EOMONTH(DATE(PlanYear,2,1),0),IF(ISNUMBER($G28),$G28,$F28)&gt;=DATE(PlanYear,2,1)),1,0))</f>
        <v>0</v>
      </c>
      <c r="Q28">
        <f>IF($N28=0,0,IF(AND($F28&lt;=EOMONTH(DATE(PlanYear,3,1),0),IF(ISNUMBER($G28),$G28,$F28)&gt;=DATE(PlanYear,3,1)),1,0))</f>
        <v>0</v>
      </c>
      <c r="R28">
        <f>IF($N28=0,0,IF(AND($F28&lt;=EOMONTH(DATE(PlanYear,4,1),0),IF(ISNUMBER($G28),$G28,$F28)&gt;=DATE(PlanYear,4,1)),1,0))</f>
        <v>0</v>
      </c>
      <c r="S28">
        <f>IF($N28=0,0,IF(AND($F28&lt;=EOMONTH(DATE(PlanYear,5,1),0),IF(ISNUMBER($G28),$G28,$F28)&gt;=DATE(PlanYear,5,1)),1,0))</f>
        <v>0</v>
      </c>
      <c r="T28">
        <f>IF($N28=0,0,IF(AND($F28&lt;=EOMONTH(DATE(PlanYear,6,1),0),IF(ISNUMBER($G28),$G28,$F28)&gt;=DATE(PlanYear,6,1)),1,0))</f>
        <v>0</v>
      </c>
      <c r="U28">
        <f>IF($N28=0,0,IF(AND($F28&lt;=EOMONTH(DATE(PlanYear,7,1),0),IF(ISNUMBER($G28),$G28,$F28)&gt;=DATE(PlanYear,7,1)),1,0))</f>
        <v>0</v>
      </c>
      <c r="V28">
        <f>IF($N28=0,0,IF(AND($F28&lt;=EOMONTH(DATE(PlanYear,8,1),0),IF(ISNUMBER($G28),$G28,$F28)&gt;=DATE(PlanYear,8,1)),1,0))</f>
        <v>0</v>
      </c>
      <c r="W28">
        <f>IF($N28=0,0,IF(AND($F28&lt;=EOMONTH(DATE(PlanYear,9,1),0),IF(ISNUMBER($G28),$G28,$F28)&gt;=DATE(PlanYear,9,1)),1,0))</f>
        <v>0</v>
      </c>
      <c r="X28">
        <f>IF($N28=0,0,IF(AND($F28&lt;=EOMONTH(DATE(PlanYear,10,1),0),IF(ISNUMBER($G28),$G28,$F28)&gt;=DATE(PlanYear,10,1)),1,0))</f>
        <v>0</v>
      </c>
      <c r="Y28">
        <f>IF($N28=0,0,IF(AND($F28&lt;=EOMONTH(DATE(PlanYear,11,1),0),IF(ISNUMBER($G28),$G28,$F28)&gt;=DATE(PlanYear,11,1)),1,0))</f>
        <v>0</v>
      </c>
      <c r="Z28">
        <f>IF($N28=0,0,IF(AND($F28&lt;=EOMONTH(DATE(PlanYear,12,1),0),IF(ISNUMBER($G28),$G28,$F28)&gt;=DATE(PlanYear,12,1)),1,0))</f>
        <v>0</v>
      </c>
      <c r="AA28">
        <f>SUM($O28:$Z28)</f>
        <v>0</v>
      </c>
    </row>
    <row r="29" spans="1:27">
      <c r="A29" s="42">
        <f>IF($B29="","","ACT-"&amp;TEXT(ROW()-4,"000"))</f>
        <v>0</v>
      </c>
      <c r="M29" s="43">
        <f>IF(COUNTA($B29:$K29)=0,"",IF($B29="","Missing activity name",IF($C29="","Missing practice",IF(COUNTIF(PracticeNames,$C29)=0,"Practice not in Lists",IF($D29="","Missing motion",IF(NOT(ISNUMBER($F29)),"Missing or invalid start date",IF(AND(ISNUMBER($G29),$G29&lt;$F29),"End date before start",IF(AND($N29=1,$AA29=0),"Outside planning year","OK"))))))))</f>
        <v>0</v>
      </c>
      <c r="N29">
        <f>IF(AND($B29&lt;&gt;"",$C29&lt;&gt;"",$D29&lt;&gt;"",ISNUMBER($F29),COUNTIF(PracticeNames,$C29)&gt;0,COUNTIF(MotionNames,$D29)&gt;0,NOT(AND(ISNUMBER($G29),$G29&lt;$F29))),IF(StatusFilter="All (excl. Cancelled)",IF($H29="Cancelled",0,1),IF(StatusFilter="All",1,IF($H29=StatusFilter,1,0))),0)</f>
        <v>0</v>
      </c>
      <c r="O29">
        <f>IF($N29=0,0,IF(AND($F29&lt;=EOMONTH(DATE(PlanYear,1,1),0),IF(ISNUMBER($G29),$G29,$F29)&gt;=DATE(PlanYear,1,1)),1,0))</f>
        <v>0</v>
      </c>
      <c r="P29">
        <f>IF($N29=0,0,IF(AND($F29&lt;=EOMONTH(DATE(PlanYear,2,1),0),IF(ISNUMBER($G29),$G29,$F29)&gt;=DATE(PlanYear,2,1)),1,0))</f>
        <v>0</v>
      </c>
      <c r="Q29">
        <f>IF($N29=0,0,IF(AND($F29&lt;=EOMONTH(DATE(PlanYear,3,1),0),IF(ISNUMBER($G29),$G29,$F29)&gt;=DATE(PlanYear,3,1)),1,0))</f>
        <v>0</v>
      </c>
      <c r="R29">
        <f>IF($N29=0,0,IF(AND($F29&lt;=EOMONTH(DATE(PlanYear,4,1),0),IF(ISNUMBER($G29),$G29,$F29)&gt;=DATE(PlanYear,4,1)),1,0))</f>
        <v>0</v>
      </c>
      <c r="S29">
        <f>IF($N29=0,0,IF(AND($F29&lt;=EOMONTH(DATE(PlanYear,5,1),0),IF(ISNUMBER($G29),$G29,$F29)&gt;=DATE(PlanYear,5,1)),1,0))</f>
        <v>0</v>
      </c>
      <c r="T29">
        <f>IF($N29=0,0,IF(AND($F29&lt;=EOMONTH(DATE(PlanYear,6,1),0),IF(ISNUMBER($G29),$G29,$F29)&gt;=DATE(PlanYear,6,1)),1,0))</f>
        <v>0</v>
      </c>
      <c r="U29">
        <f>IF($N29=0,0,IF(AND($F29&lt;=EOMONTH(DATE(PlanYear,7,1),0),IF(ISNUMBER($G29),$G29,$F29)&gt;=DATE(PlanYear,7,1)),1,0))</f>
        <v>0</v>
      </c>
      <c r="V29">
        <f>IF($N29=0,0,IF(AND($F29&lt;=EOMONTH(DATE(PlanYear,8,1),0),IF(ISNUMBER($G29),$G29,$F29)&gt;=DATE(PlanYear,8,1)),1,0))</f>
        <v>0</v>
      </c>
      <c r="W29">
        <f>IF($N29=0,0,IF(AND($F29&lt;=EOMONTH(DATE(PlanYear,9,1),0),IF(ISNUMBER($G29),$G29,$F29)&gt;=DATE(PlanYear,9,1)),1,0))</f>
        <v>0</v>
      </c>
      <c r="X29">
        <f>IF($N29=0,0,IF(AND($F29&lt;=EOMONTH(DATE(PlanYear,10,1),0),IF(ISNUMBER($G29),$G29,$F29)&gt;=DATE(PlanYear,10,1)),1,0))</f>
        <v>0</v>
      </c>
      <c r="Y29">
        <f>IF($N29=0,0,IF(AND($F29&lt;=EOMONTH(DATE(PlanYear,11,1),0),IF(ISNUMBER($G29),$G29,$F29)&gt;=DATE(PlanYear,11,1)),1,0))</f>
        <v>0</v>
      </c>
      <c r="Z29">
        <f>IF($N29=0,0,IF(AND($F29&lt;=EOMONTH(DATE(PlanYear,12,1),0),IF(ISNUMBER($G29),$G29,$F29)&gt;=DATE(PlanYear,12,1)),1,0))</f>
        <v>0</v>
      </c>
      <c r="AA29">
        <f>SUM($O29:$Z29)</f>
        <v>0</v>
      </c>
    </row>
    <row r="30" spans="1:27">
      <c r="A30" s="42">
        <f>IF($B30="","","ACT-"&amp;TEXT(ROW()-4,"000"))</f>
        <v>0</v>
      </c>
      <c r="M30" s="43">
        <f>IF(COUNTA($B30:$K30)=0,"",IF($B30="","Missing activity name",IF($C30="","Missing practice",IF(COUNTIF(PracticeNames,$C30)=0,"Practice not in Lists",IF($D30="","Missing motion",IF(NOT(ISNUMBER($F30)),"Missing or invalid start date",IF(AND(ISNUMBER($G30),$G30&lt;$F30),"End date before start",IF(AND($N30=1,$AA30=0),"Outside planning year","OK"))))))))</f>
        <v>0</v>
      </c>
      <c r="N30">
        <f>IF(AND($B30&lt;&gt;"",$C30&lt;&gt;"",$D30&lt;&gt;"",ISNUMBER($F30),COUNTIF(PracticeNames,$C30)&gt;0,COUNTIF(MotionNames,$D30)&gt;0,NOT(AND(ISNUMBER($G30),$G30&lt;$F30))),IF(StatusFilter="All (excl. Cancelled)",IF($H30="Cancelled",0,1),IF(StatusFilter="All",1,IF($H30=StatusFilter,1,0))),0)</f>
        <v>0</v>
      </c>
      <c r="O30">
        <f>IF($N30=0,0,IF(AND($F30&lt;=EOMONTH(DATE(PlanYear,1,1),0),IF(ISNUMBER($G30),$G30,$F30)&gt;=DATE(PlanYear,1,1)),1,0))</f>
        <v>0</v>
      </c>
      <c r="P30">
        <f>IF($N30=0,0,IF(AND($F30&lt;=EOMONTH(DATE(PlanYear,2,1),0),IF(ISNUMBER($G30),$G30,$F30)&gt;=DATE(PlanYear,2,1)),1,0))</f>
        <v>0</v>
      </c>
      <c r="Q30">
        <f>IF($N30=0,0,IF(AND($F30&lt;=EOMONTH(DATE(PlanYear,3,1),0),IF(ISNUMBER($G30),$G30,$F30)&gt;=DATE(PlanYear,3,1)),1,0))</f>
        <v>0</v>
      </c>
      <c r="R30">
        <f>IF($N30=0,0,IF(AND($F30&lt;=EOMONTH(DATE(PlanYear,4,1),0),IF(ISNUMBER($G30),$G30,$F30)&gt;=DATE(PlanYear,4,1)),1,0))</f>
        <v>0</v>
      </c>
      <c r="S30">
        <f>IF($N30=0,0,IF(AND($F30&lt;=EOMONTH(DATE(PlanYear,5,1),0),IF(ISNUMBER($G30),$G30,$F30)&gt;=DATE(PlanYear,5,1)),1,0))</f>
        <v>0</v>
      </c>
      <c r="T30">
        <f>IF($N30=0,0,IF(AND($F30&lt;=EOMONTH(DATE(PlanYear,6,1),0),IF(ISNUMBER($G30),$G30,$F30)&gt;=DATE(PlanYear,6,1)),1,0))</f>
        <v>0</v>
      </c>
      <c r="U30">
        <f>IF($N30=0,0,IF(AND($F30&lt;=EOMONTH(DATE(PlanYear,7,1),0),IF(ISNUMBER($G30),$G30,$F30)&gt;=DATE(PlanYear,7,1)),1,0))</f>
        <v>0</v>
      </c>
      <c r="V30">
        <f>IF($N30=0,0,IF(AND($F30&lt;=EOMONTH(DATE(PlanYear,8,1),0),IF(ISNUMBER($G30),$G30,$F30)&gt;=DATE(PlanYear,8,1)),1,0))</f>
        <v>0</v>
      </c>
      <c r="W30">
        <f>IF($N30=0,0,IF(AND($F30&lt;=EOMONTH(DATE(PlanYear,9,1),0),IF(ISNUMBER($G30),$G30,$F30)&gt;=DATE(PlanYear,9,1)),1,0))</f>
        <v>0</v>
      </c>
      <c r="X30">
        <f>IF($N30=0,0,IF(AND($F30&lt;=EOMONTH(DATE(PlanYear,10,1),0),IF(ISNUMBER($G30),$G30,$F30)&gt;=DATE(PlanYear,10,1)),1,0))</f>
        <v>0</v>
      </c>
      <c r="Y30">
        <f>IF($N30=0,0,IF(AND($F30&lt;=EOMONTH(DATE(PlanYear,11,1),0),IF(ISNUMBER($G30),$G30,$F30)&gt;=DATE(PlanYear,11,1)),1,0))</f>
        <v>0</v>
      </c>
      <c r="Z30">
        <f>IF($N30=0,0,IF(AND($F30&lt;=EOMONTH(DATE(PlanYear,12,1),0),IF(ISNUMBER($G30),$G30,$F30)&gt;=DATE(PlanYear,12,1)),1,0))</f>
        <v>0</v>
      </c>
      <c r="AA30">
        <f>SUM($O30:$Z30)</f>
        <v>0</v>
      </c>
    </row>
    <row r="31" spans="1:27">
      <c r="A31" s="42">
        <f>IF($B31="","","ACT-"&amp;TEXT(ROW()-4,"000"))</f>
        <v>0</v>
      </c>
      <c r="M31" s="43">
        <f>IF(COUNTA($B31:$K31)=0,"",IF($B31="","Missing activity name",IF($C31="","Missing practice",IF(COUNTIF(PracticeNames,$C31)=0,"Practice not in Lists",IF($D31="","Missing motion",IF(NOT(ISNUMBER($F31)),"Missing or invalid start date",IF(AND(ISNUMBER($G31),$G31&lt;$F31),"End date before start",IF(AND($N31=1,$AA31=0),"Outside planning year","OK"))))))))</f>
        <v>0</v>
      </c>
      <c r="N31">
        <f>IF(AND($B31&lt;&gt;"",$C31&lt;&gt;"",$D31&lt;&gt;"",ISNUMBER($F31),COUNTIF(PracticeNames,$C31)&gt;0,COUNTIF(MotionNames,$D31)&gt;0,NOT(AND(ISNUMBER($G31),$G31&lt;$F31))),IF(StatusFilter="All (excl. Cancelled)",IF($H31="Cancelled",0,1),IF(StatusFilter="All",1,IF($H31=StatusFilter,1,0))),0)</f>
        <v>0</v>
      </c>
      <c r="O31">
        <f>IF($N31=0,0,IF(AND($F31&lt;=EOMONTH(DATE(PlanYear,1,1),0),IF(ISNUMBER($G31),$G31,$F31)&gt;=DATE(PlanYear,1,1)),1,0))</f>
        <v>0</v>
      </c>
      <c r="P31">
        <f>IF($N31=0,0,IF(AND($F31&lt;=EOMONTH(DATE(PlanYear,2,1),0),IF(ISNUMBER($G31),$G31,$F31)&gt;=DATE(PlanYear,2,1)),1,0))</f>
        <v>0</v>
      </c>
      <c r="Q31">
        <f>IF($N31=0,0,IF(AND($F31&lt;=EOMONTH(DATE(PlanYear,3,1),0),IF(ISNUMBER($G31),$G31,$F31)&gt;=DATE(PlanYear,3,1)),1,0))</f>
        <v>0</v>
      </c>
      <c r="R31">
        <f>IF($N31=0,0,IF(AND($F31&lt;=EOMONTH(DATE(PlanYear,4,1),0),IF(ISNUMBER($G31),$G31,$F31)&gt;=DATE(PlanYear,4,1)),1,0))</f>
        <v>0</v>
      </c>
      <c r="S31">
        <f>IF($N31=0,0,IF(AND($F31&lt;=EOMONTH(DATE(PlanYear,5,1),0),IF(ISNUMBER($G31),$G31,$F31)&gt;=DATE(PlanYear,5,1)),1,0))</f>
        <v>0</v>
      </c>
      <c r="T31">
        <f>IF($N31=0,0,IF(AND($F31&lt;=EOMONTH(DATE(PlanYear,6,1),0),IF(ISNUMBER($G31),$G31,$F31)&gt;=DATE(PlanYear,6,1)),1,0))</f>
        <v>0</v>
      </c>
      <c r="U31">
        <f>IF($N31=0,0,IF(AND($F31&lt;=EOMONTH(DATE(PlanYear,7,1),0),IF(ISNUMBER($G31),$G31,$F31)&gt;=DATE(PlanYear,7,1)),1,0))</f>
        <v>0</v>
      </c>
      <c r="V31">
        <f>IF($N31=0,0,IF(AND($F31&lt;=EOMONTH(DATE(PlanYear,8,1),0),IF(ISNUMBER($G31),$G31,$F31)&gt;=DATE(PlanYear,8,1)),1,0))</f>
        <v>0</v>
      </c>
      <c r="W31">
        <f>IF($N31=0,0,IF(AND($F31&lt;=EOMONTH(DATE(PlanYear,9,1),0),IF(ISNUMBER($G31),$G31,$F31)&gt;=DATE(PlanYear,9,1)),1,0))</f>
        <v>0</v>
      </c>
      <c r="X31">
        <f>IF($N31=0,0,IF(AND($F31&lt;=EOMONTH(DATE(PlanYear,10,1),0),IF(ISNUMBER($G31),$G31,$F31)&gt;=DATE(PlanYear,10,1)),1,0))</f>
        <v>0</v>
      </c>
      <c r="Y31">
        <f>IF($N31=0,0,IF(AND($F31&lt;=EOMONTH(DATE(PlanYear,11,1),0),IF(ISNUMBER($G31),$G31,$F31)&gt;=DATE(PlanYear,11,1)),1,0))</f>
        <v>0</v>
      </c>
      <c r="Z31">
        <f>IF($N31=0,0,IF(AND($F31&lt;=EOMONTH(DATE(PlanYear,12,1),0),IF(ISNUMBER($G31),$G31,$F31)&gt;=DATE(PlanYear,12,1)),1,0))</f>
        <v>0</v>
      </c>
      <c r="AA31">
        <f>SUM($O31:$Z31)</f>
        <v>0</v>
      </c>
    </row>
    <row r="32" spans="1:27">
      <c r="A32" s="42">
        <f>IF($B32="","","ACT-"&amp;TEXT(ROW()-4,"000"))</f>
        <v>0</v>
      </c>
      <c r="M32" s="43">
        <f>IF(COUNTA($B32:$K32)=0,"",IF($B32="","Missing activity name",IF($C32="","Missing practice",IF(COUNTIF(PracticeNames,$C32)=0,"Practice not in Lists",IF($D32="","Missing motion",IF(NOT(ISNUMBER($F32)),"Missing or invalid start date",IF(AND(ISNUMBER($G32),$G32&lt;$F32),"End date before start",IF(AND($N32=1,$AA32=0),"Outside planning year","OK"))))))))</f>
        <v>0</v>
      </c>
      <c r="N32">
        <f>IF(AND($B32&lt;&gt;"",$C32&lt;&gt;"",$D32&lt;&gt;"",ISNUMBER($F32),COUNTIF(PracticeNames,$C32)&gt;0,COUNTIF(MotionNames,$D32)&gt;0,NOT(AND(ISNUMBER($G32),$G32&lt;$F32))),IF(StatusFilter="All (excl. Cancelled)",IF($H32="Cancelled",0,1),IF(StatusFilter="All",1,IF($H32=StatusFilter,1,0))),0)</f>
        <v>0</v>
      </c>
      <c r="O32">
        <f>IF($N32=0,0,IF(AND($F32&lt;=EOMONTH(DATE(PlanYear,1,1),0),IF(ISNUMBER($G32),$G32,$F32)&gt;=DATE(PlanYear,1,1)),1,0))</f>
        <v>0</v>
      </c>
      <c r="P32">
        <f>IF($N32=0,0,IF(AND($F32&lt;=EOMONTH(DATE(PlanYear,2,1),0),IF(ISNUMBER($G32),$G32,$F32)&gt;=DATE(PlanYear,2,1)),1,0))</f>
        <v>0</v>
      </c>
      <c r="Q32">
        <f>IF($N32=0,0,IF(AND($F32&lt;=EOMONTH(DATE(PlanYear,3,1),0),IF(ISNUMBER($G32),$G32,$F32)&gt;=DATE(PlanYear,3,1)),1,0))</f>
        <v>0</v>
      </c>
      <c r="R32">
        <f>IF($N32=0,0,IF(AND($F32&lt;=EOMONTH(DATE(PlanYear,4,1),0),IF(ISNUMBER($G32),$G32,$F32)&gt;=DATE(PlanYear,4,1)),1,0))</f>
        <v>0</v>
      </c>
      <c r="S32">
        <f>IF($N32=0,0,IF(AND($F32&lt;=EOMONTH(DATE(PlanYear,5,1),0),IF(ISNUMBER($G32),$G32,$F32)&gt;=DATE(PlanYear,5,1)),1,0))</f>
        <v>0</v>
      </c>
      <c r="T32">
        <f>IF($N32=0,0,IF(AND($F32&lt;=EOMONTH(DATE(PlanYear,6,1),0),IF(ISNUMBER($G32),$G32,$F32)&gt;=DATE(PlanYear,6,1)),1,0))</f>
        <v>0</v>
      </c>
      <c r="U32">
        <f>IF($N32=0,0,IF(AND($F32&lt;=EOMONTH(DATE(PlanYear,7,1),0),IF(ISNUMBER($G32),$G32,$F32)&gt;=DATE(PlanYear,7,1)),1,0))</f>
        <v>0</v>
      </c>
      <c r="V32">
        <f>IF($N32=0,0,IF(AND($F32&lt;=EOMONTH(DATE(PlanYear,8,1),0),IF(ISNUMBER($G32),$G32,$F32)&gt;=DATE(PlanYear,8,1)),1,0))</f>
        <v>0</v>
      </c>
      <c r="W32">
        <f>IF($N32=0,0,IF(AND($F32&lt;=EOMONTH(DATE(PlanYear,9,1),0),IF(ISNUMBER($G32),$G32,$F32)&gt;=DATE(PlanYear,9,1)),1,0))</f>
        <v>0</v>
      </c>
      <c r="X32">
        <f>IF($N32=0,0,IF(AND($F32&lt;=EOMONTH(DATE(PlanYear,10,1),0),IF(ISNUMBER($G32),$G32,$F32)&gt;=DATE(PlanYear,10,1)),1,0))</f>
        <v>0</v>
      </c>
      <c r="Y32">
        <f>IF($N32=0,0,IF(AND($F32&lt;=EOMONTH(DATE(PlanYear,11,1),0),IF(ISNUMBER($G32),$G32,$F32)&gt;=DATE(PlanYear,11,1)),1,0))</f>
        <v>0</v>
      </c>
      <c r="Z32">
        <f>IF($N32=0,0,IF(AND($F32&lt;=EOMONTH(DATE(PlanYear,12,1),0),IF(ISNUMBER($G32),$G32,$F32)&gt;=DATE(PlanYear,12,1)),1,0))</f>
        <v>0</v>
      </c>
      <c r="AA32">
        <f>SUM($O32:$Z32)</f>
        <v>0</v>
      </c>
    </row>
    <row r="33" spans="1:27">
      <c r="A33" s="42">
        <f>IF($B33="","","ACT-"&amp;TEXT(ROW()-4,"000"))</f>
        <v>0</v>
      </c>
      <c r="M33" s="43">
        <f>IF(COUNTA($B33:$K33)=0,"",IF($B33="","Missing activity name",IF($C33="","Missing practice",IF(COUNTIF(PracticeNames,$C33)=0,"Practice not in Lists",IF($D33="","Missing motion",IF(NOT(ISNUMBER($F33)),"Missing or invalid start date",IF(AND(ISNUMBER($G33),$G33&lt;$F33),"End date before start",IF(AND($N33=1,$AA33=0),"Outside planning year","OK"))))))))</f>
        <v>0</v>
      </c>
      <c r="N33">
        <f>IF(AND($B33&lt;&gt;"",$C33&lt;&gt;"",$D33&lt;&gt;"",ISNUMBER($F33),COUNTIF(PracticeNames,$C33)&gt;0,COUNTIF(MotionNames,$D33)&gt;0,NOT(AND(ISNUMBER($G33),$G33&lt;$F33))),IF(StatusFilter="All (excl. Cancelled)",IF($H33="Cancelled",0,1),IF(StatusFilter="All",1,IF($H33=StatusFilter,1,0))),0)</f>
        <v>0</v>
      </c>
      <c r="O33">
        <f>IF($N33=0,0,IF(AND($F33&lt;=EOMONTH(DATE(PlanYear,1,1),0),IF(ISNUMBER($G33),$G33,$F33)&gt;=DATE(PlanYear,1,1)),1,0))</f>
        <v>0</v>
      </c>
      <c r="P33">
        <f>IF($N33=0,0,IF(AND($F33&lt;=EOMONTH(DATE(PlanYear,2,1),0),IF(ISNUMBER($G33),$G33,$F33)&gt;=DATE(PlanYear,2,1)),1,0))</f>
        <v>0</v>
      </c>
      <c r="Q33">
        <f>IF($N33=0,0,IF(AND($F33&lt;=EOMONTH(DATE(PlanYear,3,1),0),IF(ISNUMBER($G33),$G33,$F33)&gt;=DATE(PlanYear,3,1)),1,0))</f>
        <v>0</v>
      </c>
      <c r="R33">
        <f>IF($N33=0,0,IF(AND($F33&lt;=EOMONTH(DATE(PlanYear,4,1),0),IF(ISNUMBER($G33),$G33,$F33)&gt;=DATE(PlanYear,4,1)),1,0))</f>
        <v>0</v>
      </c>
      <c r="S33">
        <f>IF($N33=0,0,IF(AND($F33&lt;=EOMONTH(DATE(PlanYear,5,1),0),IF(ISNUMBER($G33),$G33,$F33)&gt;=DATE(PlanYear,5,1)),1,0))</f>
        <v>0</v>
      </c>
      <c r="T33">
        <f>IF($N33=0,0,IF(AND($F33&lt;=EOMONTH(DATE(PlanYear,6,1),0),IF(ISNUMBER($G33),$G33,$F33)&gt;=DATE(PlanYear,6,1)),1,0))</f>
        <v>0</v>
      </c>
      <c r="U33">
        <f>IF($N33=0,0,IF(AND($F33&lt;=EOMONTH(DATE(PlanYear,7,1),0),IF(ISNUMBER($G33),$G33,$F33)&gt;=DATE(PlanYear,7,1)),1,0))</f>
        <v>0</v>
      </c>
      <c r="V33">
        <f>IF($N33=0,0,IF(AND($F33&lt;=EOMONTH(DATE(PlanYear,8,1),0),IF(ISNUMBER($G33),$G33,$F33)&gt;=DATE(PlanYear,8,1)),1,0))</f>
        <v>0</v>
      </c>
      <c r="W33">
        <f>IF($N33=0,0,IF(AND($F33&lt;=EOMONTH(DATE(PlanYear,9,1),0),IF(ISNUMBER($G33),$G33,$F33)&gt;=DATE(PlanYear,9,1)),1,0))</f>
        <v>0</v>
      </c>
      <c r="X33">
        <f>IF($N33=0,0,IF(AND($F33&lt;=EOMONTH(DATE(PlanYear,10,1),0),IF(ISNUMBER($G33),$G33,$F33)&gt;=DATE(PlanYear,10,1)),1,0))</f>
        <v>0</v>
      </c>
      <c r="Y33">
        <f>IF($N33=0,0,IF(AND($F33&lt;=EOMONTH(DATE(PlanYear,11,1),0),IF(ISNUMBER($G33),$G33,$F33)&gt;=DATE(PlanYear,11,1)),1,0))</f>
        <v>0</v>
      </c>
      <c r="Z33">
        <f>IF($N33=0,0,IF(AND($F33&lt;=EOMONTH(DATE(PlanYear,12,1),0),IF(ISNUMBER($G33),$G33,$F33)&gt;=DATE(PlanYear,12,1)),1,0))</f>
        <v>0</v>
      </c>
      <c r="AA33">
        <f>SUM($O33:$Z33)</f>
        <v>0</v>
      </c>
    </row>
    <row r="34" spans="1:27">
      <c r="A34" s="42">
        <f>IF($B34="","","ACT-"&amp;TEXT(ROW()-4,"000"))</f>
        <v>0</v>
      </c>
      <c r="M34" s="43">
        <f>IF(COUNTA($B34:$K34)=0,"",IF($B34="","Missing activity name",IF($C34="","Missing practice",IF(COUNTIF(PracticeNames,$C34)=0,"Practice not in Lists",IF($D34="","Missing motion",IF(NOT(ISNUMBER($F34)),"Missing or invalid start date",IF(AND(ISNUMBER($G34),$G34&lt;$F34),"End date before start",IF(AND($N34=1,$AA34=0),"Outside planning year","OK"))))))))</f>
        <v>0</v>
      </c>
      <c r="N34">
        <f>IF(AND($B34&lt;&gt;"",$C34&lt;&gt;"",$D34&lt;&gt;"",ISNUMBER($F34),COUNTIF(PracticeNames,$C34)&gt;0,COUNTIF(MotionNames,$D34)&gt;0,NOT(AND(ISNUMBER($G34),$G34&lt;$F34))),IF(StatusFilter="All (excl. Cancelled)",IF($H34="Cancelled",0,1),IF(StatusFilter="All",1,IF($H34=StatusFilter,1,0))),0)</f>
        <v>0</v>
      </c>
      <c r="O34">
        <f>IF($N34=0,0,IF(AND($F34&lt;=EOMONTH(DATE(PlanYear,1,1),0),IF(ISNUMBER($G34),$G34,$F34)&gt;=DATE(PlanYear,1,1)),1,0))</f>
        <v>0</v>
      </c>
      <c r="P34">
        <f>IF($N34=0,0,IF(AND($F34&lt;=EOMONTH(DATE(PlanYear,2,1),0),IF(ISNUMBER($G34),$G34,$F34)&gt;=DATE(PlanYear,2,1)),1,0))</f>
        <v>0</v>
      </c>
      <c r="Q34">
        <f>IF($N34=0,0,IF(AND($F34&lt;=EOMONTH(DATE(PlanYear,3,1),0),IF(ISNUMBER($G34),$G34,$F34)&gt;=DATE(PlanYear,3,1)),1,0))</f>
        <v>0</v>
      </c>
      <c r="R34">
        <f>IF($N34=0,0,IF(AND($F34&lt;=EOMONTH(DATE(PlanYear,4,1),0),IF(ISNUMBER($G34),$G34,$F34)&gt;=DATE(PlanYear,4,1)),1,0))</f>
        <v>0</v>
      </c>
      <c r="S34">
        <f>IF($N34=0,0,IF(AND($F34&lt;=EOMONTH(DATE(PlanYear,5,1),0),IF(ISNUMBER($G34),$G34,$F34)&gt;=DATE(PlanYear,5,1)),1,0))</f>
        <v>0</v>
      </c>
      <c r="T34">
        <f>IF($N34=0,0,IF(AND($F34&lt;=EOMONTH(DATE(PlanYear,6,1),0),IF(ISNUMBER($G34),$G34,$F34)&gt;=DATE(PlanYear,6,1)),1,0))</f>
        <v>0</v>
      </c>
      <c r="U34">
        <f>IF($N34=0,0,IF(AND($F34&lt;=EOMONTH(DATE(PlanYear,7,1),0),IF(ISNUMBER($G34),$G34,$F34)&gt;=DATE(PlanYear,7,1)),1,0))</f>
        <v>0</v>
      </c>
      <c r="V34">
        <f>IF($N34=0,0,IF(AND($F34&lt;=EOMONTH(DATE(PlanYear,8,1),0),IF(ISNUMBER($G34),$G34,$F34)&gt;=DATE(PlanYear,8,1)),1,0))</f>
        <v>0</v>
      </c>
      <c r="W34">
        <f>IF($N34=0,0,IF(AND($F34&lt;=EOMONTH(DATE(PlanYear,9,1),0),IF(ISNUMBER($G34),$G34,$F34)&gt;=DATE(PlanYear,9,1)),1,0))</f>
        <v>0</v>
      </c>
      <c r="X34">
        <f>IF($N34=0,0,IF(AND($F34&lt;=EOMONTH(DATE(PlanYear,10,1),0),IF(ISNUMBER($G34),$G34,$F34)&gt;=DATE(PlanYear,10,1)),1,0))</f>
        <v>0</v>
      </c>
      <c r="Y34">
        <f>IF($N34=0,0,IF(AND($F34&lt;=EOMONTH(DATE(PlanYear,11,1),0),IF(ISNUMBER($G34),$G34,$F34)&gt;=DATE(PlanYear,11,1)),1,0))</f>
        <v>0</v>
      </c>
      <c r="Z34">
        <f>IF($N34=0,0,IF(AND($F34&lt;=EOMONTH(DATE(PlanYear,12,1),0),IF(ISNUMBER($G34),$G34,$F34)&gt;=DATE(PlanYear,12,1)),1,0))</f>
        <v>0</v>
      </c>
      <c r="AA34">
        <f>SUM($O34:$Z34)</f>
        <v>0</v>
      </c>
    </row>
    <row r="35" spans="1:27">
      <c r="A35" s="42">
        <f>IF($B35="","","ACT-"&amp;TEXT(ROW()-4,"000"))</f>
        <v>0</v>
      </c>
      <c r="M35" s="43">
        <f>IF(COUNTA($B35:$K35)=0,"",IF($B35="","Missing activity name",IF($C35="","Missing practice",IF(COUNTIF(PracticeNames,$C35)=0,"Practice not in Lists",IF($D35="","Missing motion",IF(NOT(ISNUMBER($F35)),"Missing or invalid start date",IF(AND(ISNUMBER($G35),$G35&lt;$F35),"End date before start",IF(AND($N35=1,$AA35=0),"Outside planning year","OK"))))))))</f>
        <v>0</v>
      </c>
      <c r="N35">
        <f>IF(AND($B35&lt;&gt;"",$C35&lt;&gt;"",$D35&lt;&gt;"",ISNUMBER($F35),COUNTIF(PracticeNames,$C35)&gt;0,COUNTIF(MotionNames,$D35)&gt;0,NOT(AND(ISNUMBER($G35),$G35&lt;$F35))),IF(StatusFilter="All (excl. Cancelled)",IF($H35="Cancelled",0,1),IF(StatusFilter="All",1,IF($H35=StatusFilter,1,0))),0)</f>
        <v>0</v>
      </c>
      <c r="O35">
        <f>IF($N35=0,0,IF(AND($F35&lt;=EOMONTH(DATE(PlanYear,1,1),0),IF(ISNUMBER($G35),$G35,$F35)&gt;=DATE(PlanYear,1,1)),1,0))</f>
        <v>0</v>
      </c>
      <c r="P35">
        <f>IF($N35=0,0,IF(AND($F35&lt;=EOMONTH(DATE(PlanYear,2,1),0),IF(ISNUMBER($G35),$G35,$F35)&gt;=DATE(PlanYear,2,1)),1,0))</f>
        <v>0</v>
      </c>
      <c r="Q35">
        <f>IF($N35=0,0,IF(AND($F35&lt;=EOMONTH(DATE(PlanYear,3,1),0),IF(ISNUMBER($G35),$G35,$F35)&gt;=DATE(PlanYear,3,1)),1,0))</f>
        <v>0</v>
      </c>
      <c r="R35">
        <f>IF($N35=0,0,IF(AND($F35&lt;=EOMONTH(DATE(PlanYear,4,1),0),IF(ISNUMBER($G35),$G35,$F35)&gt;=DATE(PlanYear,4,1)),1,0))</f>
        <v>0</v>
      </c>
      <c r="S35">
        <f>IF($N35=0,0,IF(AND($F35&lt;=EOMONTH(DATE(PlanYear,5,1),0),IF(ISNUMBER($G35),$G35,$F35)&gt;=DATE(PlanYear,5,1)),1,0))</f>
        <v>0</v>
      </c>
      <c r="T35">
        <f>IF($N35=0,0,IF(AND($F35&lt;=EOMONTH(DATE(PlanYear,6,1),0),IF(ISNUMBER($G35),$G35,$F35)&gt;=DATE(PlanYear,6,1)),1,0))</f>
        <v>0</v>
      </c>
      <c r="U35">
        <f>IF($N35=0,0,IF(AND($F35&lt;=EOMONTH(DATE(PlanYear,7,1),0),IF(ISNUMBER($G35),$G35,$F35)&gt;=DATE(PlanYear,7,1)),1,0))</f>
        <v>0</v>
      </c>
      <c r="V35">
        <f>IF($N35=0,0,IF(AND($F35&lt;=EOMONTH(DATE(PlanYear,8,1),0),IF(ISNUMBER($G35),$G35,$F35)&gt;=DATE(PlanYear,8,1)),1,0))</f>
        <v>0</v>
      </c>
      <c r="W35">
        <f>IF($N35=0,0,IF(AND($F35&lt;=EOMONTH(DATE(PlanYear,9,1),0),IF(ISNUMBER($G35),$G35,$F35)&gt;=DATE(PlanYear,9,1)),1,0))</f>
        <v>0</v>
      </c>
      <c r="X35">
        <f>IF($N35=0,0,IF(AND($F35&lt;=EOMONTH(DATE(PlanYear,10,1),0),IF(ISNUMBER($G35),$G35,$F35)&gt;=DATE(PlanYear,10,1)),1,0))</f>
        <v>0</v>
      </c>
      <c r="Y35">
        <f>IF($N35=0,0,IF(AND($F35&lt;=EOMONTH(DATE(PlanYear,11,1),0),IF(ISNUMBER($G35),$G35,$F35)&gt;=DATE(PlanYear,11,1)),1,0))</f>
        <v>0</v>
      </c>
      <c r="Z35">
        <f>IF($N35=0,0,IF(AND($F35&lt;=EOMONTH(DATE(PlanYear,12,1),0),IF(ISNUMBER($G35),$G35,$F35)&gt;=DATE(PlanYear,12,1)),1,0))</f>
        <v>0</v>
      </c>
      <c r="AA35">
        <f>SUM($O35:$Z35)</f>
        <v>0</v>
      </c>
    </row>
    <row r="36" spans="1:27">
      <c r="A36" s="42">
        <f>IF($B36="","","ACT-"&amp;TEXT(ROW()-4,"000"))</f>
        <v>0</v>
      </c>
      <c r="M36" s="43">
        <f>IF(COUNTA($B36:$K36)=0,"",IF($B36="","Missing activity name",IF($C36="","Missing practice",IF(COUNTIF(PracticeNames,$C36)=0,"Practice not in Lists",IF($D36="","Missing motion",IF(NOT(ISNUMBER($F36)),"Missing or invalid start date",IF(AND(ISNUMBER($G36),$G36&lt;$F36),"End date before start",IF(AND($N36=1,$AA36=0),"Outside planning year","OK"))))))))</f>
        <v>0</v>
      </c>
      <c r="N36">
        <f>IF(AND($B36&lt;&gt;"",$C36&lt;&gt;"",$D36&lt;&gt;"",ISNUMBER($F36),COUNTIF(PracticeNames,$C36)&gt;0,COUNTIF(MotionNames,$D36)&gt;0,NOT(AND(ISNUMBER($G36),$G36&lt;$F36))),IF(StatusFilter="All (excl. Cancelled)",IF($H36="Cancelled",0,1),IF(StatusFilter="All",1,IF($H36=StatusFilter,1,0))),0)</f>
        <v>0</v>
      </c>
      <c r="O36">
        <f>IF($N36=0,0,IF(AND($F36&lt;=EOMONTH(DATE(PlanYear,1,1),0),IF(ISNUMBER($G36),$G36,$F36)&gt;=DATE(PlanYear,1,1)),1,0))</f>
        <v>0</v>
      </c>
      <c r="P36">
        <f>IF($N36=0,0,IF(AND($F36&lt;=EOMONTH(DATE(PlanYear,2,1),0),IF(ISNUMBER($G36),$G36,$F36)&gt;=DATE(PlanYear,2,1)),1,0))</f>
        <v>0</v>
      </c>
      <c r="Q36">
        <f>IF($N36=0,0,IF(AND($F36&lt;=EOMONTH(DATE(PlanYear,3,1),0),IF(ISNUMBER($G36),$G36,$F36)&gt;=DATE(PlanYear,3,1)),1,0))</f>
        <v>0</v>
      </c>
      <c r="R36">
        <f>IF($N36=0,0,IF(AND($F36&lt;=EOMONTH(DATE(PlanYear,4,1),0),IF(ISNUMBER($G36),$G36,$F36)&gt;=DATE(PlanYear,4,1)),1,0))</f>
        <v>0</v>
      </c>
      <c r="S36">
        <f>IF($N36=0,0,IF(AND($F36&lt;=EOMONTH(DATE(PlanYear,5,1),0),IF(ISNUMBER($G36),$G36,$F36)&gt;=DATE(PlanYear,5,1)),1,0))</f>
        <v>0</v>
      </c>
      <c r="T36">
        <f>IF($N36=0,0,IF(AND($F36&lt;=EOMONTH(DATE(PlanYear,6,1),0),IF(ISNUMBER($G36),$G36,$F36)&gt;=DATE(PlanYear,6,1)),1,0))</f>
        <v>0</v>
      </c>
      <c r="U36">
        <f>IF($N36=0,0,IF(AND($F36&lt;=EOMONTH(DATE(PlanYear,7,1),0),IF(ISNUMBER($G36),$G36,$F36)&gt;=DATE(PlanYear,7,1)),1,0))</f>
        <v>0</v>
      </c>
      <c r="V36">
        <f>IF($N36=0,0,IF(AND($F36&lt;=EOMONTH(DATE(PlanYear,8,1),0),IF(ISNUMBER($G36),$G36,$F36)&gt;=DATE(PlanYear,8,1)),1,0))</f>
        <v>0</v>
      </c>
      <c r="W36">
        <f>IF($N36=0,0,IF(AND($F36&lt;=EOMONTH(DATE(PlanYear,9,1),0),IF(ISNUMBER($G36),$G36,$F36)&gt;=DATE(PlanYear,9,1)),1,0))</f>
        <v>0</v>
      </c>
      <c r="X36">
        <f>IF($N36=0,0,IF(AND($F36&lt;=EOMONTH(DATE(PlanYear,10,1),0),IF(ISNUMBER($G36),$G36,$F36)&gt;=DATE(PlanYear,10,1)),1,0))</f>
        <v>0</v>
      </c>
      <c r="Y36">
        <f>IF($N36=0,0,IF(AND($F36&lt;=EOMONTH(DATE(PlanYear,11,1),0),IF(ISNUMBER($G36),$G36,$F36)&gt;=DATE(PlanYear,11,1)),1,0))</f>
        <v>0</v>
      </c>
      <c r="Z36">
        <f>IF($N36=0,0,IF(AND($F36&lt;=EOMONTH(DATE(PlanYear,12,1),0),IF(ISNUMBER($G36),$G36,$F36)&gt;=DATE(PlanYear,12,1)),1,0))</f>
        <v>0</v>
      </c>
      <c r="AA36">
        <f>SUM($O36:$Z36)</f>
        <v>0</v>
      </c>
    </row>
    <row r="37" spans="1:27">
      <c r="A37" s="42">
        <f>IF($B37="","","ACT-"&amp;TEXT(ROW()-4,"000"))</f>
        <v>0</v>
      </c>
      <c r="M37" s="43">
        <f>IF(COUNTA($B37:$K37)=0,"",IF($B37="","Missing activity name",IF($C37="","Missing practice",IF(COUNTIF(PracticeNames,$C37)=0,"Practice not in Lists",IF($D37="","Missing motion",IF(NOT(ISNUMBER($F37)),"Missing or invalid start date",IF(AND(ISNUMBER($G37),$G37&lt;$F37),"End date before start",IF(AND($N37=1,$AA37=0),"Outside planning year","OK"))))))))</f>
        <v>0</v>
      </c>
      <c r="N37">
        <f>IF(AND($B37&lt;&gt;"",$C37&lt;&gt;"",$D37&lt;&gt;"",ISNUMBER($F37),COUNTIF(PracticeNames,$C37)&gt;0,COUNTIF(MotionNames,$D37)&gt;0,NOT(AND(ISNUMBER($G37),$G37&lt;$F37))),IF(StatusFilter="All (excl. Cancelled)",IF($H37="Cancelled",0,1),IF(StatusFilter="All",1,IF($H37=StatusFilter,1,0))),0)</f>
        <v>0</v>
      </c>
      <c r="O37">
        <f>IF($N37=0,0,IF(AND($F37&lt;=EOMONTH(DATE(PlanYear,1,1),0),IF(ISNUMBER($G37),$G37,$F37)&gt;=DATE(PlanYear,1,1)),1,0))</f>
        <v>0</v>
      </c>
      <c r="P37">
        <f>IF($N37=0,0,IF(AND($F37&lt;=EOMONTH(DATE(PlanYear,2,1),0),IF(ISNUMBER($G37),$G37,$F37)&gt;=DATE(PlanYear,2,1)),1,0))</f>
        <v>0</v>
      </c>
      <c r="Q37">
        <f>IF($N37=0,0,IF(AND($F37&lt;=EOMONTH(DATE(PlanYear,3,1),0),IF(ISNUMBER($G37),$G37,$F37)&gt;=DATE(PlanYear,3,1)),1,0))</f>
        <v>0</v>
      </c>
      <c r="R37">
        <f>IF($N37=0,0,IF(AND($F37&lt;=EOMONTH(DATE(PlanYear,4,1),0),IF(ISNUMBER($G37),$G37,$F37)&gt;=DATE(PlanYear,4,1)),1,0))</f>
        <v>0</v>
      </c>
      <c r="S37">
        <f>IF($N37=0,0,IF(AND($F37&lt;=EOMONTH(DATE(PlanYear,5,1),0),IF(ISNUMBER($G37),$G37,$F37)&gt;=DATE(PlanYear,5,1)),1,0))</f>
        <v>0</v>
      </c>
      <c r="T37">
        <f>IF($N37=0,0,IF(AND($F37&lt;=EOMONTH(DATE(PlanYear,6,1),0),IF(ISNUMBER($G37),$G37,$F37)&gt;=DATE(PlanYear,6,1)),1,0))</f>
        <v>0</v>
      </c>
      <c r="U37">
        <f>IF($N37=0,0,IF(AND($F37&lt;=EOMONTH(DATE(PlanYear,7,1),0),IF(ISNUMBER($G37),$G37,$F37)&gt;=DATE(PlanYear,7,1)),1,0))</f>
        <v>0</v>
      </c>
      <c r="V37">
        <f>IF($N37=0,0,IF(AND($F37&lt;=EOMONTH(DATE(PlanYear,8,1),0),IF(ISNUMBER($G37),$G37,$F37)&gt;=DATE(PlanYear,8,1)),1,0))</f>
        <v>0</v>
      </c>
      <c r="W37">
        <f>IF($N37=0,0,IF(AND($F37&lt;=EOMONTH(DATE(PlanYear,9,1),0),IF(ISNUMBER($G37),$G37,$F37)&gt;=DATE(PlanYear,9,1)),1,0))</f>
        <v>0</v>
      </c>
      <c r="X37">
        <f>IF($N37=0,0,IF(AND($F37&lt;=EOMONTH(DATE(PlanYear,10,1),0),IF(ISNUMBER($G37),$G37,$F37)&gt;=DATE(PlanYear,10,1)),1,0))</f>
        <v>0</v>
      </c>
      <c r="Y37">
        <f>IF($N37=0,0,IF(AND($F37&lt;=EOMONTH(DATE(PlanYear,11,1),0),IF(ISNUMBER($G37),$G37,$F37)&gt;=DATE(PlanYear,11,1)),1,0))</f>
        <v>0</v>
      </c>
      <c r="Z37">
        <f>IF($N37=0,0,IF(AND($F37&lt;=EOMONTH(DATE(PlanYear,12,1),0),IF(ISNUMBER($G37),$G37,$F37)&gt;=DATE(PlanYear,12,1)),1,0))</f>
        <v>0</v>
      </c>
      <c r="AA37">
        <f>SUM($O37:$Z37)</f>
        <v>0</v>
      </c>
    </row>
    <row r="38" spans="1:27">
      <c r="A38" s="42">
        <f>IF($B38="","","ACT-"&amp;TEXT(ROW()-4,"000"))</f>
        <v>0</v>
      </c>
      <c r="M38" s="43">
        <f>IF(COUNTA($B38:$K38)=0,"",IF($B38="","Missing activity name",IF($C38="","Missing practice",IF(COUNTIF(PracticeNames,$C38)=0,"Practice not in Lists",IF($D38="","Missing motion",IF(NOT(ISNUMBER($F38)),"Missing or invalid start date",IF(AND(ISNUMBER($G38),$G38&lt;$F38),"End date before start",IF(AND($N38=1,$AA38=0),"Outside planning year","OK"))))))))</f>
        <v>0</v>
      </c>
      <c r="N38">
        <f>IF(AND($B38&lt;&gt;"",$C38&lt;&gt;"",$D38&lt;&gt;"",ISNUMBER($F38),COUNTIF(PracticeNames,$C38)&gt;0,COUNTIF(MotionNames,$D38)&gt;0,NOT(AND(ISNUMBER($G38),$G38&lt;$F38))),IF(StatusFilter="All (excl. Cancelled)",IF($H38="Cancelled",0,1),IF(StatusFilter="All",1,IF($H38=StatusFilter,1,0))),0)</f>
        <v>0</v>
      </c>
      <c r="O38">
        <f>IF($N38=0,0,IF(AND($F38&lt;=EOMONTH(DATE(PlanYear,1,1),0),IF(ISNUMBER($G38),$G38,$F38)&gt;=DATE(PlanYear,1,1)),1,0))</f>
        <v>0</v>
      </c>
      <c r="P38">
        <f>IF($N38=0,0,IF(AND($F38&lt;=EOMONTH(DATE(PlanYear,2,1),0),IF(ISNUMBER($G38),$G38,$F38)&gt;=DATE(PlanYear,2,1)),1,0))</f>
        <v>0</v>
      </c>
      <c r="Q38">
        <f>IF($N38=0,0,IF(AND($F38&lt;=EOMONTH(DATE(PlanYear,3,1),0),IF(ISNUMBER($G38),$G38,$F38)&gt;=DATE(PlanYear,3,1)),1,0))</f>
        <v>0</v>
      </c>
      <c r="R38">
        <f>IF($N38=0,0,IF(AND($F38&lt;=EOMONTH(DATE(PlanYear,4,1),0),IF(ISNUMBER($G38),$G38,$F38)&gt;=DATE(PlanYear,4,1)),1,0))</f>
        <v>0</v>
      </c>
      <c r="S38">
        <f>IF($N38=0,0,IF(AND($F38&lt;=EOMONTH(DATE(PlanYear,5,1),0),IF(ISNUMBER($G38),$G38,$F38)&gt;=DATE(PlanYear,5,1)),1,0))</f>
        <v>0</v>
      </c>
      <c r="T38">
        <f>IF($N38=0,0,IF(AND($F38&lt;=EOMONTH(DATE(PlanYear,6,1),0),IF(ISNUMBER($G38),$G38,$F38)&gt;=DATE(PlanYear,6,1)),1,0))</f>
        <v>0</v>
      </c>
      <c r="U38">
        <f>IF($N38=0,0,IF(AND($F38&lt;=EOMONTH(DATE(PlanYear,7,1),0),IF(ISNUMBER($G38),$G38,$F38)&gt;=DATE(PlanYear,7,1)),1,0))</f>
        <v>0</v>
      </c>
      <c r="V38">
        <f>IF($N38=0,0,IF(AND($F38&lt;=EOMONTH(DATE(PlanYear,8,1),0),IF(ISNUMBER($G38),$G38,$F38)&gt;=DATE(PlanYear,8,1)),1,0))</f>
        <v>0</v>
      </c>
      <c r="W38">
        <f>IF($N38=0,0,IF(AND($F38&lt;=EOMONTH(DATE(PlanYear,9,1),0),IF(ISNUMBER($G38),$G38,$F38)&gt;=DATE(PlanYear,9,1)),1,0))</f>
        <v>0</v>
      </c>
      <c r="X38">
        <f>IF($N38=0,0,IF(AND($F38&lt;=EOMONTH(DATE(PlanYear,10,1),0),IF(ISNUMBER($G38),$G38,$F38)&gt;=DATE(PlanYear,10,1)),1,0))</f>
        <v>0</v>
      </c>
      <c r="Y38">
        <f>IF($N38=0,0,IF(AND($F38&lt;=EOMONTH(DATE(PlanYear,11,1),0),IF(ISNUMBER($G38),$G38,$F38)&gt;=DATE(PlanYear,11,1)),1,0))</f>
        <v>0</v>
      </c>
      <c r="Z38">
        <f>IF($N38=0,0,IF(AND($F38&lt;=EOMONTH(DATE(PlanYear,12,1),0),IF(ISNUMBER($G38),$G38,$F38)&gt;=DATE(PlanYear,12,1)),1,0))</f>
        <v>0</v>
      </c>
      <c r="AA38">
        <f>SUM($O38:$Z38)</f>
        <v>0</v>
      </c>
    </row>
    <row r="39" spans="1:27">
      <c r="A39" s="42">
        <f>IF($B39="","","ACT-"&amp;TEXT(ROW()-4,"000"))</f>
        <v>0</v>
      </c>
      <c r="M39" s="43">
        <f>IF(COUNTA($B39:$K39)=0,"",IF($B39="","Missing activity name",IF($C39="","Missing practice",IF(COUNTIF(PracticeNames,$C39)=0,"Practice not in Lists",IF($D39="","Missing motion",IF(NOT(ISNUMBER($F39)),"Missing or invalid start date",IF(AND(ISNUMBER($G39),$G39&lt;$F39),"End date before start",IF(AND($N39=1,$AA39=0),"Outside planning year","OK"))))))))</f>
        <v>0</v>
      </c>
      <c r="N39">
        <f>IF(AND($B39&lt;&gt;"",$C39&lt;&gt;"",$D39&lt;&gt;"",ISNUMBER($F39),COUNTIF(PracticeNames,$C39)&gt;0,COUNTIF(MotionNames,$D39)&gt;0,NOT(AND(ISNUMBER($G39),$G39&lt;$F39))),IF(StatusFilter="All (excl. Cancelled)",IF($H39="Cancelled",0,1),IF(StatusFilter="All",1,IF($H39=StatusFilter,1,0))),0)</f>
        <v>0</v>
      </c>
      <c r="O39">
        <f>IF($N39=0,0,IF(AND($F39&lt;=EOMONTH(DATE(PlanYear,1,1),0),IF(ISNUMBER($G39),$G39,$F39)&gt;=DATE(PlanYear,1,1)),1,0))</f>
        <v>0</v>
      </c>
      <c r="P39">
        <f>IF($N39=0,0,IF(AND($F39&lt;=EOMONTH(DATE(PlanYear,2,1),0),IF(ISNUMBER($G39),$G39,$F39)&gt;=DATE(PlanYear,2,1)),1,0))</f>
        <v>0</v>
      </c>
      <c r="Q39">
        <f>IF($N39=0,0,IF(AND($F39&lt;=EOMONTH(DATE(PlanYear,3,1),0),IF(ISNUMBER($G39),$G39,$F39)&gt;=DATE(PlanYear,3,1)),1,0))</f>
        <v>0</v>
      </c>
      <c r="R39">
        <f>IF($N39=0,0,IF(AND($F39&lt;=EOMONTH(DATE(PlanYear,4,1),0),IF(ISNUMBER($G39),$G39,$F39)&gt;=DATE(PlanYear,4,1)),1,0))</f>
        <v>0</v>
      </c>
      <c r="S39">
        <f>IF($N39=0,0,IF(AND($F39&lt;=EOMONTH(DATE(PlanYear,5,1),0),IF(ISNUMBER($G39),$G39,$F39)&gt;=DATE(PlanYear,5,1)),1,0))</f>
        <v>0</v>
      </c>
      <c r="T39">
        <f>IF($N39=0,0,IF(AND($F39&lt;=EOMONTH(DATE(PlanYear,6,1),0),IF(ISNUMBER($G39),$G39,$F39)&gt;=DATE(PlanYear,6,1)),1,0))</f>
        <v>0</v>
      </c>
      <c r="U39">
        <f>IF($N39=0,0,IF(AND($F39&lt;=EOMONTH(DATE(PlanYear,7,1),0),IF(ISNUMBER($G39),$G39,$F39)&gt;=DATE(PlanYear,7,1)),1,0))</f>
        <v>0</v>
      </c>
      <c r="V39">
        <f>IF($N39=0,0,IF(AND($F39&lt;=EOMONTH(DATE(PlanYear,8,1),0),IF(ISNUMBER($G39),$G39,$F39)&gt;=DATE(PlanYear,8,1)),1,0))</f>
        <v>0</v>
      </c>
      <c r="W39">
        <f>IF($N39=0,0,IF(AND($F39&lt;=EOMONTH(DATE(PlanYear,9,1),0),IF(ISNUMBER($G39),$G39,$F39)&gt;=DATE(PlanYear,9,1)),1,0))</f>
        <v>0</v>
      </c>
      <c r="X39">
        <f>IF($N39=0,0,IF(AND($F39&lt;=EOMONTH(DATE(PlanYear,10,1),0),IF(ISNUMBER($G39),$G39,$F39)&gt;=DATE(PlanYear,10,1)),1,0))</f>
        <v>0</v>
      </c>
      <c r="Y39">
        <f>IF($N39=0,0,IF(AND($F39&lt;=EOMONTH(DATE(PlanYear,11,1),0),IF(ISNUMBER($G39),$G39,$F39)&gt;=DATE(PlanYear,11,1)),1,0))</f>
        <v>0</v>
      </c>
      <c r="Z39">
        <f>IF($N39=0,0,IF(AND($F39&lt;=EOMONTH(DATE(PlanYear,12,1),0),IF(ISNUMBER($G39),$G39,$F39)&gt;=DATE(PlanYear,12,1)),1,0))</f>
        <v>0</v>
      </c>
      <c r="AA39">
        <f>SUM($O39:$Z39)</f>
        <v>0</v>
      </c>
    </row>
    <row r="40" spans="1:27">
      <c r="A40" s="42">
        <f>IF($B40="","","ACT-"&amp;TEXT(ROW()-4,"000"))</f>
        <v>0</v>
      </c>
      <c r="M40" s="43">
        <f>IF(COUNTA($B40:$K40)=0,"",IF($B40="","Missing activity name",IF($C40="","Missing practice",IF(COUNTIF(PracticeNames,$C40)=0,"Practice not in Lists",IF($D40="","Missing motion",IF(NOT(ISNUMBER($F40)),"Missing or invalid start date",IF(AND(ISNUMBER($G40),$G40&lt;$F40),"End date before start",IF(AND($N40=1,$AA40=0),"Outside planning year","OK"))))))))</f>
        <v>0</v>
      </c>
      <c r="N40">
        <f>IF(AND($B40&lt;&gt;"",$C40&lt;&gt;"",$D40&lt;&gt;"",ISNUMBER($F40),COUNTIF(PracticeNames,$C40)&gt;0,COUNTIF(MotionNames,$D40)&gt;0,NOT(AND(ISNUMBER($G40),$G40&lt;$F40))),IF(StatusFilter="All (excl. Cancelled)",IF($H40="Cancelled",0,1),IF(StatusFilter="All",1,IF($H40=StatusFilter,1,0))),0)</f>
        <v>0</v>
      </c>
      <c r="O40">
        <f>IF($N40=0,0,IF(AND($F40&lt;=EOMONTH(DATE(PlanYear,1,1),0),IF(ISNUMBER($G40),$G40,$F40)&gt;=DATE(PlanYear,1,1)),1,0))</f>
        <v>0</v>
      </c>
      <c r="P40">
        <f>IF($N40=0,0,IF(AND($F40&lt;=EOMONTH(DATE(PlanYear,2,1),0),IF(ISNUMBER($G40),$G40,$F40)&gt;=DATE(PlanYear,2,1)),1,0))</f>
        <v>0</v>
      </c>
      <c r="Q40">
        <f>IF($N40=0,0,IF(AND($F40&lt;=EOMONTH(DATE(PlanYear,3,1),0),IF(ISNUMBER($G40),$G40,$F40)&gt;=DATE(PlanYear,3,1)),1,0))</f>
        <v>0</v>
      </c>
      <c r="R40">
        <f>IF($N40=0,0,IF(AND($F40&lt;=EOMONTH(DATE(PlanYear,4,1),0),IF(ISNUMBER($G40),$G40,$F40)&gt;=DATE(PlanYear,4,1)),1,0))</f>
        <v>0</v>
      </c>
      <c r="S40">
        <f>IF($N40=0,0,IF(AND($F40&lt;=EOMONTH(DATE(PlanYear,5,1),0),IF(ISNUMBER($G40),$G40,$F40)&gt;=DATE(PlanYear,5,1)),1,0))</f>
        <v>0</v>
      </c>
      <c r="T40">
        <f>IF($N40=0,0,IF(AND($F40&lt;=EOMONTH(DATE(PlanYear,6,1),0),IF(ISNUMBER($G40),$G40,$F40)&gt;=DATE(PlanYear,6,1)),1,0))</f>
        <v>0</v>
      </c>
      <c r="U40">
        <f>IF($N40=0,0,IF(AND($F40&lt;=EOMONTH(DATE(PlanYear,7,1),0),IF(ISNUMBER($G40),$G40,$F40)&gt;=DATE(PlanYear,7,1)),1,0))</f>
        <v>0</v>
      </c>
      <c r="V40">
        <f>IF($N40=0,0,IF(AND($F40&lt;=EOMONTH(DATE(PlanYear,8,1),0),IF(ISNUMBER($G40),$G40,$F40)&gt;=DATE(PlanYear,8,1)),1,0))</f>
        <v>0</v>
      </c>
      <c r="W40">
        <f>IF($N40=0,0,IF(AND($F40&lt;=EOMONTH(DATE(PlanYear,9,1),0),IF(ISNUMBER($G40),$G40,$F40)&gt;=DATE(PlanYear,9,1)),1,0))</f>
        <v>0</v>
      </c>
      <c r="X40">
        <f>IF($N40=0,0,IF(AND($F40&lt;=EOMONTH(DATE(PlanYear,10,1),0),IF(ISNUMBER($G40),$G40,$F40)&gt;=DATE(PlanYear,10,1)),1,0))</f>
        <v>0</v>
      </c>
      <c r="Y40">
        <f>IF($N40=0,0,IF(AND($F40&lt;=EOMONTH(DATE(PlanYear,11,1),0),IF(ISNUMBER($G40),$G40,$F40)&gt;=DATE(PlanYear,11,1)),1,0))</f>
        <v>0</v>
      </c>
      <c r="Z40">
        <f>IF($N40=0,0,IF(AND($F40&lt;=EOMONTH(DATE(PlanYear,12,1),0),IF(ISNUMBER($G40),$G40,$F40)&gt;=DATE(PlanYear,12,1)),1,0))</f>
        <v>0</v>
      </c>
      <c r="AA40">
        <f>SUM($O40:$Z40)</f>
        <v>0</v>
      </c>
    </row>
    <row r="41" spans="1:27">
      <c r="A41" s="42">
        <f>IF($B41="","","ACT-"&amp;TEXT(ROW()-4,"000"))</f>
        <v>0</v>
      </c>
      <c r="M41" s="43">
        <f>IF(COUNTA($B41:$K41)=0,"",IF($B41="","Missing activity name",IF($C41="","Missing practice",IF(COUNTIF(PracticeNames,$C41)=0,"Practice not in Lists",IF($D41="","Missing motion",IF(NOT(ISNUMBER($F41)),"Missing or invalid start date",IF(AND(ISNUMBER($G41),$G41&lt;$F41),"End date before start",IF(AND($N41=1,$AA41=0),"Outside planning year","OK"))))))))</f>
        <v>0</v>
      </c>
      <c r="N41">
        <f>IF(AND($B41&lt;&gt;"",$C41&lt;&gt;"",$D41&lt;&gt;"",ISNUMBER($F41),COUNTIF(PracticeNames,$C41)&gt;0,COUNTIF(MotionNames,$D41)&gt;0,NOT(AND(ISNUMBER($G41),$G41&lt;$F41))),IF(StatusFilter="All (excl. Cancelled)",IF($H41="Cancelled",0,1),IF(StatusFilter="All",1,IF($H41=StatusFilter,1,0))),0)</f>
        <v>0</v>
      </c>
      <c r="O41">
        <f>IF($N41=0,0,IF(AND($F41&lt;=EOMONTH(DATE(PlanYear,1,1),0),IF(ISNUMBER($G41),$G41,$F41)&gt;=DATE(PlanYear,1,1)),1,0))</f>
        <v>0</v>
      </c>
      <c r="P41">
        <f>IF($N41=0,0,IF(AND($F41&lt;=EOMONTH(DATE(PlanYear,2,1),0),IF(ISNUMBER($G41),$G41,$F41)&gt;=DATE(PlanYear,2,1)),1,0))</f>
        <v>0</v>
      </c>
      <c r="Q41">
        <f>IF($N41=0,0,IF(AND($F41&lt;=EOMONTH(DATE(PlanYear,3,1),0),IF(ISNUMBER($G41),$G41,$F41)&gt;=DATE(PlanYear,3,1)),1,0))</f>
        <v>0</v>
      </c>
      <c r="R41">
        <f>IF($N41=0,0,IF(AND($F41&lt;=EOMONTH(DATE(PlanYear,4,1),0),IF(ISNUMBER($G41),$G41,$F41)&gt;=DATE(PlanYear,4,1)),1,0))</f>
        <v>0</v>
      </c>
      <c r="S41">
        <f>IF($N41=0,0,IF(AND($F41&lt;=EOMONTH(DATE(PlanYear,5,1),0),IF(ISNUMBER($G41),$G41,$F41)&gt;=DATE(PlanYear,5,1)),1,0))</f>
        <v>0</v>
      </c>
      <c r="T41">
        <f>IF($N41=0,0,IF(AND($F41&lt;=EOMONTH(DATE(PlanYear,6,1),0),IF(ISNUMBER($G41),$G41,$F41)&gt;=DATE(PlanYear,6,1)),1,0))</f>
        <v>0</v>
      </c>
      <c r="U41">
        <f>IF($N41=0,0,IF(AND($F41&lt;=EOMONTH(DATE(PlanYear,7,1),0),IF(ISNUMBER($G41),$G41,$F41)&gt;=DATE(PlanYear,7,1)),1,0))</f>
        <v>0</v>
      </c>
      <c r="V41">
        <f>IF($N41=0,0,IF(AND($F41&lt;=EOMONTH(DATE(PlanYear,8,1),0),IF(ISNUMBER($G41),$G41,$F41)&gt;=DATE(PlanYear,8,1)),1,0))</f>
        <v>0</v>
      </c>
      <c r="W41">
        <f>IF($N41=0,0,IF(AND($F41&lt;=EOMONTH(DATE(PlanYear,9,1),0),IF(ISNUMBER($G41),$G41,$F41)&gt;=DATE(PlanYear,9,1)),1,0))</f>
        <v>0</v>
      </c>
      <c r="X41">
        <f>IF($N41=0,0,IF(AND($F41&lt;=EOMONTH(DATE(PlanYear,10,1),0),IF(ISNUMBER($G41),$G41,$F41)&gt;=DATE(PlanYear,10,1)),1,0))</f>
        <v>0</v>
      </c>
      <c r="Y41">
        <f>IF($N41=0,0,IF(AND($F41&lt;=EOMONTH(DATE(PlanYear,11,1),0),IF(ISNUMBER($G41),$G41,$F41)&gt;=DATE(PlanYear,11,1)),1,0))</f>
        <v>0</v>
      </c>
      <c r="Z41">
        <f>IF($N41=0,0,IF(AND($F41&lt;=EOMONTH(DATE(PlanYear,12,1),0),IF(ISNUMBER($G41),$G41,$F41)&gt;=DATE(PlanYear,12,1)),1,0))</f>
        <v>0</v>
      </c>
      <c r="AA41">
        <f>SUM($O41:$Z41)</f>
        <v>0</v>
      </c>
    </row>
    <row r="42" spans="1:27">
      <c r="A42" s="42">
        <f>IF($B42="","","ACT-"&amp;TEXT(ROW()-4,"000"))</f>
        <v>0</v>
      </c>
      <c r="M42" s="43">
        <f>IF(COUNTA($B42:$K42)=0,"",IF($B42="","Missing activity name",IF($C42="","Missing practice",IF(COUNTIF(PracticeNames,$C42)=0,"Practice not in Lists",IF($D42="","Missing motion",IF(NOT(ISNUMBER($F42)),"Missing or invalid start date",IF(AND(ISNUMBER($G42),$G42&lt;$F42),"End date before start",IF(AND($N42=1,$AA42=0),"Outside planning year","OK"))))))))</f>
        <v>0</v>
      </c>
      <c r="N42">
        <f>IF(AND($B42&lt;&gt;"",$C42&lt;&gt;"",$D42&lt;&gt;"",ISNUMBER($F42),COUNTIF(PracticeNames,$C42)&gt;0,COUNTIF(MotionNames,$D42)&gt;0,NOT(AND(ISNUMBER($G42),$G42&lt;$F42))),IF(StatusFilter="All (excl. Cancelled)",IF($H42="Cancelled",0,1),IF(StatusFilter="All",1,IF($H42=StatusFilter,1,0))),0)</f>
        <v>0</v>
      </c>
      <c r="O42">
        <f>IF($N42=0,0,IF(AND($F42&lt;=EOMONTH(DATE(PlanYear,1,1),0),IF(ISNUMBER($G42),$G42,$F42)&gt;=DATE(PlanYear,1,1)),1,0))</f>
        <v>0</v>
      </c>
      <c r="P42">
        <f>IF($N42=0,0,IF(AND($F42&lt;=EOMONTH(DATE(PlanYear,2,1),0),IF(ISNUMBER($G42),$G42,$F42)&gt;=DATE(PlanYear,2,1)),1,0))</f>
        <v>0</v>
      </c>
      <c r="Q42">
        <f>IF($N42=0,0,IF(AND($F42&lt;=EOMONTH(DATE(PlanYear,3,1),0),IF(ISNUMBER($G42),$G42,$F42)&gt;=DATE(PlanYear,3,1)),1,0))</f>
        <v>0</v>
      </c>
      <c r="R42">
        <f>IF($N42=0,0,IF(AND($F42&lt;=EOMONTH(DATE(PlanYear,4,1),0),IF(ISNUMBER($G42),$G42,$F42)&gt;=DATE(PlanYear,4,1)),1,0))</f>
        <v>0</v>
      </c>
      <c r="S42">
        <f>IF($N42=0,0,IF(AND($F42&lt;=EOMONTH(DATE(PlanYear,5,1),0),IF(ISNUMBER($G42),$G42,$F42)&gt;=DATE(PlanYear,5,1)),1,0))</f>
        <v>0</v>
      </c>
      <c r="T42">
        <f>IF($N42=0,0,IF(AND($F42&lt;=EOMONTH(DATE(PlanYear,6,1),0),IF(ISNUMBER($G42),$G42,$F42)&gt;=DATE(PlanYear,6,1)),1,0))</f>
        <v>0</v>
      </c>
      <c r="U42">
        <f>IF($N42=0,0,IF(AND($F42&lt;=EOMONTH(DATE(PlanYear,7,1),0),IF(ISNUMBER($G42),$G42,$F42)&gt;=DATE(PlanYear,7,1)),1,0))</f>
        <v>0</v>
      </c>
      <c r="V42">
        <f>IF($N42=0,0,IF(AND($F42&lt;=EOMONTH(DATE(PlanYear,8,1),0),IF(ISNUMBER($G42),$G42,$F42)&gt;=DATE(PlanYear,8,1)),1,0))</f>
        <v>0</v>
      </c>
      <c r="W42">
        <f>IF($N42=0,0,IF(AND($F42&lt;=EOMONTH(DATE(PlanYear,9,1),0),IF(ISNUMBER($G42),$G42,$F42)&gt;=DATE(PlanYear,9,1)),1,0))</f>
        <v>0</v>
      </c>
      <c r="X42">
        <f>IF($N42=0,0,IF(AND($F42&lt;=EOMONTH(DATE(PlanYear,10,1),0),IF(ISNUMBER($G42),$G42,$F42)&gt;=DATE(PlanYear,10,1)),1,0))</f>
        <v>0</v>
      </c>
      <c r="Y42">
        <f>IF($N42=0,0,IF(AND($F42&lt;=EOMONTH(DATE(PlanYear,11,1),0),IF(ISNUMBER($G42),$G42,$F42)&gt;=DATE(PlanYear,11,1)),1,0))</f>
        <v>0</v>
      </c>
      <c r="Z42">
        <f>IF($N42=0,0,IF(AND($F42&lt;=EOMONTH(DATE(PlanYear,12,1),0),IF(ISNUMBER($G42),$G42,$F42)&gt;=DATE(PlanYear,12,1)),1,0))</f>
        <v>0</v>
      </c>
      <c r="AA42">
        <f>SUM($O42:$Z42)</f>
        <v>0</v>
      </c>
    </row>
    <row r="43" spans="1:27">
      <c r="A43" s="42">
        <f>IF($B43="","","ACT-"&amp;TEXT(ROW()-4,"000"))</f>
        <v>0</v>
      </c>
      <c r="M43" s="43">
        <f>IF(COUNTA($B43:$K43)=0,"",IF($B43="","Missing activity name",IF($C43="","Missing practice",IF(COUNTIF(PracticeNames,$C43)=0,"Practice not in Lists",IF($D43="","Missing motion",IF(NOT(ISNUMBER($F43)),"Missing or invalid start date",IF(AND(ISNUMBER($G43),$G43&lt;$F43),"End date before start",IF(AND($N43=1,$AA43=0),"Outside planning year","OK"))))))))</f>
        <v>0</v>
      </c>
      <c r="N43">
        <f>IF(AND($B43&lt;&gt;"",$C43&lt;&gt;"",$D43&lt;&gt;"",ISNUMBER($F43),COUNTIF(PracticeNames,$C43)&gt;0,COUNTIF(MotionNames,$D43)&gt;0,NOT(AND(ISNUMBER($G43),$G43&lt;$F43))),IF(StatusFilter="All (excl. Cancelled)",IF($H43="Cancelled",0,1),IF(StatusFilter="All",1,IF($H43=StatusFilter,1,0))),0)</f>
        <v>0</v>
      </c>
      <c r="O43">
        <f>IF($N43=0,0,IF(AND($F43&lt;=EOMONTH(DATE(PlanYear,1,1),0),IF(ISNUMBER($G43),$G43,$F43)&gt;=DATE(PlanYear,1,1)),1,0))</f>
        <v>0</v>
      </c>
      <c r="P43">
        <f>IF($N43=0,0,IF(AND($F43&lt;=EOMONTH(DATE(PlanYear,2,1),0),IF(ISNUMBER($G43),$G43,$F43)&gt;=DATE(PlanYear,2,1)),1,0))</f>
        <v>0</v>
      </c>
      <c r="Q43">
        <f>IF($N43=0,0,IF(AND($F43&lt;=EOMONTH(DATE(PlanYear,3,1),0),IF(ISNUMBER($G43),$G43,$F43)&gt;=DATE(PlanYear,3,1)),1,0))</f>
        <v>0</v>
      </c>
      <c r="R43">
        <f>IF($N43=0,0,IF(AND($F43&lt;=EOMONTH(DATE(PlanYear,4,1),0),IF(ISNUMBER($G43),$G43,$F43)&gt;=DATE(PlanYear,4,1)),1,0))</f>
        <v>0</v>
      </c>
      <c r="S43">
        <f>IF($N43=0,0,IF(AND($F43&lt;=EOMONTH(DATE(PlanYear,5,1),0),IF(ISNUMBER($G43),$G43,$F43)&gt;=DATE(PlanYear,5,1)),1,0))</f>
        <v>0</v>
      </c>
      <c r="T43">
        <f>IF($N43=0,0,IF(AND($F43&lt;=EOMONTH(DATE(PlanYear,6,1),0),IF(ISNUMBER($G43),$G43,$F43)&gt;=DATE(PlanYear,6,1)),1,0))</f>
        <v>0</v>
      </c>
      <c r="U43">
        <f>IF($N43=0,0,IF(AND($F43&lt;=EOMONTH(DATE(PlanYear,7,1),0),IF(ISNUMBER($G43),$G43,$F43)&gt;=DATE(PlanYear,7,1)),1,0))</f>
        <v>0</v>
      </c>
      <c r="V43">
        <f>IF($N43=0,0,IF(AND($F43&lt;=EOMONTH(DATE(PlanYear,8,1),0),IF(ISNUMBER($G43),$G43,$F43)&gt;=DATE(PlanYear,8,1)),1,0))</f>
        <v>0</v>
      </c>
      <c r="W43">
        <f>IF($N43=0,0,IF(AND($F43&lt;=EOMONTH(DATE(PlanYear,9,1),0),IF(ISNUMBER($G43),$G43,$F43)&gt;=DATE(PlanYear,9,1)),1,0))</f>
        <v>0</v>
      </c>
      <c r="X43">
        <f>IF($N43=0,0,IF(AND($F43&lt;=EOMONTH(DATE(PlanYear,10,1),0),IF(ISNUMBER($G43),$G43,$F43)&gt;=DATE(PlanYear,10,1)),1,0))</f>
        <v>0</v>
      </c>
      <c r="Y43">
        <f>IF($N43=0,0,IF(AND($F43&lt;=EOMONTH(DATE(PlanYear,11,1),0),IF(ISNUMBER($G43),$G43,$F43)&gt;=DATE(PlanYear,11,1)),1,0))</f>
        <v>0</v>
      </c>
      <c r="Z43">
        <f>IF($N43=0,0,IF(AND($F43&lt;=EOMONTH(DATE(PlanYear,12,1),0),IF(ISNUMBER($G43),$G43,$F43)&gt;=DATE(PlanYear,12,1)),1,0))</f>
        <v>0</v>
      </c>
      <c r="AA43">
        <f>SUM($O43:$Z43)</f>
        <v>0</v>
      </c>
    </row>
    <row r="44" spans="1:27">
      <c r="A44" s="42">
        <f>IF($B44="","","ACT-"&amp;TEXT(ROW()-4,"000"))</f>
        <v>0</v>
      </c>
      <c r="M44" s="43">
        <f>IF(COUNTA($B44:$K44)=0,"",IF($B44="","Missing activity name",IF($C44="","Missing practice",IF(COUNTIF(PracticeNames,$C44)=0,"Practice not in Lists",IF($D44="","Missing motion",IF(NOT(ISNUMBER($F44)),"Missing or invalid start date",IF(AND(ISNUMBER($G44),$G44&lt;$F44),"End date before start",IF(AND($N44=1,$AA44=0),"Outside planning year","OK"))))))))</f>
        <v>0</v>
      </c>
      <c r="N44">
        <f>IF(AND($B44&lt;&gt;"",$C44&lt;&gt;"",$D44&lt;&gt;"",ISNUMBER($F44),COUNTIF(PracticeNames,$C44)&gt;0,COUNTIF(MotionNames,$D44)&gt;0,NOT(AND(ISNUMBER($G44),$G44&lt;$F44))),IF(StatusFilter="All (excl. Cancelled)",IF($H44="Cancelled",0,1),IF(StatusFilter="All",1,IF($H44=StatusFilter,1,0))),0)</f>
        <v>0</v>
      </c>
      <c r="O44">
        <f>IF($N44=0,0,IF(AND($F44&lt;=EOMONTH(DATE(PlanYear,1,1),0),IF(ISNUMBER($G44),$G44,$F44)&gt;=DATE(PlanYear,1,1)),1,0))</f>
        <v>0</v>
      </c>
      <c r="P44">
        <f>IF($N44=0,0,IF(AND($F44&lt;=EOMONTH(DATE(PlanYear,2,1),0),IF(ISNUMBER($G44),$G44,$F44)&gt;=DATE(PlanYear,2,1)),1,0))</f>
        <v>0</v>
      </c>
      <c r="Q44">
        <f>IF($N44=0,0,IF(AND($F44&lt;=EOMONTH(DATE(PlanYear,3,1),0),IF(ISNUMBER($G44),$G44,$F44)&gt;=DATE(PlanYear,3,1)),1,0))</f>
        <v>0</v>
      </c>
      <c r="R44">
        <f>IF($N44=0,0,IF(AND($F44&lt;=EOMONTH(DATE(PlanYear,4,1),0),IF(ISNUMBER($G44),$G44,$F44)&gt;=DATE(PlanYear,4,1)),1,0))</f>
        <v>0</v>
      </c>
      <c r="S44">
        <f>IF($N44=0,0,IF(AND($F44&lt;=EOMONTH(DATE(PlanYear,5,1),0),IF(ISNUMBER($G44),$G44,$F44)&gt;=DATE(PlanYear,5,1)),1,0))</f>
        <v>0</v>
      </c>
      <c r="T44">
        <f>IF($N44=0,0,IF(AND($F44&lt;=EOMONTH(DATE(PlanYear,6,1),0),IF(ISNUMBER($G44),$G44,$F44)&gt;=DATE(PlanYear,6,1)),1,0))</f>
        <v>0</v>
      </c>
      <c r="U44">
        <f>IF($N44=0,0,IF(AND($F44&lt;=EOMONTH(DATE(PlanYear,7,1),0),IF(ISNUMBER($G44),$G44,$F44)&gt;=DATE(PlanYear,7,1)),1,0))</f>
        <v>0</v>
      </c>
      <c r="V44">
        <f>IF($N44=0,0,IF(AND($F44&lt;=EOMONTH(DATE(PlanYear,8,1),0),IF(ISNUMBER($G44),$G44,$F44)&gt;=DATE(PlanYear,8,1)),1,0))</f>
        <v>0</v>
      </c>
      <c r="W44">
        <f>IF($N44=0,0,IF(AND($F44&lt;=EOMONTH(DATE(PlanYear,9,1),0),IF(ISNUMBER($G44),$G44,$F44)&gt;=DATE(PlanYear,9,1)),1,0))</f>
        <v>0</v>
      </c>
      <c r="X44">
        <f>IF($N44=0,0,IF(AND($F44&lt;=EOMONTH(DATE(PlanYear,10,1),0),IF(ISNUMBER($G44),$G44,$F44)&gt;=DATE(PlanYear,10,1)),1,0))</f>
        <v>0</v>
      </c>
      <c r="Y44">
        <f>IF($N44=0,0,IF(AND($F44&lt;=EOMONTH(DATE(PlanYear,11,1),0),IF(ISNUMBER($G44),$G44,$F44)&gt;=DATE(PlanYear,11,1)),1,0))</f>
        <v>0</v>
      </c>
      <c r="Z44">
        <f>IF($N44=0,0,IF(AND($F44&lt;=EOMONTH(DATE(PlanYear,12,1),0),IF(ISNUMBER($G44),$G44,$F44)&gt;=DATE(PlanYear,12,1)),1,0))</f>
        <v>0</v>
      </c>
      <c r="AA44">
        <f>SUM($O44:$Z44)</f>
        <v>0</v>
      </c>
    </row>
    <row r="45" spans="1:27">
      <c r="A45" s="42">
        <f>IF($B45="","","ACT-"&amp;TEXT(ROW()-4,"000"))</f>
        <v>0</v>
      </c>
      <c r="M45" s="43">
        <f>IF(COUNTA($B45:$K45)=0,"",IF($B45="","Missing activity name",IF($C45="","Missing practice",IF(COUNTIF(PracticeNames,$C45)=0,"Practice not in Lists",IF($D45="","Missing motion",IF(NOT(ISNUMBER($F45)),"Missing or invalid start date",IF(AND(ISNUMBER($G45),$G45&lt;$F45),"End date before start",IF(AND($N45=1,$AA45=0),"Outside planning year","OK"))))))))</f>
        <v>0</v>
      </c>
      <c r="N45">
        <f>IF(AND($B45&lt;&gt;"",$C45&lt;&gt;"",$D45&lt;&gt;"",ISNUMBER($F45),COUNTIF(PracticeNames,$C45)&gt;0,COUNTIF(MotionNames,$D45)&gt;0,NOT(AND(ISNUMBER($G45),$G45&lt;$F45))),IF(StatusFilter="All (excl. Cancelled)",IF($H45="Cancelled",0,1),IF(StatusFilter="All",1,IF($H45=StatusFilter,1,0))),0)</f>
        <v>0</v>
      </c>
      <c r="O45">
        <f>IF($N45=0,0,IF(AND($F45&lt;=EOMONTH(DATE(PlanYear,1,1),0),IF(ISNUMBER($G45),$G45,$F45)&gt;=DATE(PlanYear,1,1)),1,0))</f>
        <v>0</v>
      </c>
      <c r="P45">
        <f>IF($N45=0,0,IF(AND($F45&lt;=EOMONTH(DATE(PlanYear,2,1),0),IF(ISNUMBER($G45),$G45,$F45)&gt;=DATE(PlanYear,2,1)),1,0))</f>
        <v>0</v>
      </c>
      <c r="Q45">
        <f>IF($N45=0,0,IF(AND($F45&lt;=EOMONTH(DATE(PlanYear,3,1),0),IF(ISNUMBER($G45),$G45,$F45)&gt;=DATE(PlanYear,3,1)),1,0))</f>
        <v>0</v>
      </c>
      <c r="R45">
        <f>IF($N45=0,0,IF(AND($F45&lt;=EOMONTH(DATE(PlanYear,4,1),0),IF(ISNUMBER($G45),$G45,$F45)&gt;=DATE(PlanYear,4,1)),1,0))</f>
        <v>0</v>
      </c>
      <c r="S45">
        <f>IF($N45=0,0,IF(AND($F45&lt;=EOMONTH(DATE(PlanYear,5,1),0),IF(ISNUMBER($G45),$G45,$F45)&gt;=DATE(PlanYear,5,1)),1,0))</f>
        <v>0</v>
      </c>
      <c r="T45">
        <f>IF($N45=0,0,IF(AND($F45&lt;=EOMONTH(DATE(PlanYear,6,1),0),IF(ISNUMBER($G45),$G45,$F45)&gt;=DATE(PlanYear,6,1)),1,0))</f>
        <v>0</v>
      </c>
      <c r="U45">
        <f>IF($N45=0,0,IF(AND($F45&lt;=EOMONTH(DATE(PlanYear,7,1),0),IF(ISNUMBER($G45),$G45,$F45)&gt;=DATE(PlanYear,7,1)),1,0))</f>
        <v>0</v>
      </c>
      <c r="V45">
        <f>IF($N45=0,0,IF(AND($F45&lt;=EOMONTH(DATE(PlanYear,8,1),0),IF(ISNUMBER($G45),$G45,$F45)&gt;=DATE(PlanYear,8,1)),1,0))</f>
        <v>0</v>
      </c>
      <c r="W45">
        <f>IF($N45=0,0,IF(AND($F45&lt;=EOMONTH(DATE(PlanYear,9,1),0),IF(ISNUMBER($G45),$G45,$F45)&gt;=DATE(PlanYear,9,1)),1,0))</f>
        <v>0</v>
      </c>
      <c r="X45">
        <f>IF($N45=0,0,IF(AND($F45&lt;=EOMONTH(DATE(PlanYear,10,1),0),IF(ISNUMBER($G45),$G45,$F45)&gt;=DATE(PlanYear,10,1)),1,0))</f>
        <v>0</v>
      </c>
      <c r="Y45">
        <f>IF($N45=0,0,IF(AND($F45&lt;=EOMONTH(DATE(PlanYear,11,1),0),IF(ISNUMBER($G45),$G45,$F45)&gt;=DATE(PlanYear,11,1)),1,0))</f>
        <v>0</v>
      </c>
      <c r="Z45">
        <f>IF($N45=0,0,IF(AND($F45&lt;=EOMONTH(DATE(PlanYear,12,1),0),IF(ISNUMBER($G45),$G45,$F45)&gt;=DATE(PlanYear,12,1)),1,0))</f>
        <v>0</v>
      </c>
      <c r="AA45">
        <f>SUM($O45:$Z45)</f>
        <v>0</v>
      </c>
    </row>
    <row r="46" spans="1:27">
      <c r="A46" s="42">
        <f>IF($B46="","","ACT-"&amp;TEXT(ROW()-4,"000"))</f>
        <v>0</v>
      </c>
      <c r="M46" s="43">
        <f>IF(COUNTA($B46:$K46)=0,"",IF($B46="","Missing activity name",IF($C46="","Missing practice",IF(COUNTIF(PracticeNames,$C46)=0,"Practice not in Lists",IF($D46="","Missing motion",IF(NOT(ISNUMBER($F46)),"Missing or invalid start date",IF(AND(ISNUMBER($G46),$G46&lt;$F46),"End date before start",IF(AND($N46=1,$AA46=0),"Outside planning year","OK"))))))))</f>
        <v>0</v>
      </c>
      <c r="N46">
        <f>IF(AND($B46&lt;&gt;"",$C46&lt;&gt;"",$D46&lt;&gt;"",ISNUMBER($F46),COUNTIF(PracticeNames,$C46)&gt;0,COUNTIF(MotionNames,$D46)&gt;0,NOT(AND(ISNUMBER($G46),$G46&lt;$F46))),IF(StatusFilter="All (excl. Cancelled)",IF($H46="Cancelled",0,1),IF(StatusFilter="All",1,IF($H46=StatusFilter,1,0))),0)</f>
        <v>0</v>
      </c>
      <c r="O46">
        <f>IF($N46=0,0,IF(AND($F46&lt;=EOMONTH(DATE(PlanYear,1,1),0),IF(ISNUMBER($G46),$G46,$F46)&gt;=DATE(PlanYear,1,1)),1,0))</f>
        <v>0</v>
      </c>
      <c r="P46">
        <f>IF($N46=0,0,IF(AND($F46&lt;=EOMONTH(DATE(PlanYear,2,1),0),IF(ISNUMBER($G46),$G46,$F46)&gt;=DATE(PlanYear,2,1)),1,0))</f>
        <v>0</v>
      </c>
      <c r="Q46">
        <f>IF($N46=0,0,IF(AND($F46&lt;=EOMONTH(DATE(PlanYear,3,1),0),IF(ISNUMBER($G46),$G46,$F46)&gt;=DATE(PlanYear,3,1)),1,0))</f>
        <v>0</v>
      </c>
      <c r="R46">
        <f>IF($N46=0,0,IF(AND($F46&lt;=EOMONTH(DATE(PlanYear,4,1),0),IF(ISNUMBER($G46),$G46,$F46)&gt;=DATE(PlanYear,4,1)),1,0))</f>
        <v>0</v>
      </c>
      <c r="S46">
        <f>IF($N46=0,0,IF(AND($F46&lt;=EOMONTH(DATE(PlanYear,5,1),0),IF(ISNUMBER($G46),$G46,$F46)&gt;=DATE(PlanYear,5,1)),1,0))</f>
        <v>0</v>
      </c>
      <c r="T46">
        <f>IF($N46=0,0,IF(AND($F46&lt;=EOMONTH(DATE(PlanYear,6,1),0),IF(ISNUMBER($G46),$G46,$F46)&gt;=DATE(PlanYear,6,1)),1,0))</f>
        <v>0</v>
      </c>
      <c r="U46">
        <f>IF($N46=0,0,IF(AND($F46&lt;=EOMONTH(DATE(PlanYear,7,1),0),IF(ISNUMBER($G46),$G46,$F46)&gt;=DATE(PlanYear,7,1)),1,0))</f>
        <v>0</v>
      </c>
      <c r="V46">
        <f>IF($N46=0,0,IF(AND($F46&lt;=EOMONTH(DATE(PlanYear,8,1),0),IF(ISNUMBER($G46),$G46,$F46)&gt;=DATE(PlanYear,8,1)),1,0))</f>
        <v>0</v>
      </c>
      <c r="W46">
        <f>IF($N46=0,0,IF(AND($F46&lt;=EOMONTH(DATE(PlanYear,9,1),0),IF(ISNUMBER($G46),$G46,$F46)&gt;=DATE(PlanYear,9,1)),1,0))</f>
        <v>0</v>
      </c>
      <c r="X46">
        <f>IF($N46=0,0,IF(AND($F46&lt;=EOMONTH(DATE(PlanYear,10,1),0),IF(ISNUMBER($G46),$G46,$F46)&gt;=DATE(PlanYear,10,1)),1,0))</f>
        <v>0</v>
      </c>
      <c r="Y46">
        <f>IF($N46=0,0,IF(AND($F46&lt;=EOMONTH(DATE(PlanYear,11,1),0),IF(ISNUMBER($G46),$G46,$F46)&gt;=DATE(PlanYear,11,1)),1,0))</f>
        <v>0</v>
      </c>
      <c r="Z46">
        <f>IF($N46=0,0,IF(AND($F46&lt;=EOMONTH(DATE(PlanYear,12,1),0),IF(ISNUMBER($G46),$G46,$F46)&gt;=DATE(PlanYear,12,1)),1,0))</f>
        <v>0</v>
      </c>
      <c r="AA46">
        <f>SUM($O46:$Z46)</f>
        <v>0</v>
      </c>
    </row>
    <row r="47" spans="1:27">
      <c r="A47" s="42">
        <f>IF($B47="","","ACT-"&amp;TEXT(ROW()-4,"000"))</f>
        <v>0</v>
      </c>
      <c r="M47" s="43">
        <f>IF(COUNTA($B47:$K47)=0,"",IF($B47="","Missing activity name",IF($C47="","Missing practice",IF(COUNTIF(PracticeNames,$C47)=0,"Practice not in Lists",IF($D47="","Missing motion",IF(NOT(ISNUMBER($F47)),"Missing or invalid start date",IF(AND(ISNUMBER($G47),$G47&lt;$F47),"End date before start",IF(AND($N47=1,$AA47=0),"Outside planning year","OK"))))))))</f>
        <v>0</v>
      </c>
      <c r="N47">
        <f>IF(AND($B47&lt;&gt;"",$C47&lt;&gt;"",$D47&lt;&gt;"",ISNUMBER($F47),COUNTIF(PracticeNames,$C47)&gt;0,COUNTIF(MotionNames,$D47)&gt;0,NOT(AND(ISNUMBER($G47),$G47&lt;$F47))),IF(StatusFilter="All (excl. Cancelled)",IF($H47="Cancelled",0,1),IF(StatusFilter="All",1,IF($H47=StatusFilter,1,0))),0)</f>
        <v>0</v>
      </c>
      <c r="O47">
        <f>IF($N47=0,0,IF(AND($F47&lt;=EOMONTH(DATE(PlanYear,1,1),0),IF(ISNUMBER($G47),$G47,$F47)&gt;=DATE(PlanYear,1,1)),1,0))</f>
        <v>0</v>
      </c>
      <c r="P47">
        <f>IF($N47=0,0,IF(AND($F47&lt;=EOMONTH(DATE(PlanYear,2,1),0),IF(ISNUMBER($G47),$G47,$F47)&gt;=DATE(PlanYear,2,1)),1,0))</f>
        <v>0</v>
      </c>
      <c r="Q47">
        <f>IF($N47=0,0,IF(AND($F47&lt;=EOMONTH(DATE(PlanYear,3,1),0),IF(ISNUMBER($G47),$G47,$F47)&gt;=DATE(PlanYear,3,1)),1,0))</f>
        <v>0</v>
      </c>
      <c r="R47">
        <f>IF($N47=0,0,IF(AND($F47&lt;=EOMONTH(DATE(PlanYear,4,1),0),IF(ISNUMBER($G47),$G47,$F47)&gt;=DATE(PlanYear,4,1)),1,0))</f>
        <v>0</v>
      </c>
      <c r="S47">
        <f>IF($N47=0,0,IF(AND($F47&lt;=EOMONTH(DATE(PlanYear,5,1),0),IF(ISNUMBER($G47),$G47,$F47)&gt;=DATE(PlanYear,5,1)),1,0))</f>
        <v>0</v>
      </c>
      <c r="T47">
        <f>IF($N47=0,0,IF(AND($F47&lt;=EOMONTH(DATE(PlanYear,6,1),0),IF(ISNUMBER($G47),$G47,$F47)&gt;=DATE(PlanYear,6,1)),1,0))</f>
        <v>0</v>
      </c>
      <c r="U47">
        <f>IF($N47=0,0,IF(AND($F47&lt;=EOMONTH(DATE(PlanYear,7,1),0),IF(ISNUMBER($G47),$G47,$F47)&gt;=DATE(PlanYear,7,1)),1,0))</f>
        <v>0</v>
      </c>
      <c r="V47">
        <f>IF($N47=0,0,IF(AND($F47&lt;=EOMONTH(DATE(PlanYear,8,1),0),IF(ISNUMBER($G47),$G47,$F47)&gt;=DATE(PlanYear,8,1)),1,0))</f>
        <v>0</v>
      </c>
      <c r="W47">
        <f>IF($N47=0,0,IF(AND($F47&lt;=EOMONTH(DATE(PlanYear,9,1),0),IF(ISNUMBER($G47),$G47,$F47)&gt;=DATE(PlanYear,9,1)),1,0))</f>
        <v>0</v>
      </c>
      <c r="X47">
        <f>IF($N47=0,0,IF(AND($F47&lt;=EOMONTH(DATE(PlanYear,10,1),0),IF(ISNUMBER($G47),$G47,$F47)&gt;=DATE(PlanYear,10,1)),1,0))</f>
        <v>0</v>
      </c>
      <c r="Y47">
        <f>IF($N47=0,0,IF(AND($F47&lt;=EOMONTH(DATE(PlanYear,11,1),0),IF(ISNUMBER($G47),$G47,$F47)&gt;=DATE(PlanYear,11,1)),1,0))</f>
        <v>0</v>
      </c>
      <c r="Z47">
        <f>IF($N47=0,0,IF(AND($F47&lt;=EOMONTH(DATE(PlanYear,12,1),0),IF(ISNUMBER($G47),$G47,$F47)&gt;=DATE(PlanYear,12,1)),1,0))</f>
        <v>0</v>
      </c>
      <c r="AA47">
        <f>SUM($O47:$Z47)</f>
        <v>0</v>
      </c>
    </row>
    <row r="48" spans="1:27">
      <c r="A48" s="42">
        <f>IF($B48="","","ACT-"&amp;TEXT(ROW()-4,"000"))</f>
        <v>0</v>
      </c>
      <c r="M48" s="43">
        <f>IF(COUNTA($B48:$K48)=0,"",IF($B48="","Missing activity name",IF($C48="","Missing practice",IF(COUNTIF(PracticeNames,$C48)=0,"Practice not in Lists",IF($D48="","Missing motion",IF(NOT(ISNUMBER($F48)),"Missing or invalid start date",IF(AND(ISNUMBER($G48),$G48&lt;$F48),"End date before start",IF(AND($N48=1,$AA48=0),"Outside planning year","OK"))))))))</f>
        <v>0</v>
      </c>
      <c r="N48">
        <f>IF(AND($B48&lt;&gt;"",$C48&lt;&gt;"",$D48&lt;&gt;"",ISNUMBER($F48),COUNTIF(PracticeNames,$C48)&gt;0,COUNTIF(MotionNames,$D48)&gt;0,NOT(AND(ISNUMBER($G48),$G48&lt;$F48))),IF(StatusFilter="All (excl. Cancelled)",IF($H48="Cancelled",0,1),IF(StatusFilter="All",1,IF($H48=StatusFilter,1,0))),0)</f>
        <v>0</v>
      </c>
      <c r="O48">
        <f>IF($N48=0,0,IF(AND($F48&lt;=EOMONTH(DATE(PlanYear,1,1),0),IF(ISNUMBER($G48),$G48,$F48)&gt;=DATE(PlanYear,1,1)),1,0))</f>
        <v>0</v>
      </c>
      <c r="P48">
        <f>IF($N48=0,0,IF(AND($F48&lt;=EOMONTH(DATE(PlanYear,2,1),0),IF(ISNUMBER($G48),$G48,$F48)&gt;=DATE(PlanYear,2,1)),1,0))</f>
        <v>0</v>
      </c>
      <c r="Q48">
        <f>IF($N48=0,0,IF(AND($F48&lt;=EOMONTH(DATE(PlanYear,3,1),0),IF(ISNUMBER($G48),$G48,$F48)&gt;=DATE(PlanYear,3,1)),1,0))</f>
        <v>0</v>
      </c>
      <c r="R48">
        <f>IF($N48=0,0,IF(AND($F48&lt;=EOMONTH(DATE(PlanYear,4,1),0),IF(ISNUMBER($G48),$G48,$F48)&gt;=DATE(PlanYear,4,1)),1,0))</f>
        <v>0</v>
      </c>
      <c r="S48">
        <f>IF($N48=0,0,IF(AND($F48&lt;=EOMONTH(DATE(PlanYear,5,1),0),IF(ISNUMBER($G48),$G48,$F48)&gt;=DATE(PlanYear,5,1)),1,0))</f>
        <v>0</v>
      </c>
      <c r="T48">
        <f>IF($N48=0,0,IF(AND($F48&lt;=EOMONTH(DATE(PlanYear,6,1),0),IF(ISNUMBER($G48),$G48,$F48)&gt;=DATE(PlanYear,6,1)),1,0))</f>
        <v>0</v>
      </c>
      <c r="U48">
        <f>IF($N48=0,0,IF(AND($F48&lt;=EOMONTH(DATE(PlanYear,7,1),0),IF(ISNUMBER($G48),$G48,$F48)&gt;=DATE(PlanYear,7,1)),1,0))</f>
        <v>0</v>
      </c>
      <c r="V48">
        <f>IF($N48=0,0,IF(AND($F48&lt;=EOMONTH(DATE(PlanYear,8,1),0),IF(ISNUMBER($G48),$G48,$F48)&gt;=DATE(PlanYear,8,1)),1,0))</f>
        <v>0</v>
      </c>
      <c r="W48">
        <f>IF($N48=0,0,IF(AND($F48&lt;=EOMONTH(DATE(PlanYear,9,1),0),IF(ISNUMBER($G48),$G48,$F48)&gt;=DATE(PlanYear,9,1)),1,0))</f>
        <v>0</v>
      </c>
      <c r="X48">
        <f>IF($N48=0,0,IF(AND($F48&lt;=EOMONTH(DATE(PlanYear,10,1),0),IF(ISNUMBER($G48),$G48,$F48)&gt;=DATE(PlanYear,10,1)),1,0))</f>
        <v>0</v>
      </c>
      <c r="Y48">
        <f>IF($N48=0,0,IF(AND($F48&lt;=EOMONTH(DATE(PlanYear,11,1),0),IF(ISNUMBER($G48),$G48,$F48)&gt;=DATE(PlanYear,11,1)),1,0))</f>
        <v>0</v>
      </c>
      <c r="Z48">
        <f>IF($N48=0,0,IF(AND($F48&lt;=EOMONTH(DATE(PlanYear,12,1),0),IF(ISNUMBER($G48),$G48,$F48)&gt;=DATE(PlanYear,12,1)),1,0))</f>
        <v>0</v>
      </c>
      <c r="AA48">
        <f>SUM($O48:$Z48)</f>
        <v>0</v>
      </c>
    </row>
    <row r="49" spans="1:27">
      <c r="A49" s="42">
        <f>IF($B49="","","ACT-"&amp;TEXT(ROW()-4,"000"))</f>
        <v>0</v>
      </c>
      <c r="M49" s="43">
        <f>IF(COUNTA($B49:$K49)=0,"",IF($B49="","Missing activity name",IF($C49="","Missing practice",IF(COUNTIF(PracticeNames,$C49)=0,"Practice not in Lists",IF($D49="","Missing motion",IF(NOT(ISNUMBER($F49)),"Missing or invalid start date",IF(AND(ISNUMBER($G49),$G49&lt;$F49),"End date before start",IF(AND($N49=1,$AA49=0),"Outside planning year","OK"))))))))</f>
        <v>0</v>
      </c>
      <c r="N49">
        <f>IF(AND($B49&lt;&gt;"",$C49&lt;&gt;"",$D49&lt;&gt;"",ISNUMBER($F49),COUNTIF(PracticeNames,$C49)&gt;0,COUNTIF(MotionNames,$D49)&gt;0,NOT(AND(ISNUMBER($G49),$G49&lt;$F49))),IF(StatusFilter="All (excl. Cancelled)",IF($H49="Cancelled",0,1),IF(StatusFilter="All",1,IF($H49=StatusFilter,1,0))),0)</f>
        <v>0</v>
      </c>
      <c r="O49">
        <f>IF($N49=0,0,IF(AND($F49&lt;=EOMONTH(DATE(PlanYear,1,1),0),IF(ISNUMBER($G49),$G49,$F49)&gt;=DATE(PlanYear,1,1)),1,0))</f>
        <v>0</v>
      </c>
      <c r="P49">
        <f>IF($N49=0,0,IF(AND($F49&lt;=EOMONTH(DATE(PlanYear,2,1),0),IF(ISNUMBER($G49),$G49,$F49)&gt;=DATE(PlanYear,2,1)),1,0))</f>
        <v>0</v>
      </c>
      <c r="Q49">
        <f>IF($N49=0,0,IF(AND($F49&lt;=EOMONTH(DATE(PlanYear,3,1),0),IF(ISNUMBER($G49),$G49,$F49)&gt;=DATE(PlanYear,3,1)),1,0))</f>
        <v>0</v>
      </c>
      <c r="R49">
        <f>IF($N49=0,0,IF(AND($F49&lt;=EOMONTH(DATE(PlanYear,4,1),0),IF(ISNUMBER($G49),$G49,$F49)&gt;=DATE(PlanYear,4,1)),1,0))</f>
        <v>0</v>
      </c>
      <c r="S49">
        <f>IF($N49=0,0,IF(AND($F49&lt;=EOMONTH(DATE(PlanYear,5,1),0),IF(ISNUMBER($G49),$G49,$F49)&gt;=DATE(PlanYear,5,1)),1,0))</f>
        <v>0</v>
      </c>
      <c r="T49">
        <f>IF($N49=0,0,IF(AND($F49&lt;=EOMONTH(DATE(PlanYear,6,1),0),IF(ISNUMBER($G49),$G49,$F49)&gt;=DATE(PlanYear,6,1)),1,0))</f>
        <v>0</v>
      </c>
      <c r="U49">
        <f>IF($N49=0,0,IF(AND($F49&lt;=EOMONTH(DATE(PlanYear,7,1),0),IF(ISNUMBER($G49),$G49,$F49)&gt;=DATE(PlanYear,7,1)),1,0))</f>
        <v>0</v>
      </c>
      <c r="V49">
        <f>IF($N49=0,0,IF(AND($F49&lt;=EOMONTH(DATE(PlanYear,8,1),0),IF(ISNUMBER($G49),$G49,$F49)&gt;=DATE(PlanYear,8,1)),1,0))</f>
        <v>0</v>
      </c>
      <c r="W49">
        <f>IF($N49=0,0,IF(AND($F49&lt;=EOMONTH(DATE(PlanYear,9,1),0),IF(ISNUMBER($G49),$G49,$F49)&gt;=DATE(PlanYear,9,1)),1,0))</f>
        <v>0</v>
      </c>
      <c r="X49">
        <f>IF($N49=0,0,IF(AND($F49&lt;=EOMONTH(DATE(PlanYear,10,1),0),IF(ISNUMBER($G49),$G49,$F49)&gt;=DATE(PlanYear,10,1)),1,0))</f>
        <v>0</v>
      </c>
      <c r="Y49">
        <f>IF($N49=0,0,IF(AND($F49&lt;=EOMONTH(DATE(PlanYear,11,1),0),IF(ISNUMBER($G49),$G49,$F49)&gt;=DATE(PlanYear,11,1)),1,0))</f>
        <v>0</v>
      </c>
      <c r="Z49">
        <f>IF($N49=0,0,IF(AND($F49&lt;=EOMONTH(DATE(PlanYear,12,1),0),IF(ISNUMBER($G49),$G49,$F49)&gt;=DATE(PlanYear,12,1)),1,0))</f>
        <v>0</v>
      </c>
      <c r="AA49">
        <f>SUM($O49:$Z49)</f>
        <v>0</v>
      </c>
    </row>
    <row r="50" spans="1:27">
      <c r="A50" s="42">
        <f>IF($B50="","","ACT-"&amp;TEXT(ROW()-4,"000"))</f>
        <v>0</v>
      </c>
      <c r="M50" s="43">
        <f>IF(COUNTA($B50:$K50)=0,"",IF($B50="","Missing activity name",IF($C50="","Missing practice",IF(COUNTIF(PracticeNames,$C50)=0,"Practice not in Lists",IF($D50="","Missing motion",IF(NOT(ISNUMBER($F50)),"Missing or invalid start date",IF(AND(ISNUMBER($G50),$G50&lt;$F50),"End date before start",IF(AND($N50=1,$AA50=0),"Outside planning year","OK"))))))))</f>
        <v>0</v>
      </c>
      <c r="N50">
        <f>IF(AND($B50&lt;&gt;"",$C50&lt;&gt;"",$D50&lt;&gt;"",ISNUMBER($F50),COUNTIF(PracticeNames,$C50)&gt;0,COUNTIF(MotionNames,$D50)&gt;0,NOT(AND(ISNUMBER($G50),$G50&lt;$F50))),IF(StatusFilter="All (excl. Cancelled)",IF($H50="Cancelled",0,1),IF(StatusFilter="All",1,IF($H50=StatusFilter,1,0))),0)</f>
        <v>0</v>
      </c>
      <c r="O50">
        <f>IF($N50=0,0,IF(AND($F50&lt;=EOMONTH(DATE(PlanYear,1,1),0),IF(ISNUMBER($G50),$G50,$F50)&gt;=DATE(PlanYear,1,1)),1,0))</f>
        <v>0</v>
      </c>
      <c r="P50">
        <f>IF($N50=0,0,IF(AND($F50&lt;=EOMONTH(DATE(PlanYear,2,1),0),IF(ISNUMBER($G50),$G50,$F50)&gt;=DATE(PlanYear,2,1)),1,0))</f>
        <v>0</v>
      </c>
      <c r="Q50">
        <f>IF($N50=0,0,IF(AND($F50&lt;=EOMONTH(DATE(PlanYear,3,1),0),IF(ISNUMBER($G50),$G50,$F50)&gt;=DATE(PlanYear,3,1)),1,0))</f>
        <v>0</v>
      </c>
      <c r="R50">
        <f>IF($N50=0,0,IF(AND($F50&lt;=EOMONTH(DATE(PlanYear,4,1),0),IF(ISNUMBER($G50),$G50,$F50)&gt;=DATE(PlanYear,4,1)),1,0))</f>
        <v>0</v>
      </c>
      <c r="S50">
        <f>IF($N50=0,0,IF(AND($F50&lt;=EOMONTH(DATE(PlanYear,5,1),0),IF(ISNUMBER($G50),$G50,$F50)&gt;=DATE(PlanYear,5,1)),1,0))</f>
        <v>0</v>
      </c>
      <c r="T50">
        <f>IF($N50=0,0,IF(AND($F50&lt;=EOMONTH(DATE(PlanYear,6,1),0),IF(ISNUMBER($G50),$G50,$F50)&gt;=DATE(PlanYear,6,1)),1,0))</f>
        <v>0</v>
      </c>
      <c r="U50">
        <f>IF($N50=0,0,IF(AND($F50&lt;=EOMONTH(DATE(PlanYear,7,1),0),IF(ISNUMBER($G50),$G50,$F50)&gt;=DATE(PlanYear,7,1)),1,0))</f>
        <v>0</v>
      </c>
      <c r="V50">
        <f>IF($N50=0,0,IF(AND($F50&lt;=EOMONTH(DATE(PlanYear,8,1),0),IF(ISNUMBER($G50),$G50,$F50)&gt;=DATE(PlanYear,8,1)),1,0))</f>
        <v>0</v>
      </c>
      <c r="W50">
        <f>IF($N50=0,0,IF(AND($F50&lt;=EOMONTH(DATE(PlanYear,9,1),0),IF(ISNUMBER($G50),$G50,$F50)&gt;=DATE(PlanYear,9,1)),1,0))</f>
        <v>0</v>
      </c>
      <c r="X50">
        <f>IF($N50=0,0,IF(AND($F50&lt;=EOMONTH(DATE(PlanYear,10,1),0),IF(ISNUMBER($G50),$G50,$F50)&gt;=DATE(PlanYear,10,1)),1,0))</f>
        <v>0</v>
      </c>
      <c r="Y50">
        <f>IF($N50=0,0,IF(AND($F50&lt;=EOMONTH(DATE(PlanYear,11,1),0),IF(ISNUMBER($G50),$G50,$F50)&gt;=DATE(PlanYear,11,1)),1,0))</f>
        <v>0</v>
      </c>
      <c r="Z50">
        <f>IF($N50=0,0,IF(AND($F50&lt;=EOMONTH(DATE(PlanYear,12,1),0),IF(ISNUMBER($G50),$G50,$F50)&gt;=DATE(PlanYear,12,1)),1,0))</f>
        <v>0</v>
      </c>
      <c r="AA50">
        <f>SUM($O50:$Z50)</f>
        <v>0</v>
      </c>
    </row>
    <row r="51" spans="1:27">
      <c r="A51" s="42">
        <f>IF($B51="","","ACT-"&amp;TEXT(ROW()-4,"000"))</f>
        <v>0</v>
      </c>
      <c r="M51" s="43">
        <f>IF(COUNTA($B51:$K51)=0,"",IF($B51="","Missing activity name",IF($C51="","Missing practice",IF(COUNTIF(PracticeNames,$C51)=0,"Practice not in Lists",IF($D51="","Missing motion",IF(NOT(ISNUMBER($F51)),"Missing or invalid start date",IF(AND(ISNUMBER($G51),$G51&lt;$F51),"End date before start",IF(AND($N51=1,$AA51=0),"Outside planning year","OK"))))))))</f>
        <v>0</v>
      </c>
      <c r="N51">
        <f>IF(AND($B51&lt;&gt;"",$C51&lt;&gt;"",$D51&lt;&gt;"",ISNUMBER($F51),COUNTIF(PracticeNames,$C51)&gt;0,COUNTIF(MotionNames,$D51)&gt;0,NOT(AND(ISNUMBER($G51),$G51&lt;$F51))),IF(StatusFilter="All (excl. Cancelled)",IF($H51="Cancelled",0,1),IF(StatusFilter="All",1,IF($H51=StatusFilter,1,0))),0)</f>
        <v>0</v>
      </c>
      <c r="O51">
        <f>IF($N51=0,0,IF(AND($F51&lt;=EOMONTH(DATE(PlanYear,1,1),0),IF(ISNUMBER($G51),$G51,$F51)&gt;=DATE(PlanYear,1,1)),1,0))</f>
        <v>0</v>
      </c>
      <c r="P51">
        <f>IF($N51=0,0,IF(AND($F51&lt;=EOMONTH(DATE(PlanYear,2,1),0),IF(ISNUMBER($G51),$G51,$F51)&gt;=DATE(PlanYear,2,1)),1,0))</f>
        <v>0</v>
      </c>
      <c r="Q51">
        <f>IF($N51=0,0,IF(AND($F51&lt;=EOMONTH(DATE(PlanYear,3,1),0),IF(ISNUMBER($G51),$G51,$F51)&gt;=DATE(PlanYear,3,1)),1,0))</f>
        <v>0</v>
      </c>
      <c r="R51">
        <f>IF($N51=0,0,IF(AND($F51&lt;=EOMONTH(DATE(PlanYear,4,1),0),IF(ISNUMBER($G51),$G51,$F51)&gt;=DATE(PlanYear,4,1)),1,0))</f>
        <v>0</v>
      </c>
      <c r="S51">
        <f>IF($N51=0,0,IF(AND($F51&lt;=EOMONTH(DATE(PlanYear,5,1),0),IF(ISNUMBER($G51),$G51,$F51)&gt;=DATE(PlanYear,5,1)),1,0))</f>
        <v>0</v>
      </c>
      <c r="T51">
        <f>IF($N51=0,0,IF(AND($F51&lt;=EOMONTH(DATE(PlanYear,6,1),0),IF(ISNUMBER($G51),$G51,$F51)&gt;=DATE(PlanYear,6,1)),1,0))</f>
        <v>0</v>
      </c>
      <c r="U51">
        <f>IF($N51=0,0,IF(AND($F51&lt;=EOMONTH(DATE(PlanYear,7,1),0),IF(ISNUMBER($G51),$G51,$F51)&gt;=DATE(PlanYear,7,1)),1,0))</f>
        <v>0</v>
      </c>
      <c r="V51">
        <f>IF($N51=0,0,IF(AND($F51&lt;=EOMONTH(DATE(PlanYear,8,1),0),IF(ISNUMBER($G51),$G51,$F51)&gt;=DATE(PlanYear,8,1)),1,0))</f>
        <v>0</v>
      </c>
      <c r="W51">
        <f>IF($N51=0,0,IF(AND($F51&lt;=EOMONTH(DATE(PlanYear,9,1),0),IF(ISNUMBER($G51),$G51,$F51)&gt;=DATE(PlanYear,9,1)),1,0))</f>
        <v>0</v>
      </c>
      <c r="X51">
        <f>IF($N51=0,0,IF(AND($F51&lt;=EOMONTH(DATE(PlanYear,10,1),0),IF(ISNUMBER($G51),$G51,$F51)&gt;=DATE(PlanYear,10,1)),1,0))</f>
        <v>0</v>
      </c>
      <c r="Y51">
        <f>IF($N51=0,0,IF(AND($F51&lt;=EOMONTH(DATE(PlanYear,11,1),0),IF(ISNUMBER($G51),$G51,$F51)&gt;=DATE(PlanYear,11,1)),1,0))</f>
        <v>0</v>
      </c>
      <c r="Z51">
        <f>IF($N51=0,0,IF(AND($F51&lt;=EOMONTH(DATE(PlanYear,12,1),0),IF(ISNUMBER($G51),$G51,$F51)&gt;=DATE(PlanYear,12,1)),1,0))</f>
        <v>0</v>
      </c>
      <c r="AA51">
        <f>SUM($O51:$Z51)</f>
        <v>0</v>
      </c>
    </row>
    <row r="52" spans="1:27">
      <c r="A52" s="42">
        <f>IF($B52="","","ACT-"&amp;TEXT(ROW()-4,"000"))</f>
        <v>0</v>
      </c>
      <c r="M52" s="43">
        <f>IF(COUNTA($B52:$K52)=0,"",IF($B52="","Missing activity name",IF($C52="","Missing practice",IF(COUNTIF(PracticeNames,$C52)=0,"Practice not in Lists",IF($D52="","Missing motion",IF(NOT(ISNUMBER($F52)),"Missing or invalid start date",IF(AND(ISNUMBER($G52),$G52&lt;$F52),"End date before start",IF(AND($N52=1,$AA52=0),"Outside planning year","OK"))))))))</f>
        <v>0</v>
      </c>
      <c r="N52">
        <f>IF(AND($B52&lt;&gt;"",$C52&lt;&gt;"",$D52&lt;&gt;"",ISNUMBER($F52),COUNTIF(PracticeNames,$C52)&gt;0,COUNTIF(MotionNames,$D52)&gt;0,NOT(AND(ISNUMBER($G52),$G52&lt;$F52))),IF(StatusFilter="All (excl. Cancelled)",IF($H52="Cancelled",0,1),IF(StatusFilter="All",1,IF($H52=StatusFilter,1,0))),0)</f>
        <v>0</v>
      </c>
      <c r="O52">
        <f>IF($N52=0,0,IF(AND($F52&lt;=EOMONTH(DATE(PlanYear,1,1),0),IF(ISNUMBER($G52),$G52,$F52)&gt;=DATE(PlanYear,1,1)),1,0))</f>
        <v>0</v>
      </c>
      <c r="P52">
        <f>IF($N52=0,0,IF(AND($F52&lt;=EOMONTH(DATE(PlanYear,2,1),0),IF(ISNUMBER($G52),$G52,$F52)&gt;=DATE(PlanYear,2,1)),1,0))</f>
        <v>0</v>
      </c>
      <c r="Q52">
        <f>IF($N52=0,0,IF(AND($F52&lt;=EOMONTH(DATE(PlanYear,3,1),0),IF(ISNUMBER($G52),$G52,$F52)&gt;=DATE(PlanYear,3,1)),1,0))</f>
        <v>0</v>
      </c>
      <c r="R52">
        <f>IF($N52=0,0,IF(AND($F52&lt;=EOMONTH(DATE(PlanYear,4,1),0),IF(ISNUMBER($G52),$G52,$F52)&gt;=DATE(PlanYear,4,1)),1,0))</f>
        <v>0</v>
      </c>
      <c r="S52">
        <f>IF($N52=0,0,IF(AND($F52&lt;=EOMONTH(DATE(PlanYear,5,1),0),IF(ISNUMBER($G52),$G52,$F52)&gt;=DATE(PlanYear,5,1)),1,0))</f>
        <v>0</v>
      </c>
      <c r="T52">
        <f>IF($N52=0,0,IF(AND($F52&lt;=EOMONTH(DATE(PlanYear,6,1),0),IF(ISNUMBER($G52),$G52,$F52)&gt;=DATE(PlanYear,6,1)),1,0))</f>
        <v>0</v>
      </c>
      <c r="U52">
        <f>IF($N52=0,0,IF(AND($F52&lt;=EOMONTH(DATE(PlanYear,7,1),0),IF(ISNUMBER($G52),$G52,$F52)&gt;=DATE(PlanYear,7,1)),1,0))</f>
        <v>0</v>
      </c>
      <c r="V52">
        <f>IF($N52=0,0,IF(AND($F52&lt;=EOMONTH(DATE(PlanYear,8,1),0),IF(ISNUMBER($G52),$G52,$F52)&gt;=DATE(PlanYear,8,1)),1,0))</f>
        <v>0</v>
      </c>
      <c r="W52">
        <f>IF($N52=0,0,IF(AND($F52&lt;=EOMONTH(DATE(PlanYear,9,1),0),IF(ISNUMBER($G52),$G52,$F52)&gt;=DATE(PlanYear,9,1)),1,0))</f>
        <v>0</v>
      </c>
      <c r="X52">
        <f>IF($N52=0,0,IF(AND($F52&lt;=EOMONTH(DATE(PlanYear,10,1),0),IF(ISNUMBER($G52),$G52,$F52)&gt;=DATE(PlanYear,10,1)),1,0))</f>
        <v>0</v>
      </c>
      <c r="Y52">
        <f>IF($N52=0,0,IF(AND($F52&lt;=EOMONTH(DATE(PlanYear,11,1),0),IF(ISNUMBER($G52),$G52,$F52)&gt;=DATE(PlanYear,11,1)),1,0))</f>
        <v>0</v>
      </c>
      <c r="Z52">
        <f>IF($N52=0,0,IF(AND($F52&lt;=EOMONTH(DATE(PlanYear,12,1),0),IF(ISNUMBER($G52),$G52,$F52)&gt;=DATE(PlanYear,12,1)),1,0))</f>
        <v>0</v>
      </c>
      <c r="AA52">
        <f>SUM($O52:$Z52)</f>
        <v>0</v>
      </c>
    </row>
    <row r="53" spans="1:27">
      <c r="A53" s="42">
        <f>IF($B53="","","ACT-"&amp;TEXT(ROW()-4,"000"))</f>
        <v>0</v>
      </c>
      <c r="M53" s="43">
        <f>IF(COUNTA($B53:$K53)=0,"",IF($B53="","Missing activity name",IF($C53="","Missing practice",IF(COUNTIF(PracticeNames,$C53)=0,"Practice not in Lists",IF($D53="","Missing motion",IF(NOT(ISNUMBER($F53)),"Missing or invalid start date",IF(AND(ISNUMBER($G53),$G53&lt;$F53),"End date before start",IF(AND($N53=1,$AA53=0),"Outside planning year","OK"))))))))</f>
        <v>0</v>
      </c>
      <c r="N53">
        <f>IF(AND($B53&lt;&gt;"",$C53&lt;&gt;"",$D53&lt;&gt;"",ISNUMBER($F53),COUNTIF(PracticeNames,$C53)&gt;0,COUNTIF(MotionNames,$D53)&gt;0,NOT(AND(ISNUMBER($G53),$G53&lt;$F53))),IF(StatusFilter="All (excl. Cancelled)",IF($H53="Cancelled",0,1),IF(StatusFilter="All",1,IF($H53=StatusFilter,1,0))),0)</f>
        <v>0</v>
      </c>
      <c r="O53">
        <f>IF($N53=0,0,IF(AND($F53&lt;=EOMONTH(DATE(PlanYear,1,1),0),IF(ISNUMBER($G53),$G53,$F53)&gt;=DATE(PlanYear,1,1)),1,0))</f>
        <v>0</v>
      </c>
      <c r="P53">
        <f>IF($N53=0,0,IF(AND($F53&lt;=EOMONTH(DATE(PlanYear,2,1),0),IF(ISNUMBER($G53),$G53,$F53)&gt;=DATE(PlanYear,2,1)),1,0))</f>
        <v>0</v>
      </c>
      <c r="Q53">
        <f>IF($N53=0,0,IF(AND($F53&lt;=EOMONTH(DATE(PlanYear,3,1),0),IF(ISNUMBER($G53),$G53,$F53)&gt;=DATE(PlanYear,3,1)),1,0))</f>
        <v>0</v>
      </c>
      <c r="R53">
        <f>IF($N53=0,0,IF(AND($F53&lt;=EOMONTH(DATE(PlanYear,4,1),0),IF(ISNUMBER($G53),$G53,$F53)&gt;=DATE(PlanYear,4,1)),1,0))</f>
        <v>0</v>
      </c>
      <c r="S53">
        <f>IF($N53=0,0,IF(AND($F53&lt;=EOMONTH(DATE(PlanYear,5,1),0),IF(ISNUMBER($G53),$G53,$F53)&gt;=DATE(PlanYear,5,1)),1,0))</f>
        <v>0</v>
      </c>
      <c r="T53">
        <f>IF($N53=0,0,IF(AND($F53&lt;=EOMONTH(DATE(PlanYear,6,1),0),IF(ISNUMBER($G53),$G53,$F53)&gt;=DATE(PlanYear,6,1)),1,0))</f>
        <v>0</v>
      </c>
      <c r="U53">
        <f>IF($N53=0,0,IF(AND($F53&lt;=EOMONTH(DATE(PlanYear,7,1),0),IF(ISNUMBER($G53),$G53,$F53)&gt;=DATE(PlanYear,7,1)),1,0))</f>
        <v>0</v>
      </c>
      <c r="V53">
        <f>IF($N53=0,0,IF(AND($F53&lt;=EOMONTH(DATE(PlanYear,8,1),0),IF(ISNUMBER($G53),$G53,$F53)&gt;=DATE(PlanYear,8,1)),1,0))</f>
        <v>0</v>
      </c>
      <c r="W53">
        <f>IF($N53=0,0,IF(AND($F53&lt;=EOMONTH(DATE(PlanYear,9,1),0),IF(ISNUMBER($G53),$G53,$F53)&gt;=DATE(PlanYear,9,1)),1,0))</f>
        <v>0</v>
      </c>
      <c r="X53">
        <f>IF($N53=0,0,IF(AND($F53&lt;=EOMONTH(DATE(PlanYear,10,1),0),IF(ISNUMBER($G53),$G53,$F53)&gt;=DATE(PlanYear,10,1)),1,0))</f>
        <v>0</v>
      </c>
      <c r="Y53">
        <f>IF($N53=0,0,IF(AND($F53&lt;=EOMONTH(DATE(PlanYear,11,1),0),IF(ISNUMBER($G53),$G53,$F53)&gt;=DATE(PlanYear,11,1)),1,0))</f>
        <v>0</v>
      </c>
      <c r="Z53">
        <f>IF($N53=0,0,IF(AND($F53&lt;=EOMONTH(DATE(PlanYear,12,1),0),IF(ISNUMBER($G53),$G53,$F53)&gt;=DATE(PlanYear,12,1)),1,0))</f>
        <v>0</v>
      </c>
      <c r="AA53">
        <f>SUM($O53:$Z53)</f>
        <v>0</v>
      </c>
    </row>
    <row r="54" spans="1:27">
      <c r="A54" s="42">
        <f>IF($B54="","","ACT-"&amp;TEXT(ROW()-4,"000"))</f>
        <v>0</v>
      </c>
      <c r="M54" s="43">
        <f>IF(COUNTA($B54:$K54)=0,"",IF($B54="","Missing activity name",IF($C54="","Missing practice",IF(COUNTIF(PracticeNames,$C54)=0,"Practice not in Lists",IF($D54="","Missing motion",IF(NOT(ISNUMBER($F54)),"Missing or invalid start date",IF(AND(ISNUMBER($G54),$G54&lt;$F54),"End date before start",IF(AND($N54=1,$AA54=0),"Outside planning year","OK"))))))))</f>
        <v>0</v>
      </c>
      <c r="N54">
        <f>IF(AND($B54&lt;&gt;"",$C54&lt;&gt;"",$D54&lt;&gt;"",ISNUMBER($F54),COUNTIF(PracticeNames,$C54)&gt;0,COUNTIF(MotionNames,$D54)&gt;0,NOT(AND(ISNUMBER($G54),$G54&lt;$F54))),IF(StatusFilter="All (excl. Cancelled)",IF($H54="Cancelled",0,1),IF(StatusFilter="All",1,IF($H54=StatusFilter,1,0))),0)</f>
        <v>0</v>
      </c>
      <c r="O54">
        <f>IF($N54=0,0,IF(AND($F54&lt;=EOMONTH(DATE(PlanYear,1,1),0),IF(ISNUMBER($G54),$G54,$F54)&gt;=DATE(PlanYear,1,1)),1,0))</f>
        <v>0</v>
      </c>
      <c r="P54">
        <f>IF($N54=0,0,IF(AND($F54&lt;=EOMONTH(DATE(PlanYear,2,1),0),IF(ISNUMBER($G54),$G54,$F54)&gt;=DATE(PlanYear,2,1)),1,0))</f>
        <v>0</v>
      </c>
      <c r="Q54">
        <f>IF($N54=0,0,IF(AND($F54&lt;=EOMONTH(DATE(PlanYear,3,1),0),IF(ISNUMBER($G54),$G54,$F54)&gt;=DATE(PlanYear,3,1)),1,0))</f>
        <v>0</v>
      </c>
      <c r="R54">
        <f>IF($N54=0,0,IF(AND($F54&lt;=EOMONTH(DATE(PlanYear,4,1),0),IF(ISNUMBER($G54),$G54,$F54)&gt;=DATE(PlanYear,4,1)),1,0))</f>
        <v>0</v>
      </c>
      <c r="S54">
        <f>IF($N54=0,0,IF(AND($F54&lt;=EOMONTH(DATE(PlanYear,5,1),0),IF(ISNUMBER($G54),$G54,$F54)&gt;=DATE(PlanYear,5,1)),1,0))</f>
        <v>0</v>
      </c>
      <c r="T54">
        <f>IF($N54=0,0,IF(AND($F54&lt;=EOMONTH(DATE(PlanYear,6,1),0),IF(ISNUMBER($G54),$G54,$F54)&gt;=DATE(PlanYear,6,1)),1,0))</f>
        <v>0</v>
      </c>
      <c r="U54">
        <f>IF($N54=0,0,IF(AND($F54&lt;=EOMONTH(DATE(PlanYear,7,1),0),IF(ISNUMBER($G54),$G54,$F54)&gt;=DATE(PlanYear,7,1)),1,0))</f>
        <v>0</v>
      </c>
      <c r="V54">
        <f>IF($N54=0,0,IF(AND($F54&lt;=EOMONTH(DATE(PlanYear,8,1),0),IF(ISNUMBER($G54),$G54,$F54)&gt;=DATE(PlanYear,8,1)),1,0))</f>
        <v>0</v>
      </c>
      <c r="W54">
        <f>IF($N54=0,0,IF(AND($F54&lt;=EOMONTH(DATE(PlanYear,9,1),0),IF(ISNUMBER($G54),$G54,$F54)&gt;=DATE(PlanYear,9,1)),1,0))</f>
        <v>0</v>
      </c>
      <c r="X54">
        <f>IF($N54=0,0,IF(AND($F54&lt;=EOMONTH(DATE(PlanYear,10,1),0),IF(ISNUMBER($G54),$G54,$F54)&gt;=DATE(PlanYear,10,1)),1,0))</f>
        <v>0</v>
      </c>
      <c r="Y54">
        <f>IF($N54=0,0,IF(AND($F54&lt;=EOMONTH(DATE(PlanYear,11,1),0),IF(ISNUMBER($G54),$G54,$F54)&gt;=DATE(PlanYear,11,1)),1,0))</f>
        <v>0</v>
      </c>
      <c r="Z54">
        <f>IF($N54=0,0,IF(AND($F54&lt;=EOMONTH(DATE(PlanYear,12,1),0),IF(ISNUMBER($G54),$G54,$F54)&gt;=DATE(PlanYear,12,1)),1,0))</f>
        <v>0</v>
      </c>
      <c r="AA54">
        <f>SUM($O54:$Z54)</f>
        <v>0</v>
      </c>
    </row>
    <row r="55" spans="1:27">
      <c r="A55" s="42">
        <f>IF($B55="","","ACT-"&amp;TEXT(ROW()-4,"000"))</f>
        <v>0</v>
      </c>
      <c r="M55" s="43">
        <f>IF(COUNTA($B55:$K55)=0,"",IF($B55="","Missing activity name",IF($C55="","Missing practice",IF(COUNTIF(PracticeNames,$C55)=0,"Practice not in Lists",IF($D55="","Missing motion",IF(NOT(ISNUMBER($F55)),"Missing or invalid start date",IF(AND(ISNUMBER($G55),$G55&lt;$F55),"End date before start",IF(AND($N55=1,$AA55=0),"Outside planning year","OK"))))))))</f>
        <v>0</v>
      </c>
      <c r="N55">
        <f>IF(AND($B55&lt;&gt;"",$C55&lt;&gt;"",$D55&lt;&gt;"",ISNUMBER($F55),COUNTIF(PracticeNames,$C55)&gt;0,COUNTIF(MotionNames,$D55)&gt;0,NOT(AND(ISNUMBER($G55),$G55&lt;$F55))),IF(StatusFilter="All (excl. Cancelled)",IF($H55="Cancelled",0,1),IF(StatusFilter="All",1,IF($H55=StatusFilter,1,0))),0)</f>
        <v>0</v>
      </c>
      <c r="O55">
        <f>IF($N55=0,0,IF(AND($F55&lt;=EOMONTH(DATE(PlanYear,1,1),0),IF(ISNUMBER($G55),$G55,$F55)&gt;=DATE(PlanYear,1,1)),1,0))</f>
        <v>0</v>
      </c>
      <c r="P55">
        <f>IF($N55=0,0,IF(AND($F55&lt;=EOMONTH(DATE(PlanYear,2,1),0),IF(ISNUMBER($G55),$G55,$F55)&gt;=DATE(PlanYear,2,1)),1,0))</f>
        <v>0</v>
      </c>
      <c r="Q55">
        <f>IF($N55=0,0,IF(AND($F55&lt;=EOMONTH(DATE(PlanYear,3,1),0),IF(ISNUMBER($G55),$G55,$F55)&gt;=DATE(PlanYear,3,1)),1,0))</f>
        <v>0</v>
      </c>
      <c r="R55">
        <f>IF($N55=0,0,IF(AND($F55&lt;=EOMONTH(DATE(PlanYear,4,1),0),IF(ISNUMBER($G55),$G55,$F55)&gt;=DATE(PlanYear,4,1)),1,0))</f>
        <v>0</v>
      </c>
      <c r="S55">
        <f>IF($N55=0,0,IF(AND($F55&lt;=EOMONTH(DATE(PlanYear,5,1),0),IF(ISNUMBER($G55),$G55,$F55)&gt;=DATE(PlanYear,5,1)),1,0))</f>
        <v>0</v>
      </c>
      <c r="T55">
        <f>IF($N55=0,0,IF(AND($F55&lt;=EOMONTH(DATE(PlanYear,6,1),0),IF(ISNUMBER($G55),$G55,$F55)&gt;=DATE(PlanYear,6,1)),1,0))</f>
        <v>0</v>
      </c>
      <c r="U55">
        <f>IF($N55=0,0,IF(AND($F55&lt;=EOMONTH(DATE(PlanYear,7,1),0),IF(ISNUMBER($G55),$G55,$F55)&gt;=DATE(PlanYear,7,1)),1,0))</f>
        <v>0</v>
      </c>
      <c r="V55">
        <f>IF($N55=0,0,IF(AND($F55&lt;=EOMONTH(DATE(PlanYear,8,1),0),IF(ISNUMBER($G55),$G55,$F55)&gt;=DATE(PlanYear,8,1)),1,0))</f>
        <v>0</v>
      </c>
      <c r="W55">
        <f>IF($N55=0,0,IF(AND($F55&lt;=EOMONTH(DATE(PlanYear,9,1),0),IF(ISNUMBER($G55),$G55,$F55)&gt;=DATE(PlanYear,9,1)),1,0))</f>
        <v>0</v>
      </c>
      <c r="X55">
        <f>IF($N55=0,0,IF(AND($F55&lt;=EOMONTH(DATE(PlanYear,10,1),0),IF(ISNUMBER($G55),$G55,$F55)&gt;=DATE(PlanYear,10,1)),1,0))</f>
        <v>0</v>
      </c>
      <c r="Y55">
        <f>IF($N55=0,0,IF(AND($F55&lt;=EOMONTH(DATE(PlanYear,11,1),0),IF(ISNUMBER($G55),$G55,$F55)&gt;=DATE(PlanYear,11,1)),1,0))</f>
        <v>0</v>
      </c>
      <c r="Z55">
        <f>IF($N55=0,0,IF(AND($F55&lt;=EOMONTH(DATE(PlanYear,12,1),0),IF(ISNUMBER($G55),$G55,$F55)&gt;=DATE(PlanYear,12,1)),1,0))</f>
        <v>0</v>
      </c>
      <c r="AA55">
        <f>SUM($O55:$Z55)</f>
        <v>0</v>
      </c>
    </row>
    <row r="56" spans="1:27">
      <c r="A56" s="42">
        <f>IF($B56="","","ACT-"&amp;TEXT(ROW()-4,"000"))</f>
        <v>0</v>
      </c>
      <c r="M56" s="43">
        <f>IF(COUNTA($B56:$K56)=0,"",IF($B56="","Missing activity name",IF($C56="","Missing practice",IF(COUNTIF(PracticeNames,$C56)=0,"Practice not in Lists",IF($D56="","Missing motion",IF(NOT(ISNUMBER($F56)),"Missing or invalid start date",IF(AND(ISNUMBER($G56),$G56&lt;$F56),"End date before start",IF(AND($N56=1,$AA56=0),"Outside planning year","OK"))))))))</f>
        <v>0</v>
      </c>
      <c r="N56">
        <f>IF(AND($B56&lt;&gt;"",$C56&lt;&gt;"",$D56&lt;&gt;"",ISNUMBER($F56),COUNTIF(PracticeNames,$C56)&gt;0,COUNTIF(MotionNames,$D56)&gt;0,NOT(AND(ISNUMBER($G56),$G56&lt;$F56))),IF(StatusFilter="All (excl. Cancelled)",IF($H56="Cancelled",0,1),IF(StatusFilter="All",1,IF($H56=StatusFilter,1,0))),0)</f>
        <v>0</v>
      </c>
      <c r="O56">
        <f>IF($N56=0,0,IF(AND($F56&lt;=EOMONTH(DATE(PlanYear,1,1),0),IF(ISNUMBER($G56),$G56,$F56)&gt;=DATE(PlanYear,1,1)),1,0))</f>
        <v>0</v>
      </c>
      <c r="P56">
        <f>IF($N56=0,0,IF(AND($F56&lt;=EOMONTH(DATE(PlanYear,2,1),0),IF(ISNUMBER($G56),$G56,$F56)&gt;=DATE(PlanYear,2,1)),1,0))</f>
        <v>0</v>
      </c>
      <c r="Q56">
        <f>IF($N56=0,0,IF(AND($F56&lt;=EOMONTH(DATE(PlanYear,3,1),0),IF(ISNUMBER($G56),$G56,$F56)&gt;=DATE(PlanYear,3,1)),1,0))</f>
        <v>0</v>
      </c>
      <c r="R56">
        <f>IF($N56=0,0,IF(AND($F56&lt;=EOMONTH(DATE(PlanYear,4,1),0),IF(ISNUMBER($G56),$G56,$F56)&gt;=DATE(PlanYear,4,1)),1,0))</f>
        <v>0</v>
      </c>
      <c r="S56">
        <f>IF($N56=0,0,IF(AND($F56&lt;=EOMONTH(DATE(PlanYear,5,1),0),IF(ISNUMBER($G56),$G56,$F56)&gt;=DATE(PlanYear,5,1)),1,0))</f>
        <v>0</v>
      </c>
      <c r="T56">
        <f>IF($N56=0,0,IF(AND($F56&lt;=EOMONTH(DATE(PlanYear,6,1),0),IF(ISNUMBER($G56),$G56,$F56)&gt;=DATE(PlanYear,6,1)),1,0))</f>
        <v>0</v>
      </c>
      <c r="U56">
        <f>IF($N56=0,0,IF(AND($F56&lt;=EOMONTH(DATE(PlanYear,7,1),0),IF(ISNUMBER($G56),$G56,$F56)&gt;=DATE(PlanYear,7,1)),1,0))</f>
        <v>0</v>
      </c>
      <c r="V56">
        <f>IF($N56=0,0,IF(AND($F56&lt;=EOMONTH(DATE(PlanYear,8,1),0),IF(ISNUMBER($G56),$G56,$F56)&gt;=DATE(PlanYear,8,1)),1,0))</f>
        <v>0</v>
      </c>
      <c r="W56">
        <f>IF($N56=0,0,IF(AND($F56&lt;=EOMONTH(DATE(PlanYear,9,1),0),IF(ISNUMBER($G56),$G56,$F56)&gt;=DATE(PlanYear,9,1)),1,0))</f>
        <v>0</v>
      </c>
      <c r="X56">
        <f>IF($N56=0,0,IF(AND($F56&lt;=EOMONTH(DATE(PlanYear,10,1),0),IF(ISNUMBER($G56),$G56,$F56)&gt;=DATE(PlanYear,10,1)),1,0))</f>
        <v>0</v>
      </c>
      <c r="Y56">
        <f>IF($N56=0,0,IF(AND($F56&lt;=EOMONTH(DATE(PlanYear,11,1),0),IF(ISNUMBER($G56),$G56,$F56)&gt;=DATE(PlanYear,11,1)),1,0))</f>
        <v>0</v>
      </c>
      <c r="Z56">
        <f>IF($N56=0,0,IF(AND($F56&lt;=EOMONTH(DATE(PlanYear,12,1),0),IF(ISNUMBER($G56),$G56,$F56)&gt;=DATE(PlanYear,12,1)),1,0))</f>
        <v>0</v>
      </c>
      <c r="AA56">
        <f>SUM($O56:$Z56)</f>
        <v>0</v>
      </c>
    </row>
    <row r="57" spans="1:27">
      <c r="A57" s="42">
        <f>IF($B57="","","ACT-"&amp;TEXT(ROW()-4,"000"))</f>
        <v>0</v>
      </c>
      <c r="M57" s="43">
        <f>IF(COUNTA($B57:$K57)=0,"",IF($B57="","Missing activity name",IF($C57="","Missing practice",IF(COUNTIF(PracticeNames,$C57)=0,"Practice not in Lists",IF($D57="","Missing motion",IF(NOT(ISNUMBER($F57)),"Missing or invalid start date",IF(AND(ISNUMBER($G57),$G57&lt;$F57),"End date before start",IF(AND($N57=1,$AA57=0),"Outside planning year","OK"))))))))</f>
        <v>0</v>
      </c>
      <c r="N57">
        <f>IF(AND($B57&lt;&gt;"",$C57&lt;&gt;"",$D57&lt;&gt;"",ISNUMBER($F57),COUNTIF(PracticeNames,$C57)&gt;0,COUNTIF(MotionNames,$D57)&gt;0,NOT(AND(ISNUMBER($G57),$G57&lt;$F57))),IF(StatusFilter="All (excl. Cancelled)",IF($H57="Cancelled",0,1),IF(StatusFilter="All",1,IF($H57=StatusFilter,1,0))),0)</f>
        <v>0</v>
      </c>
      <c r="O57">
        <f>IF($N57=0,0,IF(AND($F57&lt;=EOMONTH(DATE(PlanYear,1,1),0),IF(ISNUMBER($G57),$G57,$F57)&gt;=DATE(PlanYear,1,1)),1,0))</f>
        <v>0</v>
      </c>
      <c r="P57">
        <f>IF($N57=0,0,IF(AND($F57&lt;=EOMONTH(DATE(PlanYear,2,1),0),IF(ISNUMBER($G57),$G57,$F57)&gt;=DATE(PlanYear,2,1)),1,0))</f>
        <v>0</v>
      </c>
      <c r="Q57">
        <f>IF($N57=0,0,IF(AND($F57&lt;=EOMONTH(DATE(PlanYear,3,1),0),IF(ISNUMBER($G57),$G57,$F57)&gt;=DATE(PlanYear,3,1)),1,0))</f>
        <v>0</v>
      </c>
      <c r="R57">
        <f>IF($N57=0,0,IF(AND($F57&lt;=EOMONTH(DATE(PlanYear,4,1),0),IF(ISNUMBER($G57),$G57,$F57)&gt;=DATE(PlanYear,4,1)),1,0))</f>
        <v>0</v>
      </c>
      <c r="S57">
        <f>IF($N57=0,0,IF(AND($F57&lt;=EOMONTH(DATE(PlanYear,5,1),0),IF(ISNUMBER($G57),$G57,$F57)&gt;=DATE(PlanYear,5,1)),1,0))</f>
        <v>0</v>
      </c>
      <c r="T57">
        <f>IF($N57=0,0,IF(AND($F57&lt;=EOMONTH(DATE(PlanYear,6,1),0),IF(ISNUMBER($G57),$G57,$F57)&gt;=DATE(PlanYear,6,1)),1,0))</f>
        <v>0</v>
      </c>
      <c r="U57">
        <f>IF($N57=0,0,IF(AND($F57&lt;=EOMONTH(DATE(PlanYear,7,1),0),IF(ISNUMBER($G57),$G57,$F57)&gt;=DATE(PlanYear,7,1)),1,0))</f>
        <v>0</v>
      </c>
      <c r="V57">
        <f>IF($N57=0,0,IF(AND($F57&lt;=EOMONTH(DATE(PlanYear,8,1),0),IF(ISNUMBER($G57),$G57,$F57)&gt;=DATE(PlanYear,8,1)),1,0))</f>
        <v>0</v>
      </c>
      <c r="W57">
        <f>IF($N57=0,0,IF(AND($F57&lt;=EOMONTH(DATE(PlanYear,9,1),0),IF(ISNUMBER($G57),$G57,$F57)&gt;=DATE(PlanYear,9,1)),1,0))</f>
        <v>0</v>
      </c>
      <c r="X57">
        <f>IF($N57=0,0,IF(AND($F57&lt;=EOMONTH(DATE(PlanYear,10,1),0),IF(ISNUMBER($G57),$G57,$F57)&gt;=DATE(PlanYear,10,1)),1,0))</f>
        <v>0</v>
      </c>
      <c r="Y57">
        <f>IF($N57=0,0,IF(AND($F57&lt;=EOMONTH(DATE(PlanYear,11,1),0),IF(ISNUMBER($G57),$G57,$F57)&gt;=DATE(PlanYear,11,1)),1,0))</f>
        <v>0</v>
      </c>
      <c r="Z57">
        <f>IF($N57=0,0,IF(AND($F57&lt;=EOMONTH(DATE(PlanYear,12,1),0),IF(ISNUMBER($G57),$G57,$F57)&gt;=DATE(PlanYear,12,1)),1,0))</f>
        <v>0</v>
      </c>
      <c r="AA57">
        <f>SUM($O57:$Z57)</f>
        <v>0</v>
      </c>
    </row>
    <row r="58" spans="1:27">
      <c r="A58" s="42">
        <f>IF($B58="","","ACT-"&amp;TEXT(ROW()-4,"000"))</f>
        <v>0</v>
      </c>
      <c r="M58" s="43">
        <f>IF(COUNTA($B58:$K58)=0,"",IF($B58="","Missing activity name",IF($C58="","Missing practice",IF(COUNTIF(PracticeNames,$C58)=0,"Practice not in Lists",IF($D58="","Missing motion",IF(NOT(ISNUMBER($F58)),"Missing or invalid start date",IF(AND(ISNUMBER($G58),$G58&lt;$F58),"End date before start",IF(AND($N58=1,$AA58=0),"Outside planning year","OK"))))))))</f>
        <v>0</v>
      </c>
      <c r="N58">
        <f>IF(AND($B58&lt;&gt;"",$C58&lt;&gt;"",$D58&lt;&gt;"",ISNUMBER($F58),COUNTIF(PracticeNames,$C58)&gt;0,COUNTIF(MotionNames,$D58)&gt;0,NOT(AND(ISNUMBER($G58),$G58&lt;$F58))),IF(StatusFilter="All (excl. Cancelled)",IF($H58="Cancelled",0,1),IF(StatusFilter="All",1,IF($H58=StatusFilter,1,0))),0)</f>
        <v>0</v>
      </c>
      <c r="O58">
        <f>IF($N58=0,0,IF(AND($F58&lt;=EOMONTH(DATE(PlanYear,1,1),0),IF(ISNUMBER($G58),$G58,$F58)&gt;=DATE(PlanYear,1,1)),1,0))</f>
        <v>0</v>
      </c>
      <c r="P58">
        <f>IF($N58=0,0,IF(AND($F58&lt;=EOMONTH(DATE(PlanYear,2,1),0),IF(ISNUMBER($G58),$G58,$F58)&gt;=DATE(PlanYear,2,1)),1,0))</f>
        <v>0</v>
      </c>
      <c r="Q58">
        <f>IF($N58=0,0,IF(AND($F58&lt;=EOMONTH(DATE(PlanYear,3,1),0),IF(ISNUMBER($G58),$G58,$F58)&gt;=DATE(PlanYear,3,1)),1,0))</f>
        <v>0</v>
      </c>
      <c r="R58">
        <f>IF($N58=0,0,IF(AND($F58&lt;=EOMONTH(DATE(PlanYear,4,1),0),IF(ISNUMBER($G58),$G58,$F58)&gt;=DATE(PlanYear,4,1)),1,0))</f>
        <v>0</v>
      </c>
      <c r="S58">
        <f>IF($N58=0,0,IF(AND($F58&lt;=EOMONTH(DATE(PlanYear,5,1),0),IF(ISNUMBER($G58),$G58,$F58)&gt;=DATE(PlanYear,5,1)),1,0))</f>
        <v>0</v>
      </c>
      <c r="T58">
        <f>IF($N58=0,0,IF(AND($F58&lt;=EOMONTH(DATE(PlanYear,6,1),0),IF(ISNUMBER($G58),$G58,$F58)&gt;=DATE(PlanYear,6,1)),1,0))</f>
        <v>0</v>
      </c>
      <c r="U58">
        <f>IF($N58=0,0,IF(AND($F58&lt;=EOMONTH(DATE(PlanYear,7,1),0),IF(ISNUMBER($G58),$G58,$F58)&gt;=DATE(PlanYear,7,1)),1,0))</f>
        <v>0</v>
      </c>
      <c r="V58">
        <f>IF($N58=0,0,IF(AND($F58&lt;=EOMONTH(DATE(PlanYear,8,1),0),IF(ISNUMBER($G58),$G58,$F58)&gt;=DATE(PlanYear,8,1)),1,0))</f>
        <v>0</v>
      </c>
      <c r="W58">
        <f>IF($N58=0,0,IF(AND($F58&lt;=EOMONTH(DATE(PlanYear,9,1),0),IF(ISNUMBER($G58),$G58,$F58)&gt;=DATE(PlanYear,9,1)),1,0))</f>
        <v>0</v>
      </c>
      <c r="X58">
        <f>IF($N58=0,0,IF(AND($F58&lt;=EOMONTH(DATE(PlanYear,10,1),0),IF(ISNUMBER($G58),$G58,$F58)&gt;=DATE(PlanYear,10,1)),1,0))</f>
        <v>0</v>
      </c>
      <c r="Y58">
        <f>IF($N58=0,0,IF(AND($F58&lt;=EOMONTH(DATE(PlanYear,11,1),0),IF(ISNUMBER($G58),$G58,$F58)&gt;=DATE(PlanYear,11,1)),1,0))</f>
        <v>0</v>
      </c>
      <c r="Z58">
        <f>IF($N58=0,0,IF(AND($F58&lt;=EOMONTH(DATE(PlanYear,12,1),0),IF(ISNUMBER($G58),$G58,$F58)&gt;=DATE(PlanYear,12,1)),1,0))</f>
        <v>0</v>
      </c>
      <c r="AA58">
        <f>SUM($O58:$Z58)</f>
        <v>0</v>
      </c>
    </row>
    <row r="59" spans="1:27">
      <c r="A59" s="42">
        <f>IF($B59="","","ACT-"&amp;TEXT(ROW()-4,"000"))</f>
        <v>0</v>
      </c>
      <c r="M59" s="43">
        <f>IF(COUNTA($B59:$K59)=0,"",IF($B59="","Missing activity name",IF($C59="","Missing practice",IF(COUNTIF(PracticeNames,$C59)=0,"Practice not in Lists",IF($D59="","Missing motion",IF(NOT(ISNUMBER($F59)),"Missing or invalid start date",IF(AND(ISNUMBER($G59),$G59&lt;$F59),"End date before start",IF(AND($N59=1,$AA59=0),"Outside planning year","OK"))))))))</f>
        <v>0</v>
      </c>
      <c r="N59">
        <f>IF(AND($B59&lt;&gt;"",$C59&lt;&gt;"",$D59&lt;&gt;"",ISNUMBER($F59),COUNTIF(PracticeNames,$C59)&gt;0,COUNTIF(MotionNames,$D59)&gt;0,NOT(AND(ISNUMBER($G59),$G59&lt;$F59))),IF(StatusFilter="All (excl. Cancelled)",IF($H59="Cancelled",0,1),IF(StatusFilter="All",1,IF($H59=StatusFilter,1,0))),0)</f>
        <v>0</v>
      </c>
      <c r="O59">
        <f>IF($N59=0,0,IF(AND($F59&lt;=EOMONTH(DATE(PlanYear,1,1),0),IF(ISNUMBER($G59),$G59,$F59)&gt;=DATE(PlanYear,1,1)),1,0))</f>
        <v>0</v>
      </c>
      <c r="P59">
        <f>IF($N59=0,0,IF(AND($F59&lt;=EOMONTH(DATE(PlanYear,2,1),0),IF(ISNUMBER($G59),$G59,$F59)&gt;=DATE(PlanYear,2,1)),1,0))</f>
        <v>0</v>
      </c>
      <c r="Q59">
        <f>IF($N59=0,0,IF(AND($F59&lt;=EOMONTH(DATE(PlanYear,3,1),0),IF(ISNUMBER($G59),$G59,$F59)&gt;=DATE(PlanYear,3,1)),1,0))</f>
        <v>0</v>
      </c>
      <c r="R59">
        <f>IF($N59=0,0,IF(AND($F59&lt;=EOMONTH(DATE(PlanYear,4,1),0),IF(ISNUMBER($G59),$G59,$F59)&gt;=DATE(PlanYear,4,1)),1,0))</f>
        <v>0</v>
      </c>
      <c r="S59">
        <f>IF($N59=0,0,IF(AND($F59&lt;=EOMONTH(DATE(PlanYear,5,1),0),IF(ISNUMBER($G59),$G59,$F59)&gt;=DATE(PlanYear,5,1)),1,0))</f>
        <v>0</v>
      </c>
      <c r="T59">
        <f>IF($N59=0,0,IF(AND($F59&lt;=EOMONTH(DATE(PlanYear,6,1),0),IF(ISNUMBER($G59),$G59,$F59)&gt;=DATE(PlanYear,6,1)),1,0))</f>
        <v>0</v>
      </c>
      <c r="U59">
        <f>IF($N59=0,0,IF(AND($F59&lt;=EOMONTH(DATE(PlanYear,7,1),0),IF(ISNUMBER($G59),$G59,$F59)&gt;=DATE(PlanYear,7,1)),1,0))</f>
        <v>0</v>
      </c>
      <c r="V59">
        <f>IF($N59=0,0,IF(AND($F59&lt;=EOMONTH(DATE(PlanYear,8,1),0),IF(ISNUMBER($G59),$G59,$F59)&gt;=DATE(PlanYear,8,1)),1,0))</f>
        <v>0</v>
      </c>
      <c r="W59">
        <f>IF($N59=0,0,IF(AND($F59&lt;=EOMONTH(DATE(PlanYear,9,1),0),IF(ISNUMBER($G59),$G59,$F59)&gt;=DATE(PlanYear,9,1)),1,0))</f>
        <v>0</v>
      </c>
      <c r="X59">
        <f>IF($N59=0,0,IF(AND($F59&lt;=EOMONTH(DATE(PlanYear,10,1),0),IF(ISNUMBER($G59),$G59,$F59)&gt;=DATE(PlanYear,10,1)),1,0))</f>
        <v>0</v>
      </c>
      <c r="Y59">
        <f>IF($N59=0,0,IF(AND($F59&lt;=EOMONTH(DATE(PlanYear,11,1),0),IF(ISNUMBER($G59),$G59,$F59)&gt;=DATE(PlanYear,11,1)),1,0))</f>
        <v>0</v>
      </c>
      <c r="Z59">
        <f>IF($N59=0,0,IF(AND($F59&lt;=EOMONTH(DATE(PlanYear,12,1),0),IF(ISNUMBER($G59),$G59,$F59)&gt;=DATE(PlanYear,12,1)),1,0))</f>
        <v>0</v>
      </c>
      <c r="AA59">
        <f>SUM($O59:$Z59)</f>
        <v>0</v>
      </c>
    </row>
    <row r="60" spans="1:27">
      <c r="A60" s="42">
        <f>IF($B60="","","ACT-"&amp;TEXT(ROW()-4,"000"))</f>
        <v>0</v>
      </c>
      <c r="M60" s="43">
        <f>IF(COUNTA($B60:$K60)=0,"",IF($B60="","Missing activity name",IF($C60="","Missing practice",IF(COUNTIF(PracticeNames,$C60)=0,"Practice not in Lists",IF($D60="","Missing motion",IF(NOT(ISNUMBER($F60)),"Missing or invalid start date",IF(AND(ISNUMBER($G60),$G60&lt;$F60),"End date before start",IF(AND($N60=1,$AA60=0),"Outside planning year","OK"))))))))</f>
        <v>0</v>
      </c>
      <c r="N60">
        <f>IF(AND($B60&lt;&gt;"",$C60&lt;&gt;"",$D60&lt;&gt;"",ISNUMBER($F60),COUNTIF(PracticeNames,$C60)&gt;0,COUNTIF(MotionNames,$D60)&gt;0,NOT(AND(ISNUMBER($G60),$G60&lt;$F60))),IF(StatusFilter="All (excl. Cancelled)",IF($H60="Cancelled",0,1),IF(StatusFilter="All",1,IF($H60=StatusFilter,1,0))),0)</f>
        <v>0</v>
      </c>
      <c r="O60">
        <f>IF($N60=0,0,IF(AND($F60&lt;=EOMONTH(DATE(PlanYear,1,1),0),IF(ISNUMBER($G60),$G60,$F60)&gt;=DATE(PlanYear,1,1)),1,0))</f>
        <v>0</v>
      </c>
      <c r="P60">
        <f>IF($N60=0,0,IF(AND($F60&lt;=EOMONTH(DATE(PlanYear,2,1),0),IF(ISNUMBER($G60),$G60,$F60)&gt;=DATE(PlanYear,2,1)),1,0))</f>
        <v>0</v>
      </c>
      <c r="Q60">
        <f>IF($N60=0,0,IF(AND($F60&lt;=EOMONTH(DATE(PlanYear,3,1),0),IF(ISNUMBER($G60),$G60,$F60)&gt;=DATE(PlanYear,3,1)),1,0))</f>
        <v>0</v>
      </c>
      <c r="R60">
        <f>IF($N60=0,0,IF(AND($F60&lt;=EOMONTH(DATE(PlanYear,4,1),0),IF(ISNUMBER($G60),$G60,$F60)&gt;=DATE(PlanYear,4,1)),1,0))</f>
        <v>0</v>
      </c>
      <c r="S60">
        <f>IF($N60=0,0,IF(AND($F60&lt;=EOMONTH(DATE(PlanYear,5,1),0),IF(ISNUMBER($G60),$G60,$F60)&gt;=DATE(PlanYear,5,1)),1,0))</f>
        <v>0</v>
      </c>
      <c r="T60">
        <f>IF($N60=0,0,IF(AND($F60&lt;=EOMONTH(DATE(PlanYear,6,1),0),IF(ISNUMBER($G60),$G60,$F60)&gt;=DATE(PlanYear,6,1)),1,0))</f>
        <v>0</v>
      </c>
      <c r="U60">
        <f>IF($N60=0,0,IF(AND($F60&lt;=EOMONTH(DATE(PlanYear,7,1),0),IF(ISNUMBER($G60),$G60,$F60)&gt;=DATE(PlanYear,7,1)),1,0))</f>
        <v>0</v>
      </c>
      <c r="V60">
        <f>IF($N60=0,0,IF(AND($F60&lt;=EOMONTH(DATE(PlanYear,8,1),0),IF(ISNUMBER($G60),$G60,$F60)&gt;=DATE(PlanYear,8,1)),1,0))</f>
        <v>0</v>
      </c>
      <c r="W60">
        <f>IF($N60=0,0,IF(AND($F60&lt;=EOMONTH(DATE(PlanYear,9,1),0),IF(ISNUMBER($G60),$G60,$F60)&gt;=DATE(PlanYear,9,1)),1,0))</f>
        <v>0</v>
      </c>
      <c r="X60">
        <f>IF($N60=0,0,IF(AND($F60&lt;=EOMONTH(DATE(PlanYear,10,1),0),IF(ISNUMBER($G60),$G60,$F60)&gt;=DATE(PlanYear,10,1)),1,0))</f>
        <v>0</v>
      </c>
      <c r="Y60">
        <f>IF($N60=0,0,IF(AND($F60&lt;=EOMONTH(DATE(PlanYear,11,1),0),IF(ISNUMBER($G60),$G60,$F60)&gt;=DATE(PlanYear,11,1)),1,0))</f>
        <v>0</v>
      </c>
      <c r="Z60">
        <f>IF($N60=0,0,IF(AND($F60&lt;=EOMONTH(DATE(PlanYear,12,1),0),IF(ISNUMBER($G60),$G60,$F60)&gt;=DATE(PlanYear,12,1)),1,0))</f>
        <v>0</v>
      </c>
      <c r="AA60">
        <f>SUM($O60:$Z60)</f>
        <v>0</v>
      </c>
    </row>
    <row r="61" spans="1:27">
      <c r="A61" s="42">
        <f>IF($B61="","","ACT-"&amp;TEXT(ROW()-4,"000"))</f>
        <v>0</v>
      </c>
      <c r="M61" s="43">
        <f>IF(COUNTA($B61:$K61)=0,"",IF($B61="","Missing activity name",IF($C61="","Missing practice",IF(COUNTIF(PracticeNames,$C61)=0,"Practice not in Lists",IF($D61="","Missing motion",IF(NOT(ISNUMBER($F61)),"Missing or invalid start date",IF(AND(ISNUMBER($G61),$G61&lt;$F61),"End date before start",IF(AND($N61=1,$AA61=0),"Outside planning year","OK"))))))))</f>
        <v>0</v>
      </c>
      <c r="N61">
        <f>IF(AND($B61&lt;&gt;"",$C61&lt;&gt;"",$D61&lt;&gt;"",ISNUMBER($F61),COUNTIF(PracticeNames,$C61)&gt;0,COUNTIF(MotionNames,$D61)&gt;0,NOT(AND(ISNUMBER($G61),$G61&lt;$F61))),IF(StatusFilter="All (excl. Cancelled)",IF($H61="Cancelled",0,1),IF(StatusFilter="All",1,IF($H61=StatusFilter,1,0))),0)</f>
        <v>0</v>
      </c>
      <c r="O61">
        <f>IF($N61=0,0,IF(AND($F61&lt;=EOMONTH(DATE(PlanYear,1,1),0),IF(ISNUMBER($G61),$G61,$F61)&gt;=DATE(PlanYear,1,1)),1,0))</f>
        <v>0</v>
      </c>
      <c r="P61">
        <f>IF($N61=0,0,IF(AND($F61&lt;=EOMONTH(DATE(PlanYear,2,1),0),IF(ISNUMBER($G61),$G61,$F61)&gt;=DATE(PlanYear,2,1)),1,0))</f>
        <v>0</v>
      </c>
      <c r="Q61">
        <f>IF($N61=0,0,IF(AND($F61&lt;=EOMONTH(DATE(PlanYear,3,1),0),IF(ISNUMBER($G61),$G61,$F61)&gt;=DATE(PlanYear,3,1)),1,0))</f>
        <v>0</v>
      </c>
      <c r="R61">
        <f>IF($N61=0,0,IF(AND($F61&lt;=EOMONTH(DATE(PlanYear,4,1),0),IF(ISNUMBER($G61),$G61,$F61)&gt;=DATE(PlanYear,4,1)),1,0))</f>
        <v>0</v>
      </c>
      <c r="S61">
        <f>IF($N61=0,0,IF(AND($F61&lt;=EOMONTH(DATE(PlanYear,5,1),0),IF(ISNUMBER($G61),$G61,$F61)&gt;=DATE(PlanYear,5,1)),1,0))</f>
        <v>0</v>
      </c>
      <c r="T61">
        <f>IF($N61=0,0,IF(AND($F61&lt;=EOMONTH(DATE(PlanYear,6,1),0),IF(ISNUMBER($G61),$G61,$F61)&gt;=DATE(PlanYear,6,1)),1,0))</f>
        <v>0</v>
      </c>
      <c r="U61">
        <f>IF($N61=0,0,IF(AND($F61&lt;=EOMONTH(DATE(PlanYear,7,1),0),IF(ISNUMBER($G61),$G61,$F61)&gt;=DATE(PlanYear,7,1)),1,0))</f>
        <v>0</v>
      </c>
      <c r="V61">
        <f>IF($N61=0,0,IF(AND($F61&lt;=EOMONTH(DATE(PlanYear,8,1),0),IF(ISNUMBER($G61),$G61,$F61)&gt;=DATE(PlanYear,8,1)),1,0))</f>
        <v>0</v>
      </c>
      <c r="W61">
        <f>IF($N61=0,0,IF(AND($F61&lt;=EOMONTH(DATE(PlanYear,9,1),0),IF(ISNUMBER($G61),$G61,$F61)&gt;=DATE(PlanYear,9,1)),1,0))</f>
        <v>0</v>
      </c>
      <c r="X61">
        <f>IF($N61=0,0,IF(AND($F61&lt;=EOMONTH(DATE(PlanYear,10,1),0),IF(ISNUMBER($G61),$G61,$F61)&gt;=DATE(PlanYear,10,1)),1,0))</f>
        <v>0</v>
      </c>
      <c r="Y61">
        <f>IF($N61=0,0,IF(AND($F61&lt;=EOMONTH(DATE(PlanYear,11,1),0),IF(ISNUMBER($G61),$G61,$F61)&gt;=DATE(PlanYear,11,1)),1,0))</f>
        <v>0</v>
      </c>
      <c r="Z61">
        <f>IF($N61=0,0,IF(AND($F61&lt;=EOMONTH(DATE(PlanYear,12,1),0),IF(ISNUMBER($G61),$G61,$F61)&gt;=DATE(PlanYear,12,1)),1,0))</f>
        <v>0</v>
      </c>
      <c r="AA61">
        <f>SUM($O61:$Z61)</f>
        <v>0</v>
      </c>
    </row>
    <row r="62" spans="1:27">
      <c r="A62" s="42">
        <f>IF($B62="","","ACT-"&amp;TEXT(ROW()-4,"000"))</f>
        <v>0</v>
      </c>
      <c r="M62" s="43">
        <f>IF(COUNTA($B62:$K62)=0,"",IF($B62="","Missing activity name",IF($C62="","Missing practice",IF(COUNTIF(PracticeNames,$C62)=0,"Practice not in Lists",IF($D62="","Missing motion",IF(NOT(ISNUMBER($F62)),"Missing or invalid start date",IF(AND(ISNUMBER($G62),$G62&lt;$F62),"End date before start",IF(AND($N62=1,$AA62=0),"Outside planning year","OK"))))))))</f>
        <v>0</v>
      </c>
      <c r="N62">
        <f>IF(AND($B62&lt;&gt;"",$C62&lt;&gt;"",$D62&lt;&gt;"",ISNUMBER($F62),COUNTIF(PracticeNames,$C62)&gt;0,COUNTIF(MotionNames,$D62)&gt;0,NOT(AND(ISNUMBER($G62),$G62&lt;$F62))),IF(StatusFilter="All (excl. Cancelled)",IF($H62="Cancelled",0,1),IF(StatusFilter="All",1,IF($H62=StatusFilter,1,0))),0)</f>
        <v>0</v>
      </c>
      <c r="O62">
        <f>IF($N62=0,0,IF(AND($F62&lt;=EOMONTH(DATE(PlanYear,1,1),0),IF(ISNUMBER($G62),$G62,$F62)&gt;=DATE(PlanYear,1,1)),1,0))</f>
        <v>0</v>
      </c>
      <c r="P62">
        <f>IF($N62=0,0,IF(AND($F62&lt;=EOMONTH(DATE(PlanYear,2,1),0),IF(ISNUMBER($G62),$G62,$F62)&gt;=DATE(PlanYear,2,1)),1,0))</f>
        <v>0</v>
      </c>
      <c r="Q62">
        <f>IF($N62=0,0,IF(AND($F62&lt;=EOMONTH(DATE(PlanYear,3,1),0),IF(ISNUMBER($G62),$G62,$F62)&gt;=DATE(PlanYear,3,1)),1,0))</f>
        <v>0</v>
      </c>
      <c r="R62">
        <f>IF($N62=0,0,IF(AND($F62&lt;=EOMONTH(DATE(PlanYear,4,1),0),IF(ISNUMBER($G62),$G62,$F62)&gt;=DATE(PlanYear,4,1)),1,0))</f>
        <v>0</v>
      </c>
      <c r="S62">
        <f>IF($N62=0,0,IF(AND($F62&lt;=EOMONTH(DATE(PlanYear,5,1),0),IF(ISNUMBER($G62),$G62,$F62)&gt;=DATE(PlanYear,5,1)),1,0))</f>
        <v>0</v>
      </c>
      <c r="T62">
        <f>IF($N62=0,0,IF(AND($F62&lt;=EOMONTH(DATE(PlanYear,6,1),0),IF(ISNUMBER($G62),$G62,$F62)&gt;=DATE(PlanYear,6,1)),1,0))</f>
        <v>0</v>
      </c>
      <c r="U62">
        <f>IF($N62=0,0,IF(AND($F62&lt;=EOMONTH(DATE(PlanYear,7,1),0),IF(ISNUMBER($G62),$G62,$F62)&gt;=DATE(PlanYear,7,1)),1,0))</f>
        <v>0</v>
      </c>
      <c r="V62">
        <f>IF($N62=0,0,IF(AND($F62&lt;=EOMONTH(DATE(PlanYear,8,1),0),IF(ISNUMBER($G62),$G62,$F62)&gt;=DATE(PlanYear,8,1)),1,0))</f>
        <v>0</v>
      </c>
      <c r="W62">
        <f>IF($N62=0,0,IF(AND($F62&lt;=EOMONTH(DATE(PlanYear,9,1),0),IF(ISNUMBER($G62),$G62,$F62)&gt;=DATE(PlanYear,9,1)),1,0))</f>
        <v>0</v>
      </c>
      <c r="X62">
        <f>IF($N62=0,0,IF(AND($F62&lt;=EOMONTH(DATE(PlanYear,10,1),0),IF(ISNUMBER($G62),$G62,$F62)&gt;=DATE(PlanYear,10,1)),1,0))</f>
        <v>0</v>
      </c>
      <c r="Y62">
        <f>IF($N62=0,0,IF(AND($F62&lt;=EOMONTH(DATE(PlanYear,11,1),0),IF(ISNUMBER($G62),$G62,$F62)&gt;=DATE(PlanYear,11,1)),1,0))</f>
        <v>0</v>
      </c>
      <c r="Z62">
        <f>IF($N62=0,0,IF(AND($F62&lt;=EOMONTH(DATE(PlanYear,12,1),0),IF(ISNUMBER($G62),$G62,$F62)&gt;=DATE(PlanYear,12,1)),1,0))</f>
        <v>0</v>
      </c>
      <c r="AA62">
        <f>SUM($O62:$Z62)</f>
        <v>0</v>
      </c>
    </row>
    <row r="63" spans="1:27">
      <c r="A63" s="42">
        <f>IF($B63="","","ACT-"&amp;TEXT(ROW()-4,"000"))</f>
        <v>0</v>
      </c>
      <c r="M63" s="43">
        <f>IF(COUNTA($B63:$K63)=0,"",IF($B63="","Missing activity name",IF($C63="","Missing practice",IF(COUNTIF(PracticeNames,$C63)=0,"Practice not in Lists",IF($D63="","Missing motion",IF(NOT(ISNUMBER($F63)),"Missing or invalid start date",IF(AND(ISNUMBER($G63),$G63&lt;$F63),"End date before start",IF(AND($N63=1,$AA63=0),"Outside planning year","OK"))))))))</f>
        <v>0</v>
      </c>
      <c r="N63">
        <f>IF(AND($B63&lt;&gt;"",$C63&lt;&gt;"",$D63&lt;&gt;"",ISNUMBER($F63),COUNTIF(PracticeNames,$C63)&gt;0,COUNTIF(MotionNames,$D63)&gt;0,NOT(AND(ISNUMBER($G63),$G63&lt;$F63))),IF(StatusFilter="All (excl. Cancelled)",IF($H63="Cancelled",0,1),IF(StatusFilter="All",1,IF($H63=StatusFilter,1,0))),0)</f>
        <v>0</v>
      </c>
      <c r="O63">
        <f>IF($N63=0,0,IF(AND($F63&lt;=EOMONTH(DATE(PlanYear,1,1),0),IF(ISNUMBER($G63),$G63,$F63)&gt;=DATE(PlanYear,1,1)),1,0))</f>
        <v>0</v>
      </c>
      <c r="P63">
        <f>IF($N63=0,0,IF(AND($F63&lt;=EOMONTH(DATE(PlanYear,2,1),0),IF(ISNUMBER($G63),$G63,$F63)&gt;=DATE(PlanYear,2,1)),1,0))</f>
        <v>0</v>
      </c>
      <c r="Q63">
        <f>IF($N63=0,0,IF(AND($F63&lt;=EOMONTH(DATE(PlanYear,3,1),0),IF(ISNUMBER($G63),$G63,$F63)&gt;=DATE(PlanYear,3,1)),1,0))</f>
        <v>0</v>
      </c>
      <c r="R63">
        <f>IF($N63=0,0,IF(AND($F63&lt;=EOMONTH(DATE(PlanYear,4,1),0),IF(ISNUMBER($G63),$G63,$F63)&gt;=DATE(PlanYear,4,1)),1,0))</f>
        <v>0</v>
      </c>
      <c r="S63">
        <f>IF($N63=0,0,IF(AND($F63&lt;=EOMONTH(DATE(PlanYear,5,1),0),IF(ISNUMBER($G63),$G63,$F63)&gt;=DATE(PlanYear,5,1)),1,0))</f>
        <v>0</v>
      </c>
      <c r="T63">
        <f>IF($N63=0,0,IF(AND($F63&lt;=EOMONTH(DATE(PlanYear,6,1),0),IF(ISNUMBER($G63),$G63,$F63)&gt;=DATE(PlanYear,6,1)),1,0))</f>
        <v>0</v>
      </c>
      <c r="U63">
        <f>IF($N63=0,0,IF(AND($F63&lt;=EOMONTH(DATE(PlanYear,7,1),0),IF(ISNUMBER($G63),$G63,$F63)&gt;=DATE(PlanYear,7,1)),1,0))</f>
        <v>0</v>
      </c>
      <c r="V63">
        <f>IF($N63=0,0,IF(AND($F63&lt;=EOMONTH(DATE(PlanYear,8,1),0),IF(ISNUMBER($G63),$G63,$F63)&gt;=DATE(PlanYear,8,1)),1,0))</f>
        <v>0</v>
      </c>
      <c r="W63">
        <f>IF($N63=0,0,IF(AND($F63&lt;=EOMONTH(DATE(PlanYear,9,1),0),IF(ISNUMBER($G63),$G63,$F63)&gt;=DATE(PlanYear,9,1)),1,0))</f>
        <v>0</v>
      </c>
      <c r="X63">
        <f>IF($N63=0,0,IF(AND($F63&lt;=EOMONTH(DATE(PlanYear,10,1),0),IF(ISNUMBER($G63),$G63,$F63)&gt;=DATE(PlanYear,10,1)),1,0))</f>
        <v>0</v>
      </c>
      <c r="Y63">
        <f>IF($N63=0,0,IF(AND($F63&lt;=EOMONTH(DATE(PlanYear,11,1),0),IF(ISNUMBER($G63),$G63,$F63)&gt;=DATE(PlanYear,11,1)),1,0))</f>
        <v>0</v>
      </c>
      <c r="Z63">
        <f>IF($N63=0,0,IF(AND($F63&lt;=EOMONTH(DATE(PlanYear,12,1),0),IF(ISNUMBER($G63),$G63,$F63)&gt;=DATE(PlanYear,12,1)),1,0))</f>
        <v>0</v>
      </c>
      <c r="AA63">
        <f>SUM($O63:$Z63)</f>
        <v>0</v>
      </c>
    </row>
    <row r="64" spans="1:27">
      <c r="A64" s="42">
        <f>IF($B64="","","ACT-"&amp;TEXT(ROW()-4,"000"))</f>
        <v>0</v>
      </c>
      <c r="M64" s="43">
        <f>IF(COUNTA($B64:$K64)=0,"",IF($B64="","Missing activity name",IF($C64="","Missing practice",IF(COUNTIF(PracticeNames,$C64)=0,"Practice not in Lists",IF($D64="","Missing motion",IF(NOT(ISNUMBER($F64)),"Missing or invalid start date",IF(AND(ISNUMBER($G64),$G64&lt;$F64),"End date before start",IF(AND($N64=1,$AA64=0),"Outside planning year","OK"))))))))</f>
        <v>0</v>
      </c>
      <c r="N64">
        <f>IF(AND($B64&lt;&gt;"",$C64&lt;&gt;"",$D64&lt;&gt;"",ISNUMBER($F64),COUNTIF(PracticeNames,$C64)&gt;0,COUNTIF(MotionNames,$D64)&gt;0,NOT(AND(ISNUMBER($G64),$G64&lt;$F64))),IF(StatusFilter="All (excl. Cancelled)",IF($H64="Cancelled",0,1),IF(StatusFilter="All",1,IF($H64=StatusFilter,1,0))),0)</f>
        <v>0</v>
      </c>
      <c r="O64">
        <f>IF($N64=0,0,IF(AND($F64&lt;=EOMONTH(DATE(PlanYear,1,1),0),IF(ISNUMBER($G64),$G64,$F64)&gt;=DATE(PlanYear,1,1)),1,0))</f>
        <v>0</v>
      </c>
      <c r="P64">
        <f>IF($N64=0,0,IF(AND($F64&lt;=EOMONTH(DATE(PlanYear,2,1),0),IF(ISNUMBER($G64),$G64,$F64)&gt;=DATE(PlanYear,2,1)),1,0))</f>
        <v>0</v>
      </c>
      <c r="Q64">
        <f>IF($N64=0,0,IF(AND($F64&lt;=EOMONTH(DATE(PlanYear,3,1),0),IF(ISNUMBER($G64),$G64,$F64)&gt;=DATE(PlanYear,3,1)),1,0))</f>
        <v>0</v>
      </c>
      <c r="R64">
        <f>IF($N64=0,0,IF(AND($F64&lt;=EOMONTH(DATE(PlanYear,4,1),0),IF(ISNUMBER($G64),$G64,$F64)&gt;=DATE(PlanYear,4,1)),1,0))</f>
        <v>0</v>
      </c>
      <c r="S64">
        <f>IF($N64=0,0,IF(AND($F64&lt;=EOMONTH(DATE(PlanYear,5,1),0),IF(ISNUMBER($G64),$G64,$F64)&gt;=DATE(PlanYear,5,1)),1,0))</f>
        <v>0</v>
      </c>
      <c r="T64">
        <f>IF($N64=0,0,IF(AND($F64&lt;=EOMONTH(DATE(PlanYear,6,1),0),IF(ISNUMBER($G64),$G64,$F64)&gt;=DATE(PlanYear,6,1)),1,0))</f>
        <v>0</v>
      </c>
      <c r="U64">
        <f>IF($N64=0,0,IF(AND($F64&lt;=EOMONTH(DATE(PlanYear,7,1),0),IF(ISNUMBER($G64),$G64,$F64)&gt;=DATE(PlanYear,7,1)),1,0))</f>
        <v>0</v>
      </c>
      <c r="V64">
        <f>IF($N64=0,0,IF(AND($F64&lt;=EOMONTH(DATE(PlanYear,8,1),0),IF(ISNUMBER($G64),$G64,$F64)&gt;=DATE(PlanYear,8,1)),1,0))</f>
        <v>0</v>
      </c>
      <c r="W64">
        <f>IF($N64=0,0,IF(AND($F64&lt;=EOMONTH(DATE(PlanYear,9,1),0),IF(ISNUMBER($G64),$G64,$F64)&gt;=DATE(PlanYear,9,1)),1,0))</f>
        <v>0</v>
      </c>
      <c r="X64">
        <f>IF($N64=0,0,IF(AND($F64&lt;=EOMONTH(DATE(PlanYear,10,1),0),IF(ISNUMBER($G64),$G64,$F64)&gt;=DATE(PlanYear,10,1)),1,0))</f>
        <v>0</v>
      </c>
      <c r="Y64">
        <f>IF($N64=0,0,IF(AND($F64&lt;=EOMONTH(DATE(PlanYear,11,1),0),IF(ISNUMBER($G64),$G64,$F64)&gt;=DATE(PlanYear,11,1)),1,0))</f>
        <v>0</v>
      </c>
      <c r="Z64">
        <f>IF($N64=0,0,IF(AND($F64&lt;=EOMONTH(DATE(PlanYear,12,1),0),IF(ISNUMBER($G64),$G64,$F64)&gt;=DATE(PlanYear,12,1)),1,0))</f>
        <v>0</v>
      </c>
      <c r="AA64">
        <f>SUM($O64:$Z64)</f>
        <v>0</v>
      </c>
    </row>
    <row r="65" spans="1:27">
      <c r="A65" s="42">
        <f>IF($B65="","","ACT-"&amp;TEXT(ROW()-4,"000"))</f>
        <v>0</v>
      </c>
      <c r="M65" s="43">
        <f>IF(COUNTA($B65:$K65)=0,"",IF($B65="","Missing activity name",IF($C65="","Missing practice",IF(COUNTIF(PracticeNames,$C65)=0,"Practice not in Lists",IF($D65="","Missing motion",IF(NOT(ISNUMBER($F65)),"Missing or invalid start date",IF(AND(ISNUMBER($G65),$G65&lt;$F65),"End date before start",IF(AND($N65=1,$AA65=0),"Outside planning year","OK"))))))))</f>
        <v>0</v>
      </c>
      <c r="N65">
        <f>IF(AND($B65&lt;&gt;"",$C65&lt;&gt;"",$D65&lt;&gt;"",ISNUMBER($F65),COUNTIF(PracticeNames,$C65)&gt;0,COUNTIF(MotionNames,$D65)&gt;0,NOT(AND(ISNUMBER($G65),$G65&lt;$F65))),IF(StatusFilter="All (excl. Cancelled)",IF($H65="Cancelled",0,1),IF(StatusFilter="All",1,IF($H65=StatusFilter,1,0))),0)</f>
        <v>0</v>
      </c>
      <c r="O65">
        <f>IF($N65=0,0,IF(AND($F65&lt;=EOMONTH(DATE(PlanYear,1,1),0),IF(ISNUMBER($G65),$G65,$F65)&gt;=DATE(PlanYear,1,1)),1,0))</f>
        <v>0</v>
      </c>
      <c r="P65">
        <f>IF($N65=0,0,IF(AND($F65&lt;=EOMONTH(DATE(PlanYear,2,1),0),IF(ISNUMBER($G65),$G65,$F65)&gt;=DATE(PlanYear,2,1)),1,0))</f>
        <v>0</v>
      </c>
      <c r="Q65">
        <f>IF($N65=0,0,IF(AND($F65&lt;=EOMONTH(DATE(PlanYear,3,1),0),IF(ISNUMBER($G65),$G65,$F65)&gt;=DATE(PlanYear,3,1)),1,0))</f>
        <v>0</v>
      </c>
      <c r="R65">
        <f>IF($N65=0,0,IF(AND($F65&lt;=EOMONTH(DATE(PlanYear,4,1),0),IF(ISNUMBER($G65),$G65,$F65)&gt;=DATE(PlanYear,4,1)),1,0))</f>
        <v>0</v>
      </c>
      <c r="S65">
        <f>IF($N65=0,0,IF(AND($F65&lt;=EOMONTH(DATE(PlanYear,5,1),0),IF(ISNUMBER($G65),$G65,$F65)&gt;=DATE(PlanYear,5,1)),1,0))</f>
        <v>0</v>
      </c>
      <c r="T65">
        <f>IF($N65=0,0,IF(AND($F65&lt;=EOMONTH(DATE(PlanYear,6,1),0),IF(ISNUMBER($G65),$G65,$F65)&gt;=DATE(PlanYear,6,1)),1,0))</f>
        <v>0</v>
      </c>
      <c r="U65">
        <f>IF($N65=0,0,IF(AND($F65&lt;=EOMONTH(DATE(PlanYear,7,1),0),IF(ISNUMBER($G65),$G65,$F65)&gt;=DATE(PlanYear,7,1)),1,0))</f>
        <v>0</v>
      </c>
      <c r="V65">
        <f>IF($N65=0,0,IF(AND($F65&lt;=EOMONTH(DATE(PlanYear,8,1),0),IF(ISNUMBER($G65),$G65,$F65)&gt;=DATE(PlanYear,8,1)),1,0))</f>
        <v>0</v>
      </c>
      <c r="W65">
        <f>IF($N65=0,0,IF(AND($F65&lt;=EOMONTH(DATE(PlanYear,9,1),0),IF(ISNUMBER($G65),$G65,$F65)&gt;=DATE(PlanYear,9,1)),1,0))</f>
        <v>0</v>
      </c>
      <c r="X65">
        <f>IF($N65=0,0,IF(AND($F65&lt;=EOMONTH(DATE(PlanYear,10,1),0),IF(ISNUMBER($G65),$G65,$F65)&gt;=DATE(PlanYear,10,1)),1,0))</f>
        <v>0</v>
      </c>
      <c r="Y65">
        <f>IF($N65=0,0,IF(AND($F65&lt;=EOMONTH(DATE(PlanYear,11,1),0),IF(ISNUMBER($G65),$G65,$F65)&gt;=DATE(PlanYear,11,1)),1,0))</f>
        <v>0</v>
      </c>
      <c r="Z65">
        <f>IF($N65=0,0,IF(AND($F65&lt;=EOMONTH(DATE(PlanYear,12,1),0),IF(ISNUMBER($G65),$G65,$F65)&gt;=DATE(PlanYear,12,1)),1,0))</f>
        <v>0</v>
      </c>
      <c r="AA65">
        <f>SUM($O65:$Z65)</f>
        <v>0</v>
      </c>
    </row>
    <row r="66" spans="1:27">
      <c r="A66" s="42">
        <f>IF($B66="","","ACT-"&amp;TEXT(ROW()-4,"000"))</f>
        <v>0</v>
      </c>
      <c r="M66" s="43">
        <f>IF(COUNTA($B66:$K66)=0,"",IF($B66="","Missing activity name",IF($C66="","Missing practice",IF(COUNTIF(PracticeNames,$C66)=0,"Practice not in Lists",IF($D66="","Missing motion",IF(NOT(ISNUMBER($F66)),"Missing or invalid start date",IF(AND(ISNUMBER($G66),$G66&lt;$F66),"End date before start",IF(AND($N66=1,$AA66=0),"Outside planning year","OK"))))))))</f>
        <v>0</v>
      </c>
      <c r="N66">
        <f>IF(AND($B66&lt;&gt;"",$C66&lt;&gt;"",$D66&lt;&gt;"",ISNUMBER($F66),COUNTIF(PracticeNames,$C66)&gt;0,COUNTIF(MotionNames,$D66)&gt;0,NOT(AND(ISNUMBER($G66),$G66&lt;$F66))),IF(StatusFilter="All (excl. Cancelled)",IF($H66="Cancelled",0,1),IF(StatusFilter="All",1,IF($H66=StatusFilter,1,0))),0)</f>
        <v>0</v>
      </c>
      <c r="O66">
        <f>IF($N66=0,0,IF(AND($F66&lt;=EOMONTH(DATE(PlanYear,1,1),0),IF(ISNUMBER($G66),$G66,$F66)&gt;=DATE(PlanYear,1,1)),1,0))</f>
        <v>0</v>
      </c>
      <c r="P66">
        <f>IF($N66=0,0,IF(AND($F66&lt;=EOMONTH(DATE(PlanYear,2,1),0),IF(ISNUMBER($G66),$G66,$F66)&gt;=DATE(PlanYear,2,1)),1,0))</f>
        <v>0</v>
      </c>
      <c r="Q66">
        <f>IF($N66=0,0,IF(AND($F66&lt;=EOMONTH(DATE(PlanYear,3,1),0),IF(ISNUMBER($G66),$G66,$F66)&gt;=DATE(PlanYear,3,1)),1,0))</f>
        <v>0</v>
      </c>
      <c r="R66">
        <f>IF($N66=0,0,IF(AND($F66&lt;=EOMONTH(DATE(PlanYear,4,1),0),IF(ISNUMBER($G66),$G66,$F66)&gt;=DATE(PlanYear,4,1)),1,0))</f>
        <v>0</v>
      </c>
      <c r="S66">
        <f>IF($N66=0,0,IF(AND($F66&lt;=EOMONTH(DATE(PlanYear,5,1),0),IF(ISNUMBER($G66),$G66,$F66)&gt;=DATE(PlanYear,5,1)),1,0))</f>
        <v>0</v>
      </c>
      <c r="T66">
        <f>IF($N66=0,0,IF(AND($F66&lt;=EOMONTH(DATE(PlanYear,6,1),0),IF(ISNUMBER($G66),$G66,$F66)&gt;=DATE(PlanYear,6,1)),1,0))</f>
        <v>0</v>
      </c>
      <c r="U66">
        <f>IF($N66=0,0,IF(AND($F66&lt;=EOMONTH(DATE(PlanYear,7,1),0),IF(ISNUMBER($G66),$G66,$F66)&gt;=DATE(PlanYear,7,1)),1,0))</f>
        <v>0</v>
      </c>
      <c r="V66">
        <f>IF($N66=0,0,IF(AND($F66&lt;=EOMONTH(DATE(PlanYear,8,1),0),IF(ISNUMBER($G66),$G66,$F66)&gt;=DATE(PlanYear,8,1)),1,0))</f>
        <v>0</v>
      </c>
      <c r="W66">
        <f>IF($N66=0,0,IF(AND($F66&lt;=EOMONTH(DATE(PlanYear,9,1),0),IF(ISNUMBER($G66),$G66,$F66)&gt;=DATE(PlanYear,9,1)),1,0))</f>
        <v>0</v>
      </c>
      <c r="X66">
        <f>IF($N66=0,0,IF(AND($F66&lt;=EOMONTH(DATE(PlanYear,10,1),0),IF(ISNUMBER($G66),$G66,$F66)&gt;=DATE(PlanYear,10,1)),1,0))</f>
        <v>0</v>
      </c>
      <c r="Y66">
        <f>IF($N66=0,0,IF(AND($F66&lt;=EOMONTH(DATE(PlanYear,11,1),0),IF(ISNUMBER($G66),$G66,$F66)&gt;=DATE(PlanYear,11,1)),1,0))</f>
        <v>0</v>
      </c>
      <c r="Z66">
        <f>IF($N66=0,0,IF(AND($F66&lt;=EOMONTH(DATE(PlanYear,12,1),0),IF(ISNUMBER($G66),$G66,$F66)&gt;=DATE(PlanYear,12,1)),1,0))</f>
        <v>0</v>
      </c>
      <c r="AA66">
        <f>SUM($O66:$Z66)</f>
        <v>0</v>
      </c>
    </row>
    <row r="67" spans="1:27">
      <c r="A67" s="42">
        <f>IF($B67="","","ACT-"&amp;TEXT(ROW()-4,"000"))</f>
        <v>0</v>
      </c>
      <c r="M67" s="43">
        <f>IF(COUNTA($B67:$K67)=0,"",IF($B67="","Missing activity name",IF($C67="","Missing practice",IF(COUNTIF(PracticeNames,$C67)=0,"Practice not in Lists",IF($D67="","Missing motion",IF(NOT(ISNUMBER($F67)),"Missing or invalid start date",IF(AND(ISNUMBER($G67),$G67&lt;$F67),"End date before start",IF(AND($N67=1,$AA67=0),"Outside planning year","OK"))))))))</f>
        <v>0</v>
      </c>
      <c r="N67">
        <f>IF(AND($B67&lt;&gt;"",$C67&lt;&gt;"",$D67&lt;&gt;"",ISNUMBER($F67),COUNTIF(PracticeNames,$C67)&gt;0,COUNTIF(MotionNames,$D67)&gt;0,NOT(AND(ISNUMBER($G67),$G67&lt;$F67))),IF(StatusFilter="All (excl. Cancelled)",IF($H67="Cancelled",0,1),IF(StatusFilter="All",1,IF($H67=StatusFilter,1,0))),0)</f>
        <v>0</v>
      </c>
      <c r="O67">
        <f>IF($N67=0,0,IF(AND($F67&lt;=EOMONTH(DATE(PlanYear,1,1),0),IF(ISNUMBER($G67),$G67,$F67)&gt;=DATE(PlanYear,1,1)),1,0))</f>
        <v>0</v>
      </c>
      <c r="P67">
        <f>IF($N67=0,0,IF(AND($F67&lt;=EOMONTH(DATE(PlanYear,2,1),0),IF(ISNUMBER($G67),$G67,$F67)&gt;=DATE(PlanYear,2,1)),1,0))</f>
        <v>0</v>
      </c>
      <c r="Q67">
        <f>IF($N67=0,0,IF(AND($F67&lt;=EOMONTH(DATE(PlanYear,3,1),0),IF(ISNUMBER($G67),$G67,$F67)&gt;=DATE(PlanYear,3,1)),1,0))</f>
        <v>0</v>
      </c>
      <c r="R67">
        <f>IF($N67=0,0,IF(AND($F67&lt;=EOMONTH(DATE(PlanYear,4,1),0),IF(ISNUMBER($G67),$G67,$F67)&gt;=DATE(PlanYear,4,1)),1,0))</f>
        <v>0</v>
      </c>
      <c r="S67">
        <f>IF($N67=0,0,IF(AND($F67&lt;=EOMONTH(DATE(PlanYear,5,1),0),IF(ISNUMBER($G67),$G67,$F67)&gt;=DATE(PlanYear,5,1)),1,0))</f>
        <v>0</v>
      </c>
      <c r="T67">
        <f>IF($N67=0,0,IF(AND($F67&lt;=EOMONTH(DATE(PlanYear,6,1),0),IF(ISNUMBER($G67),$G67,$F67)&gt;=DATE(PlanYear,6,1)),1,0))</f>
        <v>0</v>
      </c>
      <c r="U67">
        <f>IF($N67=0,0,IF(AND($F67&lt;=EOMONTH(DATE(PlanYear,7,1),0),IF(ISNUMBER($G67),$G67,$F67)&gt;=DATE(PlanYear,7,1)),1,0))</f>
        <v>0</v>
      </c>
      <c r="V67">
        <f>IF($N67=0,0,IF(AND($F67&lt;=EOMONTH(DATE(PlanYear,8,1),0),IF(ISNUMBER($G67),$G67,$F67)&gt;=DATE(PlanYear,8,1)),1,0))</f>
        <v>0</v>
      </c>
      <c r="W67">
        <f>IF($N67=0,0,IF(AND($F67&lt;=EOMONTH(DATE(PlanYear,9,1),0),IF(ISNUMBER($G67),$G67,$F67)&gt;=DATE(PlanYear,9,1)),1,0))</f>
        <v>0</v>
      </c>
      <c r="X67">
        <f>IF($N67=0,0,IF(AND($F67&lt;=EOMONTH(DATE(PlanYear,10,1),0),IF(ISNUMBER($G67),$G67,$F67)&gt;=DATE(PlanYear,10,1)),1,0))</f>
        <v>0</v>
      </c>
      <c r="Y67">
        <f>IF($N67=0,0,IF(AND($F67&lt;=EOMONTH(DATE(PlanYear,11,1),0),IF(ISNUMBER($G67),$G67,$F67)&gt;=DATE(PlanYear,11,1)),1,0))</f>
        <v>0</v>
      </c>
      <c r="Z67">
        <f>IF($N67=0,0,IF(AND($F67&lt;=EOMONTH(DATE(PlanYear,12,1),0),IF(ISNUMBER($G67),$G67,$F67)&gt;=DATE(PlanYear,12,1)),1,0))</f>
        <v>0</v>
      </c>
      <c r="AA67">
        <f>SUM($O67:$Z67)</f>
        <v>0</v>
      </c>
    </row>
    <row r="68" spans="1:27">
      <c r="A68" s="42">
        <f>IF($B68="","","ACT-"&amp;TEXT(ROW()-4,"000"))</f>
        <v>0</v>
      </c>
      <c r="M68" s="43">
        <f>IF(COUNTA($B68:$K68)=0,"",IF($B68="","Missing activity name",IF($C68="","Missing practice",IF(COUNTIF(PracticeNames,$C68)=0,"Practice not in Lists",IF($D68="","Missing motion",IF(NOT(ISNUMBER($F68)),"Missing or invalid start date",IF(AND(ISNUMBER($G68),$G68&lt;$F68),"End date before start",IF(AND($N68=1,$AA68=0),"Outside planning year","OK"))))))))</f>
        <v>0</v>
      </c>
      <c r="N68">
        <f>IF(AND($B68&lt;&gt;"",$C68&lt;&gt;"",$D68&lt;&gt;"",ISNUMBER($F68),COUNTIF(PracticeNames,$C68)&gt;0,COUNTIF(MotionNames,$D68)&gt;0,NOT(AND(ISNUMBER($G68),$G68&lt;$F68))),IF(StatusFilter="All (excl. Cancelled)",IF($H68="Cancelled",0,1),IF(StatusFilter="All",1,IF($H68=StatusFilter,1,0))),0)</f>
        <v>0</v>
      </c>
      <c r="O68">
        <f>IF($N68=0,0,IF(AND($F68&lt;=EOMONTH(DATE(PlanYear,1,1),0),IF(ISNUMBER($G68),$G68,$F68)&gt;=DATE(PlanYear,1,1)),1,0))</f>
        <v>0</v>
      </c>
      <c r="P68">
        <f>IF($N68=0,0,IF(AND($F68&lt;=EOMONTH(DATE(PlanYear,2,1),0),IF(ISNUMBER($G68),$G68,$F68)&gt;=DATE(PlanYear,2,1)),1,0))</f>
        <v>0</v>
      </c>
      <c r="Q68">
        <f>IF($N68=0,0,IF(AND($F68&lt;=EOMONTH(DATE(PlanYear,3,1),0),IF(ISNUMBER($G68),$G68,$F68)&gt;=DATE(PlanYear,3,1)),1,0))</f>
        <v>0</v>
      </c>
      <c r="R68">
        <f>IF($N68=0,0,IF(AND($F68&lt;=EOMONTH(DATE(PlanYear,4,1),0),IF(ISNUMBER($G68),$G68,$F68)&gt;=DATE(PlanYear,4,1)),1,0))</f>
        <v>0</v>
      </c>
      <c r="S68">
        <f>IF($N68=0,0,IF(AND($F68&lt;=EOMONTH(DATE(PlanYear,5,1),0),IF(ISNUMBER($G68),$G68,$F68)&gt;=DATE(PlanYear,5,1)),1,0))</f>
        <v>0</v>
      </c>
      <c r="T68">
        <f>IF($N68=0,0,IF(AND($F68&lt;=EOMONTH(DATE(PlanYear,6,1),0),IF(ISNUMBER($G68),$G68,$F68)&gt;=DATE(PlanYear,6,1)),1,0))</f>
        <v>0</v>
      </c>
      <c r="U68">
        <f>IF($N68=0,0,IF(AND($F68&lt;=EOMONTH(DATE(PlanYear,7,1),0),IF(ISNUMBER($G68),$G68,$F68)&gt;=DATE(PlanYear,7,1)),1,0))</f>
        <v>0</v>
      </c>
      <c r="V68">
        <f>IF($N68=0,0,IF(AND($F68&lt;=EOMONTH(DATE(PlanYear,8,1),0),IF(ISNUMBER($G68),$G68,$F68)&gt;=DATE(PlanYear,8,1)),1,0))</f>
        <v>0</v>
      </c>
      <c r="W68">
        <f>IF($N68=0,0,IF(AND($F68&lt;=EOMONTH(DATE(PlanYear,9,1),0),IF(ISNUMBER($G68),$G68,$F68)&gt;=DATE(PlanYear,9,1)),1,0))</f>
        <v>0</v>
      </c>
      <c r="X68">
        <f>IF($N68=0,0,IF(AND($F68&lt;=EOMONTH(DATE(PlanYear,10,1),0),IF(ISNUMBER($G68),$G68,$F68)&gt;=DATE(PlanYear,10,1)),1,0))</f>
        <v>0</v>
      </c>
      <c r="Y68">
        <f>IF($N68=0,0,IF(AND($F68&lt;=EOMONTH(DATE(PlanYear,11,1),0),IF(ISNUMBER($G68),$G68,$F68)&gt;=DATE(PlanYear,11,1)),1,0))</f>
        <v>0</v>
      </c>
      <c r="Z68">
        <f>IF($N68=0,0,IF(AND($F68&lt;=EOMONTH(DATE(PlanYear,12,1),0),IF(ISNUMBER($G68),$G68,$F68)&gt;=DATE(PlanYear,12,1)),1,0))</f>
        <v>0</v>
      </c>
      <c r="AA68">
        <f>SUM($O68:$Z68)</f>
        <v>0</v>
      </c>
    </row>
    <row r="69" spans="1:27">
      <c r="A69" s="42">
        <f>IF($B69="","","ACT-"&amp;TEXT(ROW()-4,"000"))</f>
        <v>0</v>
      </c>
      <c r="M69" s="43">
        <f>IF(COUNTA($B69:$K69)=0,"",IF($B69="","Missing activity name",IF($C69="","Missing practice",IF(COUNTIF(PracticeNames,$C69)=0,"Practice not in Lists",IF($D69="","Missing motion",IF(NOT(ISNUMBER($F69)),"Missing or invalid start date",IF(AND(ISNUMBER($G69),$G69&lt;$F69),"End date before start",IF(AND($N69=1,$AA69=0),"Outside planning year","OK"))))))))</f>
        <v>0</v>
      </c>
      <c r="N69">
        <f>IF(AND($B69&lt;&gt;"",$C69&lt;&gt;"",$D69&lt;&gt;"",ISNUMBER($F69),COUNTIF(PracticeNames,$C69)&gt;0,COUNTIF(MotionNames,$D69)&gt;0,NOT(AND(ISNUMBER($G69),$G69&lt;$F69))),IF(StatusFilter="All (excl. Cancelled)",IF($H69="Cancelled",0,1),IF(StatusFilter="All",1,IF($H69=StatusFilter,1,0))),0)</f>
        <v>0</v>
      </c>
      <c r="O69">
        <f>IF($N69=0,0,IF(AND($F69&lt;=EOMONTH(DATE(PlanYear,1,1),0),IF(ISNUMBER($G69),$G69,$F69)&gt;=DATE(PlanYear,1,1)),1,0))</f>
        <v>0</v>
      </c>
      <c r="P69">
        <f>IF($N69=0,0,IF(AND($F69&lt;=EOMONTH(DATE(PlanYear,2,1),0),IF(ISNUMBER($G69),$G69,$F69)&gt;=DATE(PlanYear,2,1)),1,0))</f>
        <v>0</v>
      </c>
      <c r="Q69">
        <f>IF($N69=0,0,IF(AND($F69&lt;=EOMONTH(DATE(PlanYear,3,1),0),IF(ISNUMBER($G69),$G69,$F69)&gt;=DATE(PlanYear,3,1)),1,0))</f>
        <v>0</v>
      </c>
      <c r="R69">
        <f>IF($N69=0,0,IF(AND($F69&lt;=EOMONTH(DATE(PlanYear,4,1),0),IF(ISNUMBER($G69),$G69,$F69)&gt;=DATE(PlanYear,4,1)),1,0))</f>
        <v>0</v>
      </c>
      <c r="S69">
        <f>IF($N69=0,0,IF(AND($F69&lt;=EOMONTH(DATE(PlanYear,5,1),0),IF(ISNUMBER($G69),$G69,$F69)&gt;=DATE(PlanYear,5,1)),1,0))</f>
        <v>0</v>
      </c>
      <c r="T69">
        <f>IF($N69=0,0,IF(AND($F69&lt;=EOMONTH(DATE(PlanYear,6,1),0),IF(ISNUMBER($G69),$G69,$F69)&gt;=DATE(PlanYear,6,1)),1,0))</f>
        <v>0</v>
      </c>
      <c r="U69">
        <f>IF($N69=0,0,IF(AND($F69&lt;=EOMONTH(DATE(PlanYear,7,1),0),IF(ISNUMBER($G69),$G69,$F69)&gt;=DATE(PlanYear,7,1)),1,0))</f>
        <v>0</v>
      </c>
      <c r="V69">
        <f>IF($N69=0,0,IF(AND($F69&lt;=EOMONTH(DATE(PlanYear,8,1),0),IF(ISNUMBER($G69),$G69,$F69)&gt;=DATE(PlanYear,8,1)),1,0))</f>
        <v>0</v>
      </c>
      <c r="W69">
        <f>IF($N69=0,0,IF(AND($F69&lt;=EOMONTH(DATE(PlanYear,9,1),0),IF(ISNUMBER($G69),$G69,$F69)&gt;=DATE(PlanYear,9,1)),1,0))</f>
        <v>0</v>
      </c>
      <c r="X69">
        <f>IF($N69=0,0,IF(AND($F69&lt;=EOMONTH(DATE(PlanYear,10,1),0),IF(ISNUMBER($G69),$G69,$F69)&gt;=DATE(PlanYear,10,1)),1,0))</f>
        <v>0</v>
      </c>
      <c r="Y69">
        <f>IF($N69=0,0,IF(AND($F69&lt;=EOMONTH(DATE(PlanYear,11,1),0),IF(ISNUMBER($G69),$G69,$F69)&gt;=DATE(PlanYear,11,1)),1,0))</f>
        <v>0</v>
      </c>
      <c r="Z69">
        <f>IF($N69=0,0,IF(AND($F69&lt;=EOMONTH(DATE(PlanYear,12,1),0),IF(ISNUMBER($G69),$G69,$F69)&gt;=DATE(PlanYear,12,1)),1,0))</f>
        <v>0</v>
      </c>
      <c r="AA69">
        <f>SUM($O69:$Z69)</f>
        <v>0</v>
      </c>
    </row>
    <row r="70" spans="1:27">
      <c r="A70" s="42">
        <f>IF($B70="","","ACT-"&amp;TEXT(ROW()-4,"000"))</f>
        <v>0</v>
      </c>
      <c r="M70" s="43">
        <f>IF(COUNTA($B70:$K70)=0,"",IF($B70="","Missing activity name",IF($C70="","Missing practice",IF(COUNTIF(PracticeNames,$C70)=0,"Practice not in Lists",IF($D70="","Missing motion",IF(NOT(ISNUMBER($F70)),"Missing or invalid start date",IF(AND(ISNUMBER($G70),$G70&lt;$F70),"End date before start",IF(AND($N70=1,$AA70=0),"Outside planning year","OK"))))))))</f>
        <v>0</v>
      </c>
      <c r="N70">
        <f>IF(AND($B70&lt;&gt;"",$C70&lt;&gt;"",$D70&lt;&gt;"",ISNUMBER($F70),COUNTIF(PracticeNames,$C70)&gt;0,COUNTIF(MotionNames,$D70)&gt;0,NOT(AND(ISNUMBER($G70),$G70&lt;$F70))),IF(StatusFilter="All (excl. Cancelled)",IF($H70="Cancelled",0,1),IF(StatusFilter="All",1,IF($H70=StatusFilter,1,0))),0)</f>
        <v>0</v>
      </c>
      <c r="O70">
        <f>IF($N70=0,0,IF(AND($F70&lt;=EOMONTH(DATE(PlanYear,1,1),0),IF(ISNUMBER($G70),$G70,$F70)&gt;=DATE(PlanYear,1,1)),1,0))</f>
        <v>0</v>
      </c>
      <c r="P70">
        <f>IF($N70=0,0,IF(AND($F70&lt;=EOMONTH(DATE(PlanYear,2,1),0),IF(ISNUMBER($G70),$G70,$F70)&gt;=DATE(PlanYear,2,1)),1,0))</f>
        <v>0</v>
      </c>
      <c r="Q70">
        <f>IF($N70=0,0,IF(AND($F70&lt;=EOMONTH(DATE(PlanYear,3,1),0),IF(ISNUMBER($G70),$G70,$F70)&gt;=DATE(PlanYear,3,1)),1,0))</f>
        <v>0</v>
      </c>
      <c r="R70">
        <f>IF($N70=0,0,IF(AND($F70&lt;=EOMONTH(DATE(PlanYear,4,1),0),IF(ISNUMBER($G70),$G70,$F70)&gt;=DATE(PlanYear,4,1)),1,0))</f>
        <v>0</v>
      </c>
      <c r="S70">
        <f>IF($N70=0,0,IF(AND($F70&lt;=EOMONTH(DATE(PlanYear,5,1),0),IF(ISNUMBER($G70),$G70,$F70)&gt;=DATE(PlanYear,5,1)),1,0))</f>
        <v>0</v>
      </c>
      <c r="T70">
        <f>IF($N70=0,0,IF(AND($F70&lt;=EOMONTH(DATE(PlanYear,6,1),0),IF(ISNUMBER($G70),$G70,$F70)&gt;=DATE(PlanYear,6,1)),1,0))</f>
        <v>0</v>
      </c>
      <c r="U70">
        <f>IF($N70=0,0,IF(AND($F70&lt;=EOMONTH(DATE(PlanYear,7,1),0),IF(ISNUMBER($G70),$G70,$F70)&gt;=DATE(PlanYear,7,1)),1,0))</f>
        <v>0</v>
      </c>
      <c r="V70">
        <f>IF($N70=0,0,IF(AND($F70&lt;=EOMONTH(DATE(PlanYear,8,1),0),IF(ISNUMBER($G70),$G70,$F70)&gt;=DATE(PlanYear,8,1)),1,0))</f>
        <v>0</v>
      </c>
      <c r="W70">
        <f>IF($N70=0,0,IF(AND($F70&lt;=EOMONTH(DATE(PlanYear,9,1),0),IF(ISNUMBER($G70),$G70,$F70)&gt;=DATE(PlanYear,9,1)),1,0))</f>
        <v>0</v>
      </c>
      <c r="X70">
        <f>IF($N70=0,0,IF(AND($F70&lt;=EOMONTH(DATE(PlanYear,10,1),0),IF(ISNUMBER($G70),$G70,$F70)&gt;=DATE(PlanYear,10,1)),1,0))</f>
        <v>0</v>
      </c>
      <c r="Y70">
        <f>IF($N70=0,0,IF(AND($F70&lt;=EOMONTH(DATE(PlanYear,11,1),0),IF(ISNUMBER($G70),$G70,$F70)&gt;=DATE(PlanYear,11,1)),1,0))</f>
        <v>0</v>
      </c>
      <c r="Z70">
        <f>IF($N70=0,0,IF(AND($F70&lt;=EOMONTH(DATE(PlanYear,12,1),0),IF(ISNUMBER($G70),$G70,$F70)&gt;=DATE(PlanYear,12,1)),1,0))</f>
        <v>0</v>
      </c>
      <c r="AA70">
        <f>SUM($O70:$Z70)</f>
        <v>0</v>
      </c>
    </row>
    <row r="71" spans="1:27">
      <c r="A71" s="42">
        <f>IF($B71="","","ACT-"&amp;TEXT(ROW()-4,"000"))</f>
        <v>0</v>
      </c>
      <c r="M71" s="43">
        <f>IF(COUNTA($B71:$K71)=0,"",IF($B71="","Missing activity name",IF($C71="","Missing practice",IF(COUNTIF(PracticeNames,$C71)=0,"Practice not in Lists",IF($D71="","Missing motion",IF(NOT(ISNUMBER($F71)),"Missing or invalid start date",IF(AND(ISNUMBER($G71),$G71&lt;$F71),"End date before start",IF(AND($N71=1,$AA71=0),"Outside planning year","OK"))))))))</f>
        <v>0</v>
      </c>
      <c r="N71">
        <f>IF(AND($B71&lt;&gt;"",$C71&lt;&gt;"",$D71&lt;&gt;"",ISNUMBER($F71),COUNTIF(PracticeNames,$C71)&gt;0,COUNTIF(MotionNames,$D71)&gt;0,NOT(AND(ISNUMBER($G71),$G71&lt;$F71))),IF(StatusFilter="All (excl. Cancelled)",IF($H71="Cancelled",0,1),IF(StatusFilter="All",1,IF($H71=StatusFilter,1,0))),0)</f>
        <v>0</v>
      </c>
      <c r="O71">
        <f>IF($N71=0,0,IF(AND($F71&lt;=EOMONTH(DATE(PlanYear,1,1),0),IF(ISNUMBER($G71),$G71,$F71)&gt;=DATE(PlanYear,1,1)),1,0))</f>
        <v>0</v>
      </c>
      <c r="P71">
        <f>IF($N71=0,0,IF(AND($F71&lt;=EOMONTH(DATE(PlanYear,2,1),0),IF(ISNUMBER($G71),$G71,$F71)&gt;=DATE(PlanYear,2,1)),1,0))</f>
        <v>0</v>
      </c>
      <c r="Q71">
        <f>IF($N71=0,0,IF(AND($F71&lt;=EOMONTH(DATE(PlanYear,3,1),0),IF(ISNUMBER($G71),$G71,$F71)&gt;=DATE(PlanYear,3,1)),1,0))</f>
        <v>0</v>
      </c>
      <c r="R71">
        <f>IF($N71=0,0,IF(AND($F71&lt;=EOMONTH(DATE(PlanYear,4,1),0),IF(ISNUMBER($G71),$G71,$F71)&gt;=DATE(PlanYear,4,1)),1,0))</f>
        <v>0</v>
      </c>
      <c r="S71">
        <f>IF($N71=0,0,IF(AND($F71&lt;=EOMONTH(DATE(PlanYear,5,1),0),IF(ISNUMBER($G71),$G71,$F71)&gt;=DATE(PlanYear,5,1)),1,0))</f>
        <v>0</v>
      </c>
      <c r="T71">
        <f>IF($N71=0,0,IF(AND($F71&lt;=EOMONTH(DATE(PlanYear,6,1),0),IF(ISNUMBER($G71),$G71,$F71)&gt;=DATE(PlanYear,6,1)),1,0))</f>
        <v>0</v>
      </c>
      <c r="U71">
        <f>IF($N71=0,0,IF(AND($F71&lt;=EOMONTH(DATE(PlanYear,7,1),0),IF(ISNUMBER($G71),$G71,$F71)&gt;=DATE(PlanYear,7,1)),1,0))</f>
        <v>0</v>
      </c>
      <c r="V71">
        <f>IF($N71=0,0,IF(AND($F71&lt;=EOMONTH(DATE(PlanYear,8,1),0),IF(ISNUMBER($G71),$G71,$F71)&gt;=DATE(PlanYear,8,1)),1,0))</f>
        <v>0</v>
      </c>
      <c r="W71">
        <f>IF($N71=0,0,IF(AND($F71&lt;=EOMONTH(DATE(PlanYear,9,1),0),IF(ISNUMBER($G71),$G71,$F71)&gt;=DATE(PlanYear,9,1)),1,0))</f>
        <v>0</v>
      </c>
      <c r="X71">
        <f>IF($N71=0,0,IF(AND($F71&lt;=EOMONTH(DATE(PlanYear,10,1),0),IF(ISNUMBER($G71),$G71,$F71)&gt;=DATE(PlanYear,10,1)),1,0))</f>
        <v>0</v>
      </c>
      <c r="Y71">
        <f>IF($N71=0,0,IF(AND($F71&lt;=EOMONTH(DATE(PlanYear,11,1),0),IF(ISNUMBER($G71),$G71,$F71)&gt;=DATE(PlanYear,11,1)),1,0))</f>
        <v>0</v>
      </c>
      <c r="Z71">
        <f>IF($N71=0,0,IF(AND($F71&lt;=EOMONTH(DATE(PlanYear,12,1),0),IF(ISNUMBER($G71),$G71,$F71)&gt;=DATE(PlanYear,12,1)),1,0))</f>
        <v>0</v>
      </c>
      <c r="AA71">
        <f>SUM($O71:$Z71)</f>
        <v>0</v>
      </c>
    </row>
    <row r="72" spans="1:27">
      <c r="A72" s="42">
        <f>IF($B72="","","ACT-"&amp;TEXT(ROW()-4,"000"))</f>
        <v>0</v>
      </c>
      <c r="M72" s="43">
        <f>IF(COUNTA($B72:$K72)=0,"",IF($B72="","Missing activity name",IF($C72="","Missing practice",IF(COUNTIF(PracticeNames,$C72)=0,"Practice not in Lists",IF($D72="","Missing motion",IF(NOT(ISNUMBER($F72)),"Missing or invalid start date",IF(AND(ISNUMBER($G72),$G72&lt;$F72),"End date before start",IF(AND($N72=1,$AA72=0),"Outside planning year","OK"))))))))</f>
        <v>0</v>
      </c>
      <c r="N72">
        <f>IF(AND($B72&lt;&gt;"",$C72&lt;&gt;"",$D72&lt;&gt;"",ISNUMBER($F72),COUNTIF(PracticeNames,$C72)&gt;0,COUNTIF(MotionNames,$D72)&gt;0,NOT(AND(ISNUMBER($G72),$G72&lt;$F72))),IF(StatusFilter="All (excl. Cancelled)",IF($H72="Cancelled",0,1),IF(StatusFilter="All",1,IF($H72=StatusFilter,1,0))),0)</f>
        <v>0</v>
      </c>
      <c r="O72">
        <f>IF($N72=0,0,IF(AND($F72&lt;=EOMONTH(DATE(PlanYear,1,1),0),IF(ISNUMBER($G72),$G72,$F72)&gt;=DATE(PlanYear,1,1)),1,0))</f>
        <v>0</v>
      </c>
      <c r="P72">
        <f>IF($N72=0,0,IF(AND($F72&lt;=EOMONTH(DATE(PlanYear,2,1),0),IF(ISNUMBER($G72),$G72,$F72)&gt;=DATE(PlanYear,2,1)),1,0))</f>
        <v>0</v>
      </c>
      <c r="Q72">
        <f>IF($N72=0,0,IF(AND($F72&lt;=EOMONTH(DATE(PlanYear,3,1),0),IF(ISNUMBER($G72),$G72,$F72)&gt;=DATE(PlanYear,3,1)),1,0))</f>
        <v>0</v>
      </c>
      <c r="R72">
        <f>IF($N72=0,0,IF(AND($F72&lt;=EOMONTH(DATE(PlanYear,4,1),0),IF(ISNUMBER($G72),$G72,$F72)&gt;=DATE(PlanYear,4,1)),1,0))</f>
        <v>0</v>
      </c>
      <c r="S72">
        <f>IF($N72=0,0,IF(AND($F72&lt;=EOMONTH(DATE(PlanYear,5,1),0),IF(ISNUMBER($G72),$G72,$F72)&gt;=DATE(PlanYear,5,1)),1,0))</f>
        <v>0</v>
      </c>
      <c r="T72">
        <f>IF($N72=0,0,IF(AND($F72&lt;=EOMONTH(DATE(PlanYear,6,1),0),IF(ISNUMBER($G72),$G72,$F72)&gt;=DATE(PlanYear,6,1)),1,0))</f>
        <v>0</v>
      </c>
      <c r="U72">
        <f>IF($N72=0,0,IF(AND($F72&lt;=EOMONTH(DATE(PlanYear,7,1),0),IF(ISNUMBER($G72),$G72,$F72)&gt;=DATE(PlanYear,7,1)),1,0))</f>
        <v>0</v>
      </c>
      <c r="V72">
        <f>IF($N72=0,0,IF(AND($F72&lt;=EOMONTH(DATE(PlanYear,8,1),0),IF(ISNUMBER($G72),$G72,$F72)&gt;=DATE(PlanYear,8,1)),1,0))</f>
        <v>0</v>
      </c>
      <c r="W72">
        <f>IF($N72=0,0,IF(AND($F72&lt;=EOMONTH(DATE(PlanYear,9,1),0),IF(ISNUMBER($G72),$G72,$F72)&gt;=DATE(PlanYear,9,1)),1,0))</f>
        <v>0</v>
      </c>
      <c r="X72">
        <f>IF($N72=0,0,IF(AND($F72&lt;=EOMONTH(DATE(PlanYear,10,1),0),IF(ISNUMBER($G72),$G72,$F72)&gt;=DATE(PlanYear,10,1)),1,0))</f>
        <v>0</v>
      </c>
      <c r="Y72">
        <f>IF($N72=0,0,IF(AND($F72&lt;=EOMONTH(DATE(PlanYear,11,1),0),IF(ISNUMBER($G72),$G72,$F72)&gt;=DATE(PlanYear,11,1)),1,0))</f>
        <v>0</v>
      </c>
      <c r="Z72">
        <f>IF($N72=0,0,IF(AND($F72&lt;=EOMONTH(DATE(PlanYear,12,1),0),IF(ISNUMBER($G72),$G72,$F72)&gt;=DATE(PlanYear,12,1)),1,0))</f>
        <v>0</v>
      </c>
      <c r="AA72">
        <f>SUM($O72:$Z72)</f>
        <v>0</v>
      </c>
    </row>
    <row r="73" spans="1:27">
      <c r="A73" s="42">
        <f>IF($B73="","","ACT-"&amp;TEXT(ROW()-4,"000"))</f>
        <v>0</v>
      </c>
      <c r="M73" s="43">
        <f>IF(COUNTA($B73:$K73)=0,"",IF($B73="","Missing activity name",IF($C73="","Missing practice",IF(COUNTIF(PracticeNames,$C73)=0,"Practice not in Lists",IF($D73="","Missing motion",IF(NOT(ISNUMBER($F73)),"Missing or invalid start date",IF(AND(ISNUMBER($G73),$G73&lt;$F73),"End date before start",IF(AND($N73=1,$AA73=0),"Outside planning year","OK"))))))))</f>
        <v>0</v>
      </c>
      <c r="N73">
        <f>IF(AND($B73&lt;&gt;"",$C73&lt;&gt;"",$D73&lt;&gt;"",ISNUMBER($F73),COUNTIF(PracticeNames,$C73)&gt;0,COUNTIF(MotionNames,$D73)&gt;0,NOT(AND(ISNUMBER($G73),$G73&lt;$F73))),IF(StatusFilter="All (excl. Cancelled)",IF($H73="Cancelled",0,1),IF(StatusFilter="All",1,IF($H73=StatusFilter,1,0))),0)</f>
        <v>0</v>
      </c>
      <c r="O73">
        <f>IF($N73=0,0,IF(AND($F73&lt;=EOMONTH(DATE(PlanYear,1,1),0),IF(ISNUMBER($G73),$G73,$F73)&gt;=DATE(PlanYear,1,1)),1,0))</f>
        <v>0</v>
      </c>
      <c r="P73">
        <f>IF($N73=0,0,IF(AND($F73&lt;=EOMONTH(DATE(PlanYear,2,1),0),IF(ISNUMBER($G73),$G73,$F73)&gt;=DATE(PlanYear,2,1)),1,0))</f>
        <v>0</v>
      </c>
      <c r="Q73">
        <f>IF($N73=0,0,IF(AND($F73&lt;=EOMONTH(DATE(PlanYear,3,1),0),IF(ISNUMBER($G73),$G73,$F73)&gt;=DATE(PlanYear,3,1)),1,0))</f>
        <v>0</v>
      </c>
      <c r="R73">
        <f>IF($N73=0,0,IF(AND($F73&lt;=EOMONTH(DATE(PlanYear,4,1),0),IF(ISNUMBER($G73),$G73,$F73)&gt;=DATE(PlanYear,4,1)),1,0))</f>
        <v>0</v>
      </c>
      <c r="S73">
        <f>IF($N73=0,0,IF(AND($F73&lt;=EOMONTH(DATE(PlanYear,5,1),0),IF(ISNUMBER($G73),$G73,$F73)&gt;=DATE(PlanYear,5,1)),1,0))</f>
        <v>0</v>
      </c>
      <c r="T73">
        <f>IF($N73=0,0,IF(AND($F73&lt;=EOMONTH(DATE(PlanYear,6,1),0),IF(ISNUMBER($G73),$G73,$F73)&gt;=DATE(PlanYear,6,1)),1,0))</f>
        <v>0</v>
      </c>
      <c r="U73">
        <f>IF($N73=0,0,IF(AND($F73&lt;=EOMONTH(DATE(PlanYear,7,1),0),IF(ISNUMBER($G73),$G73,$F73)&gt;=DATE(PlanYear,7,1)),1,0))</f>
        <v>0</v>
      </c>
      <c r="V73">
        <f>IF($N73=0,0,IF(AND($F73&lt;=EOMONTH(DATE(PlanYear,8,1),0),IF(ISNUMBER($G73),$G73,$F73)&gt;=DATE(PlanYear,8,1)),1,0))</f>
        <v>0</v>
      </c>
      <c r="W73">
        <f>IF($N73=0,0,IF(AND($F73&lt;=EOMONTH(DATE(PlanYear,9,1),0),IF(ISNUMBER($G73),$G73,$F73)&gt;=DATE(PlanYear,9,1)),1,0))</f>
        <v>0</v>
      </c>
      <c r="X73">
        <f>IF($N73=0,0,IF(AND($F73&lt;=EOMONTH(DATE(PlanYear,10,1),0),IF(ISNUMBER($G73),$G73,$F73)&gt;=DATE(PlanYear,10,1)),1,0))</f>
        <v>0</v>
      </c>
      <c r="Y73">
        <f>IF($N73=0,0,IF(AND($F73&lt;=EOMONTH(DATE(PlanYear,11,1),0),IF(ISNUMBER($G73),$G73,$F73)&gt;=DATE(PlanYear,11,1)),1,0))</f>
        <v>0</v>
      </c>
      <c r="Z73">
        <f>IF($N73=0,0,IF(AND($F73&lt;=EOMONTH(DATE(PlanYear,12,1),0),IF(ISNUMBER($G73),$G73,$F73)&gt;=DATE(PlanYear,12,1)),1,0))</f>
        <v>0</v>
      </c>
      <c r="AA73">
        <f>SUM($O73:$Z73)</f>
        <v>0</v>
      </c>
    </row>
    <row r="74" spans="1:27">
      <c r="A74" s="42">
        <f>IF($B74="","","ACT-"&amp;TEXT(ROW()-4,"000"))</f>
        <v>0</v>
      </c>
      <c r="M74" s="43">
        <f>IF(COUNTA($B74:$K74)=0,"",IF($B74="","Missing activity name",IF($C74="","Missing practice",IF(COUNTIF(PracticeNames,$C74)=0,"Practice not in Lists",IF($D74="","Missing motion",IF(NOT(ISNUMBER($F74)),"Missing or invalid start date",IF(AND(ISNUMBER($G74),$G74&lt;$F74),"End date before start",IF(AND($N74=1,$AA74=0),"Outside planning year","OK"))))))))</f>
        <v>0</v>
      </c>
      <c r="N74">
        <f>IF(AND($B74&lt;&gt;"",$C74&lt;&gt;"",$D74&lt;&gt;"",ISNUMBER($F74),COUNTIF(PracticeNames,$C74)&gt;0,COUNTIF(MotionNames,$D74)&gt;0,NOT(AND(ISNUMBER($G74),$G74&lt;$F74))),IF(StatusFilter="All (excl. Cancelled)",IF($H74="Cancelled",0,1),IF(StatusFilter="All",1,IF($H74=StatusFilter,1,0))),0)</f>
        <v>0</v>
      </c>
      <c r="O74">
        <f>IF($N74=0,0,IF(AND($F74&lt;=EOMONTH(DATE(PlanYear,1,1),0),IF(ISNUMBER($G74),$G74,$F74)&gt;=DATE(PlanYear,1,1)),1,0))</f>
        <v>0</v>
      </c>
      <c r="P74">
        <f>IF($N74=0,0,IF(AND($F74&lt;=EOMONTH(DATE(PlanYear,2,1),0),IF(ISNUMBER($G74),$G74,$F74)&gt;=DATE(PlanYear,2,1)),1,0))</f>
        <v>0</v>
      </c>
      <c r="Q74">
        <f>IF($N74=0,0,IF(AND($F74&lt;=EOMONTH(DATE(PlanYear,3,1),0),IF(ISNUMBER($G74),$G74,$F74)&gt;=DATE(PlanYear,3,1)),1,0))</f>
        <v>0</v>
      </c>
      <c r="R74">
        <f>IF($N74=0,0,IF(AND($F74&lt;=EOMONTH(DATE(PlanYear,4,1),0),IF(ISNUMBER($G74),$G74,$F74)&gt;=DATE(PlanYear,4,1)),1,0))</f>
        <v>0</v>
      </c>
      <c r="S74">
        <f>IF($N74=0,0,IF(AND($F74&lt;=EOMONTH(DATE(PlanYear,5,1),0),IF(ISNUMBER($G74),$G74,$F74)&gt;=DATE(PlanYear,5,1)),1,0))</f>
        <v>0</v>
      </c>
      <c r="T74">
        <f>IF($N74=0,0,IF(AND($F74&lt;=EOMONTH(DATE(PlanYear,6,1),0),IF(ISNUMBER($G74),$G74,$F74)&gt;=DATE(PlanYear,6,1)),1,0))</f>
        <v>0</v>
      </c>
      <c r="U74">
        <f>IF($N74=0,0,IF(AND($F74&lt;=EOMONTH(DATE(PlanYear,7,1),0),IF(ISNUMBER($G74),$G74,$F74)&gt;=DATE(PlanYear,7,1)),1,0))</f>
        <v>0</v>
      </c>
      <c r="V74">
        <f>IF($N74=0,0,IF(AND($F74&lt;=EOMONTH(DATE(PlanYear,8,1),0),IF(ISNUMBER($G74),$G74,$F74)&gt;=DATE(PlanYear,8,1)),1,0))</f>
        <v>0</v>
      </c>
      <c r="W74">
        <f>IF($N74=0,0,IF(AND($F74&lt;=EOMONTH(DATE(PlanYear,9,1),0),IF(ISNUMBER($G74),$G74,$F74)&gt;=DATE(PlanYear,9,1)),1,0))</f>
        <v>0</v>
      </c>
      <c r="X74">
        <f>IF($N74=0,0,IF(AND($F74&lt;=EOMONTH(DATE(PlanYear,10,1),0),IF(ISNUMBER($G74),$G74,$F74)&gt;=DATE(PlanYear,10,1)),1,0))</f>
        <v>0</v>
      </c>
      <c r="Y74">
        <f>IF($N74=0,0,IF(AND($F74&lt;=EOMONTH(DATE(PlanYear,11,1),0),IF(ISNUMBER($G74),$G74,$F74)&gt;=DATE(PlanYear,11,1)),1,0))</f>
        <v>0</v>
      </c>
      <c r="Z74">
        <f>IF($N74=0,0,IF(AND($F74&lt;=EOMONTH(DATE(PlanYear,12,1),0),IF(ISNUMBER($G74),$G74,$F74)&gt;=DATE(PlanYear,12,1)),1,0))</f>
        <v>0</v>
      </c>
      <c r="AA74">
        <f>SUM($O74:$Z74)</f>
        <v>0</v>
      </c>
    </row>
    <row r="75" spans="1:27">
      <c r="A75" s="42">
        <f>IF($B75="","","ACT-"&amp;TEXT(ROW()-4,"000"))</f>
        <v>0</v>
      </c>
      <c r="M75" s="43">
        <f>IF(COUNTA($B75:$K75)=0,"",IF($B75="","Missing activity name",IF($C75="","Missing practice",IF(COUNTIF(PracticeNames,$C75)=0,"Practice not in Lists",IF($D75="","Missing motion",IF(NOT(ISNUMBER($F75)),"Missing or invalid start date",IF(AND(ISNUMBER($G75),$G75&lt;$F75),"End date before start",IF(AND($N75=1,$AA75=0),"Outside planning year","OK"))))))))</f>
        <v>0</v>
      </c>
      <c r="N75">
        <f>IF(AND($B75&lt;&gt;"",$C75&lt;&gt;"",$D75&lt;&gt;"",ISNUMBER($F75),COUNTIF(PracticeNames,$C75)&gt;0,COUNTIF(MotionNames,$D75)&gt;0,NOT(AND(ISNUMBER($G75),$G75&lt;$F75))),IF(StatusFilter="All (excl. Cancelled)",IF($H75="Cancelled",0,1),IF(StatusFilter="All",1,IF($H75=StatusFilter,1,0))),0)</f>
        <v>0</v>
      </c>
      <c r="O75">
        <f>IF($N75=0,0,IF(AND($F75&lt;=EOMONTH(DATE(PlanYear,1,1),0),IF(ISNUMBER($G75),$G75,$F75)&gt;=DATE(PlanYear,1,1)),1,0))</f>
        <v>0</v>
      </c>
      <c r="P75">
        <f>IF($N75=0,0,IF(AND($F75&lt;=EOMONTH(DATE(PlanYear,2,1),0),IF(ISNUMBER($G75),$G75,$F75)&gt;=DATE(PlanYear,2,1)),1,0))</f>
        <v>0</v>
      </c>
      <c r="Q75">
        <f>IF($N75=0,0,IF(AND($F75&lt;=EOMONTH(DATE(PlanYear,3,1),0),IF(ISNUMBER($G75),$G75,$F75)&gt;=DATE(PlanYear,3,1)),1,0))</f>
        <v>0</v>
      </c>
      <c r="R75">
        <f>IF($N75=0,0,IF(AND($F75&lt;=EOMONTH(DATE(PlanYear,4,1),0),IF(ISNUMBER($G75),$G75,$F75)&gt;=DATE(PlanYear,4,1)),1,0))</f>
        <v>0</v>
      </c>
      <c r="S75">
        <f>IF($N75=0,0,IF(AND($F75&lt;=EOMONTH(DATE(PlanYear,5,1),0),IF(ISNUMBER($G75),$G75,$F75)&gt;=DATE(PlanYear,5,1)),1,0))</f>
        <v>0</v>
      </c>
      <c r="T75">
        <f>IF($N75=0,0,IF(AND($F75&lt;=EOMONTH(DATE(PlanYear,6,1),0),IF(ISNUMBER($G75),$G75,$F75)&gt;=DATE(PlanYear,6,1)),1,0))</f>
        <v>0</v>
      </c>
      <c r="U75">
        <f>IF($N75=0,0,IF(AND($F75&lt;=EOMONTH(DATE(PlanYear,7,1),0),IF(ISNUMBER($G75),$G75,$F75)&gt;=DATE(PlanYear,7,1)),1,0))</f>
        <v>0</v>
      </c>
      <c r="V75">
        <f>IF($N75=0,0,IF(AND($F75&lt;=EOMONTH(DATE(PlanYear,8,1),0),IF(ISNUMBER($G75),$G75,$F75)&gt;=DATE(PlanYear,8,1)),1,0))</f>
        <v>0</v>
      </c>
      <c r="W75">
        <f>IF($N75=0,0,IF(AND($F75&lt;=EOMONTH(DATE(PlanYear,9,1),0),IF(ISNUMBER($G75),$G75,$F75)&gt;=DATE(PlanYear,9,1)),1,0))</f>
        <v>0</v>
      </c>
      <c r="X75">
        <f>IF($N75=0,0,IF(AND($F75&lt;=EOMONTH(DATE(PlanYear,10,1),0),IF(ISNUMBER($G75),$G75,$F75)&gt;=DATE(PlanYear,10,1)),1,0))</f>
        <v>0</v>
      </c>
      <c r="Y75">
        <f>IF($N75=0,0,IF(AND($F75&lt;=EOMONTH(DATE(PlanYear,11,1),0),IF(ISNUMBER($G75),$G75,$F75)&gt;=DATE(PlanYear,11,1)),1,0))</f>
        <v>0</v>
      </c>
      <c r="Z75">
        <f>IF($N75=0,0,IF(AND($F75&lt;=EOMONTH(DATE(PlanYear,12,1),0),IF(ISNUMBER($G75),$G75,$F75)&gt;=DATE(PlanYear,12,1)),1,0))</f>
        <v>0</v>
      </c>
      <c r="AA75">
        <f>SUM($O75:$Z75)</f>
        <v>0</v>
      </c>
    </row>
    <row r="76" spans="1:27">
      <c r="A76" s="42">
        <f>IF($B76="","","ACT-"&amp;TEXT(ROW()-4,"000"))</f>
        <v>0</v>
      </c>
      <c r="M76" s="43">
        <f>IF(COUNTA($B76:$K76)=0,"",IF($B76="","Missing activity name",IF($C76="","Missing practice",IF(COUNTIF(PracticeNames,$C76)=0,"Practice not in Lists",IF($D76="","Missing motion",IF(NOT(ISNUMBER($F76)),"Missing or invalid start date",IF(AND(ISNUMBER($G76),$G76&lt;$F76),"End date before start",IF(AND($N76=1,$AA76=0),"Outside planning year","OK"))))))))</f>
        <v>0</v>
      </c>
      <c r="N76">
        <f>IF(AND($B76&lt;&gt;"",$C76&lt;&gt;"",$D76&lt;&gt;"",ISNUMBER($F76),COUNTIF(PracticeNames,$C76)&gt;0,COUNTIF(MotionNames,$D76)&gt;0,NOT(AND(ISNUMBER($G76),$G76&lt;$F76))),IF(StatusFilter="All (excl. Cancelled)",IF($H76="Cancelled",0,1),IF(StatusFilter="All",1,IF($H76=StatusFilter,1,0))),0)</f>
        <v>0</v>
      </c>
      <c r="O76">
        <f>IF($N76=0,0,IF(AND($F76&lt;=EOMONTH(DATE(PlanYear,1,1),0),IF(ISNUMBER($G76),$G76,$F76)&gt;=DATE(PlanYear,1,1)),1,0))</f>
        <v>0</v>
      </c>
      <c r="P76">
        <f>IF($N76=0,0,IF(AND($F76&lt;=EOMONTH(DATE(PlanYear,2,1),0),IF(ISNUMBER($G76),$G76,$F76)&gt;=DATE(PlanYear,2,1)),1,0))</f>
        <v>0</v>
      </c>
      <c r="Q76">
        <f>IF($N76=0,0,IF(AND($F76&lt;=EOMONTH(DATE(PlanYear,3,1),0),IF(ISNUMBER($G76),$G76,$F76)&gt;=DATE(PlanYear,3,1)),1,0))</f>
        <v>0</v>
      </c>
      <c r="R76">
        <f>IF($N76=0,0,IF(AND($F76&lt;=EOMONTH(DATE(PlanYear,4,1),0),IF(ISNUMBER($G76),$G76,$F76)&gt;=DATE(PlanYear,4,1)),1,0))</f>
        <v>0</v>
      </c>
      <c r="S76">
        <f>IF($N76=0,0,IF(AND($F76&lt;=EOMONTH(DATE(PlanYear,5,1),0),IF(ISNUMBER($G76),$G76,$F76)&gt;=DATE(PlanYear,5,1)),1,0))</f>
        <v>0</v>
      </c>
      <c r="T76">
        <f>IF($N76=0,0,IF(AND($F76&lt;=EOMONTH(DATE(PlanYear,6,1),0),IF(ISNUMBER($G76),$G76,$F76)&gt;=DATE(PlanYear,6,1)),1,0))</f>
        <v>0</v>
      </c>
      <c r="U76">
        <f>IF($N76=0,0,IF(AND($F76&lt;=EOMONTH(DATE(PlanYear,7,1),0),IF(ISNUMBER($G76),$G76,$F76)&gt;=DATE(PlanYear,7,1)),1,0))</f>
        <v>0</v>
      </c>
      <c r="V76">
        <f>IF($N76=0,0,IF(AND($F76&lt;=EOMONTH(DATE(PlanYear,8,1),0),IF(ISNUMBER($G76),$G76,$F76)&gt;=DATE(PlanYear,8,1)),1,0))</f>
        <v>0</v>
      </c>
      <c r="W76">
        <f>IF($N76=0,0,IF(AND($F76&lt;=EOMONTH(DATE(PlanYear,9,1),0),IF(ISNUMBER($G76),$G76,$F76)&gt;=DATE(PlanYear,9,1)),1,0))</f>
        <v>0</v>
      </c>
      <c r="X76">
        <f>IF($N76=0,0,IF(AND($F76&lt;=EOMONTH(DATE(PlanYear,10,1),0),IF(ISNUMBER($G76),$G76,$F76)&gt;=DATE(PlanYear,10,1)),1,0))</f>
        <v>0</v>
      </c>
      <c r="Y76">
        <f>IF($N76=0,0,IF(AND($F76&lt;=EOMONTH(DATE(PlanYear,11,1),0),IF(ISNUMBER($G76),$G76,$F76)&gt;=DATE(PlanYear,11,1)),1,0))</f>
        <v>0</v>
      </c>
      <c r="Z76">
        <f>IF($N76=0,0,IF(AND($F76&lt;=EOMONTH(DATE(PlanYear,12,1),0),IF(ISNUMBER($G76),$G76,$F76)&gt;=DATE(PlanYear,12,1)),1,0))</f>
        <v>0</v>
      </c>
      <c r="AA76">
        <f>SUM($O76:$Z76)</f>
        <v>0</v>
      </c>
    </row>
    <row r="77" spans="1:27">
      <c r="A77" s="42">
        <f>IF($B77="","","ACT-"&amp;TEXT(ROW()-4,"000"))</f>
        <v>0</v>
      </c>
      <c r="M77" s="43">
        <f>IF(COUNTA($B77:$K77)=0,"",IF($B77="","Missing activity name",IF($C77="","Missing practice",IF(COUNTIF(PracticeNames,$C77)=0,"Practice not in Lists",IF($D77="","Missing motion",IF(NOT(ISNUMBER($F77)),"Missing or invalid start date",IF(AND(ISNUMBER($G77),$G77&lt;$F77),"End date before start",IF(AND($N77=1,$AA77=0),"Outside planning year","OK"))))))))</f>
        <v>0</v>
      </c>
      <c r="N77">
        <f>IF(AND($B77&lt;&gt;"",$C77&lt;&gt;"",$D77&lt;&gt;"",ISNUMBER($F77),COUNTIF(PracticeNames,$C77)&gt;0,COUNTIF(MotionNames,$D77)&gt;0,NOT(AND(ISNUMBER($G77),$G77&lt;$F77))),IF(StatusFilter="All (excl. Cancelled)",IF($H77="Cancelled",0,1),IF(StatusFilter="All",1,IF($H77=StatusFilter,1,0))),0)</f>
        <v>0</v>
      </c>
      <c r="O77">
        <f>IF($N77=0,0,IF(AND($F77&lt;=EOMONTH(DATE(PlanYear,1,1),0),IF(ISNUMBER($G77),$G77,$F77)&gt;=DATE(PlanYear,1,1)),1,0))</f>
        <v>0</v>
      </c>
      <c r="P77">
        <f>IF($N77=0,0,IF(AND($F77&lt;=EOMONTH(DATE(PlanYear,2,1),0),IF(ISNUMBER($G77),$G77,$F77)&gt;=DATE(PlanYear,2,1)),1,0))</f>
        <v>0</v>
      </c>
      <c r="Q77">
        <f>IF($N77=0,0,IF(AND($F77&lt;=EOMONTH(DATE(PlanYear,3,1),0),IF(ISNUMBER($G77),$G77,$F77)&gt;=DATE(PlanYear,3,1)),1,0))</f>
        <v>0</v>
      </c>
      <c r="R77">
        <f>IF($N77=0,0,IF(AND($F77&lt;=EOMONTH(DATE(PlanYear,4,1),0),IF(ISNUMBER($G77),$G77,$F77)&gt;=DATE(PlanYear,4,1)),1,0))</f>
        <v>0</v>
      </c>
      <c r="S77">
        <f>IF($N77=0,0,IF(AND($F77&lt;=EOMONTH(DATE(PlanYear,5,1),0),IF(ISNUMBER($G77),$G77,$F77)&gt;=DATE(PlanYear,5,1)),1,0))</f>
        <v>0</v>
      </c>
      <c r="T77">
        <f>IF($N77=0,0,IF(AND($F77&lt;=EOMONTH(DATE(PlanYear,6,1),0),IF(ISNUMBER($G77),$G77,$F77)&gt;=DATE(PlanYear,6,1)),1,0))</f>
        <v>0</v>
      </c>
      <c r="U77">
        <f>IF($N77=0,0,IF(AND($F77&lt;=EOMONTH(DATE(PlanYear,7,1),0),IF(ISNUMBER($G77),$G77,$F77)&gt;=DATE(PlanYear,7,1)),1,0))</f>
        <v>0</v>
      </c>
      <c r="V77">
        <f>IF($N77=0,0,IF(AND($F77&lt;=EOMONTH(DATE(PlanYear,8,1),0),IF(ISNUMBER($G77),$G77,$F77)&gt;=DATE(PlanYear,8,1)),1,0))</f>
        <v>0</v>
      </c>
      <c r="W77">
        <f>IF($N77=0,0,IF(AND($F77&lt;=EOMONTH(DATE(PlanYear,9,1),0),IF(ISNUMBER($G77),$G77,$F77)&gt;=DATE(PlanYear,9,1)),1,0))</f>
        <v>0</v>
      </c>
      <c r="X77">
        <f>IF($N77=0,0,IF(AND($F77&lt;=EOMONTH(DATE(PlanYear,10,1),0),IF(ISNUMBER($G77),$G77,$F77)&gt;=DATE(PlanYear,10,1)),1,0))</f>
        <v>0</v>
      </c>
      <c r="Y77">
        <f>IF($N77=0,0,IF(AND($F77&lt;=EOMONTH(DATE(PlanYear,11,1),0),IF(ISNUMBER($G77),$G77,$F77)&gt;=DATE(PlanYear,11,1)),1,0))</f>
        <v>0</v>
      </c>
      <c r="Z77">
        <f>IF($N77=0,0,IF(AND($F77&lt;=EOMONTH(DATE(PlanYear,12,1),0),IF(ISNUMBER($G77),$G77,$F77)&gt;=DATE(PlanYear,12,1)),1,0))</f>
        <v>0</v>
      </c>
      <c r="AA77">
        <f>SUM($O77:$Z77)</f>
        <v>0</v>
      </c>
    </row>
    <row r="78" spans="1:27">
      <c r="A78" s="42">
        <f>IF($B78="","","ACT-"&amp;TEXT(ROW()-4,"000"))</f>
        <v>0</v>
      </c>
      <c r="M78" s="43">
        <f>IF(COUNTA($B78:$K78)=0,"",IF($B78="","Missing activity name",IF($C78="","Missing practice",IF(COUNTIF(PracticeNames,$C78)=0,"Practice not in Lists",IF($D78="","Missing motion",IF(NOT(ISNUMBER($F78)),"Missing or invalid start date",IF(AND(ISNUMBER($G78),$G78&lt;$F78),"End date before start",IF(AND($N78=1,$AA78=0),"Outside planning year","OK"))))))))</f>
        <v>0</v>
      </c>
      <c r="N78">
        <f>IF(AND($B78&lt;&gt;"",$C78&lt;&gt;"",$D78&lt;&gt;"",ISNUMBER($F78),COUNTIF(PracticeNames,$C78)&gt;0,COUNTIF(MotionNames,$D78)&gt;0,NOT(AND(ISNUMBER($G78),$G78&lt;$F78))),IF(StatusFilter="All (excl. Cancelled)",IF($H78="Cancelled",0,1),IF(StatusFilter="All",1,IF($H78=StatusFilter,1,0))),0)</f>
        <v>0</v>
      </c>
      <c r="O78">
        <f>IF($N78=0,0,IF(AND($F78&lt;=EOMONTH(DATE(PlanYear,1,1),0),IF(ISNUMBER($G78),$G78,$F78)&gt;=DATE(PlanYear,1,1)),1,0))</f>
        <v>0</v>
      </c>
      <c r="P78">
        <f>IF($N78=0,0,IF(AND($F78&lt;=EOMONTH(DATE(PlanYear,2,1),0),IF(ISNUMBER($G78),$G78,$F78)&gt;=DATE(PlanYear,2,1)),1,0))</f>
        <v>0</v>
      </c>
      <c r="Q78">
        <f>IF($N78=0,0,IF(AND($F78&lt;=EOMONTH(DATE(PlanYear,3,1),0),IF(ISNUMBER($G78),$G78,$F78)&gt;=DATE(PlanYear,3,1)),1,0))</f>
        <v>0</v>
      </c>
      <c r="R78">
        <f>IF($N78=0,0,IF(AND($F78&lt;=EOMONTH(DATE(PlanYear,4,1),0),IF(ISNUMBER($G78),$G78,$F78)&gt;=DATE(PlanYear,4,1)),1,0))</f>
        <v>0</v>
      </c>
      <c r="S78">
        <f>IF($N78=0,0,IF(AND($F78&lt;=EOMONTH(DATE(PlanYear,5,1),0),IF(ISNUMBER($G78),$G78,$F78)&gt;=DATE(PlanYear,5,1)),1,0))</f>
        <v>0</v>
      </c>
      <c r="T78">
        <f>IF($N78=0,0,IF(AND($F78&lt;=EOMONTH(DATE(PlanYear,6,1),0),IF(ISNUMBER($G78),$G78,$F78)&gt;=DATE(PlanYear,6,1)),1,0))</f>
        <v>0</v>
      </c>
      <c r="U78">
        <f>IF($N78=0,0,IF(AND($F78&lt;=EOMONTH(DATE(PlanYear,7,1),0),IF(ISNUMBER($G78),$G78,$F78)&gt;=DATE(PlanYear,7,1)),1,0))</f>
        <v>0</v>
      </c>
      <c r="V78">
        <f>IF($N78=0,0,IF(AND($F78&lt;=EOMONTH(DATE(PlanYear,8,1),0),IF(ISNUMBER($G78),$G78,$F78)&gt;=DATE(PlanYear,8,1)),1,0))</f>
        <v>0</v>
      </c>
      <c r="W78">
        <f>IF($N78=0,0,IF(AND($F78&lt;=EOMONTH(DATE(PlanYear,9,1),0),IF(ISNUMBER($G78),$G78,$F78)&gt;=DATE(PlanYear,9,1)),1,0))</f>
        <v>0</v>
      </c>
      <c r="X78">
        <f>IF($N78=0,0,IF(AND($F78&lt;=EOMONTH(DATE(PlanYear,10,1),0),IF(ISNUMBER($G78),$G78,$F78)&gt;=DATE(PlanYear,10,1)),1,0))</f>
        <v>0</v>
      </c>
      <c r="Y78">
        <f>IF($N78=0,0,IF(AND($F78&lt;=EOMONTH(DATE(PlanYear,11,1),0),IF(ISNUMBER($G78),$G78,$F78)&gt;=DATE(PlanYear,11,1)),1,0))</f>
        <v>0</v>
      </c>
      <c r="Z78">
        <f>IF($N78=0,0,IF(AND($F78&lt;=EOMONTH(DATE(PlanYear,12,1),0),IF(ISNUMBER($G78),$G78,$F78)&gt;=DATE(PlanYear,12,1)),1,0))</f>
        <v>0</v>
      </c>
      <c r="AA78">
        <f>SUM($O78:$Z78)</f>
        <v>0</v>
      </c>
    </row>
    <row r="79" spans="1:27">
      <c r="A79" s="42">
        <f>IF($B79="","","ACT-"&amp;TEXT(ROW()-4,"000"))</f>
        <v>0</v>
      </c>
      <c r="M79" s="43">
        <f>IF(COUNTA($B79:$K79)=0,"",IF($B79="","Missing activity name",IF($C79="","Missing practice",IF(COUNTIF(PracticeNames,$C79)=0,"Practice not in Lists",IF($D79="","Missing motion",IF(NOT(ISNUMBER($F79)),"Missing or invalid start date",IF(AND(ISNUMBER($G79),$G79&lt;$F79),"End date before start",IF(AND($N79=1,$AA79=0),"Outside planning year","OK"))))))))</f>
        <v>0</v>
      </c>
      <c r="N79">
        <f>IF(AND($B79&lt;&gt;"",$C79&lt;&gt;"",$D79&lt;&gt;"",ISNUMBER($F79),COUNTIF(PracticeNames,$C79)&gt;0,COUNTIF(MotionNames,$D79)&gt;0,NOT(AND(ISNUMBER($G79),$G79&lt;$F79))),IF(StatusFilter="All (excl. Cancelled)",IF($H79="Cancelled",0,1),IF(StatusFilter="All",1,IF($H79=StatusFilter,1,0))),0)</f>
        <v>0</v>
      </c>
      <c r="O79">
        <f>IF($N79=0,0,IF(AND($F79&lt;=EOMONTH(DATE(PlanYear,1,1),0),IF(ISNUMBER($G79),$G79,$F79)&gt;=DATE(PlanYear,1,1)),1,0))</f>
        <v>0</v>
      </c>
      <c r="P79">
        <f>IF($N79=0,0,IF(AND($F79&lt;=EOMONTH(DATE(PlanYear,2,1),0),IF(ISNUMBER($G79),$G79,$F79)&gt;=DATE(PlanYear,2,1)),1,0))</f>
        <v>0</v>
      </c>
      <c r="Q79">
        <f>IF($N79=0,0,IF(AND($F79&lt;=EOMONTH(DATE(PlanYear,3,1),0),IF(ISNUMBER($G79),$G79,$F79)&gt;=DATE(PlanYear,3,1)),1,0))</f>
        <v>0</v>
      </c>
      <c r="R79">
        <f>IF($N79=0,0,IF(AND($F79&lt;=EOMONTH(DATE(PlanYear,4,1),0),IF(ISNUMBER($G79),$G79,$F79)&gt;=DATE(PlanYear,4,1)),1,0))</f>
        <v>0</v>
      </c>
      <c r="S79">
        <f>IF($N79=0,0,IF(AND($F79&lt;=EOMONTH(DATE(PlanYear,5,1),0),IF(ISNUMBER($G79),$G79,$F79)&gt;=DATE(PlanYear,5,1)),1,0))</f>
        <v>0</v>
      </c>
      <c r="T79">
        <f>IF($N79=0,0,IF(AND($F79&lt;=EOMONTH(DATE(PlanYear,6,1),0),IF(ISNUMBER($G79),$G79,$F79)&gt;=DATE(PlanYear,6,1)),1,0))</f>
        <v>0</v>
      </c>
      <c r="U79">
        <f>IF($N79=0,0,IF(AND($F79&lt;=EOMONTH(DATE(PlanYear,7,1),0),IF(ISNUMBER($G79),$G79,$F79)&gt;=DATE(PlanYear,7,1)),1,0))</f>
        <v>0</v>
      </c>
      <c r="V79">
        <f>IF($N79=0,0,IF(AND($F79&lt;=EOMONTH(DATE(PlanYear,8,1),0),IF(ISNUMBER($G79),$G79,$F79)&gt;=DATE(PlanYear,8,1)),1,0))</f>
        <v>0</v>
      </c>
      <c r="W79">
        <f>IF($N79=0,0,IF(AND($F79&lt;=EOMONTH(DATE(PlanYear,9,1),0),IF(ISNUMBER($G79),$G79,$F79)&gt;=DATE(PlanYear,9,1)),1,0))</f>
        <v>0</v>
      </c>
      <c r="X79">
        <f>IF($N79=0,0,IF(AND($F79&lt;=EOMONTH(DATE(PlanYear,10,1),0),IF(ISNUMBER($G79),$G79,$F79)&gt;=DATE(PlanYear,10,1)),1,0))</f>
        <v>0</v>
      </c>
      <c r="Y79">
        <f>IF($N79=0,0,IF(AND($F79&lt;=EOMONTH(DATE(PlanYear,11,1),0),IF(ISNUMBER($G79),$G79,$F79)&gt;=DATE(PlanYear,11,1)),1,0))</f>
        <v>0</v>
      </c>
      <c r="Z79">
        <f>IF($N79=0,0,IF(AND($F79&lt;=EOMONTH(DATE(PlanYear,12,1),0),IF(ISNUMBER($G79),$G79,$F79)&gt;=DATE(PlanYear,12,1)),1,0))</f>
        <v>0</v>
      </c>
      <c r="AA79">
        <f>SUM($O79:$Z79)</f>
        <v>0</v>
      </c>
    </row>
    <row r="80" spans="1:27">
      <c r="A80" s="42">
        <f>IF($B80="","","ACT-"&amp;TEXT(ROW()-4,"000"))</f>
        <v>0</v>
      </c>
      <c r="M80" s="43">
        <f>IF(COUNTA($B80:$K80)=0,"",IF($B80="","Missing activity name",IF($C80="","Missing practice",IF(COUNTIF(PracticeNames,$C80)=0,"Practice not in Lists",IF($D80="","Missing motion",IF(NOT(ISNUMBER($F80)),"Missing or invalid start date",IF(AND(ISNUMBER($G80),$G80&lt;$F80),"End date before start",IF(AND($N80=1,$AA80=0),"Outside planning year","OK"))))))))</f>
        <v>0</v>
      </c>
      <c r="N80">
        <f>IF(AND($B80&lt;&gt;"",$C80&lt;&gt;"",$D80&lt;&gt;"",ISNUMBER($F80),COUNTIF(PracticeNames,$C80)&gt;0,COUNTIF(MotionNames,$D80)&gt;0,NOT(AND(ISNUMBER($G80),$G80&lt;$F80))),IF(StatusFilter="All (excl. Cancelled)",IF($H80="Cancelled",0,1),IF(StatusFilter="All",1,IF($H80=StatusFilter,1,0))),0)</f>
        <v>0</v>
      </c>
      <c r="O80">
        <f>IF($N80=0,0,IF(AND($F80&lt;=EOMONTH(DATE(PlanYear,1,1),0),IF(ISNUMBER($G80),$G80,$F80)&gt;=DATE(PlanYear,1,1)),1,0))</f>
        <v>0</v>
      </c>
      <c r="P80">
        <f>IF($N80=0,0,IF(AND($F80&lt;=EOMONTH(DATE(PlanYear,2,1),0),IF(ISNUMBER($G80),$G80,$F80)&gt;=DATE(PlanYear,2,1)),1,0))</f>
        <v>0</v>
      </c>
      <c r="Q80">
        <f>IF($N80=0,0,IF(AND($F80&lt;=EOMONTH(DATE(PlanYear,3,1),0),IF(ISNUMBER($G80),$G80,$F80)&gt;=DATE(PlanYear,3,1)),1,0))</f>
        <v>0</v>
      </c>
      <c r="R80">
        <f>IF($N80=0,0,IF(AND($F80&lt;=EOMONTH(DATE(PlanYear,4,1),0),IF(ISNUMBER($G80),$G80,$F80)&gt;=DATE(PlanYear,4,1)),1,0))</f>
        <v>0</v>
      </c>
      <c r="S80">
        <f>IF($N80=0,0,IF(AND($F80&lt;=EOMONTH(DATE(PlanYear,5,1),0),IF(ISNUMBER($G80),$G80,$F80)&gt;=DATE(PlanYear,5,1)),1,0))</f>
        <v>0</v>
      </c>
      <c r="T80">
        <f>IF($N80=0,0,IF(AND($F80&lt;=EOMONTH(DATE(PlanYear,6,1),0),IF(ISNUMBER($G80),$G80,$F80)&gt;=DATE(PlanYear,6,1)),1,0))</f>
        <v>0</v>
      </c>
      <c r="U80">
        <f>IF($N80=0,0,IF(AND($F80&lt;=EOMONTH(DATE(PlanYear,7,1),0),IF(ISNUMBER($G80),$G80,$F80)&gt;=DATE(PlanYear,7,1)),1,0))</f>
        <v>0</v>
      </c>
      <c r="V80">
        <f>IF($N80=0,0,IF(AND($F80&lt;=EOMONTH(DATE(PlanYear,8,1),0),IF(ISNUMBER($G80),$G80,$F80)&gt;=DATE(PlanYear,8,1)),1,0))</f>
        <v>0</v>
      </c>
      <c r="W80">
        <f>IF($N80=0,0,IF(AND($F80&lt;=EOMONTH(DATE(PlanYear,9,1),0),IF(ISNUMBER($G80),$G80,$F80)&gt;=DATE(PlanYear,9,1)),1,0))</f>
        <v>0</v>
      </c>
      <c r="X80">
        <f>IF($N80=0,0,IF(AND($F80&lt;=EOMONTH(DATE(PlanYear,10,1),0),IF(ISNUMBER($G80),$G80,$F80)&gt;=DATE(PlanYear,10,1)),1,0))</f>
        <v>0</v>
      </c>
      <c r="Y80">
        <f>IF($N80=0,0,IF(AND($F80&lt;=EOMONTH(DATE(PlanYear,11,1),0),IF(ISNUMBER($G80),$G80,$F80)&gt;=DATE(PlanYear,11,1)),1,0))</f>
        <v>0</v>
      </c>
      <c r="Z80">
        <f>IF($N80=0,0,IF(AND($F80&lt;=EOMONTH(DATE(PlanYear,12,1),0),IF(ISNUMBER($G80),$G80,$F80)&gt;=DATE(PlanYear,12,1)),1,0))</f>
        <v>0</v>
      </c>
      <c r="AA80">
        <f>SUM($O80:$Z80)</f>
        <v>0</v>
      </c>
    </row>
    <row r="81" spans="1:27">
      <c r="A81" s="42">
        <f>IF($B81="","","ACT-"&amp;TEXT(ROW()-4,"000"))</f>
        <v>0</v>
      </c>
      <c r="M81" s="43">
        <f>IF(COUNTA($B81:$K81)=0,"",IF($B81="","Missing activity name",IF($C81="","Missing practice",IF(COUNTIF(PracticeNames,$C81)=0,"Practice not in Lists",IF($D81="","Missing motion",IF(NOT(ISNUMBER($F81)),"Missing or invalid start date",IF(AND(ISNUMBER($G81),$G81&lt;$F81),"End date before start",IF(AND($N81=1,$AA81=0),"Outside planning year","OK"))))))))</f>
        <v>0</v>
      </c>
      <c r="N81">
        <f>IF(AND($B81&lt;&gt;"",$C81&lt;&gt;"",$D81&lt;&gt;"",ISNUMBER($F81),COUNTIF(PracticeNames,$C81)&gt;0,COUNTIF(MotionNames,$D81)&gt;0,NOT(AND(ISNUMBER($G81),$G81&lt;$F81))),IF(StatusFilter="All (excl. Cancelled)",IF($H81="Cancelled",0,1),IF(StatusFilter="All",1,IF($H81=StatusFilter,1,0))),0)</f>
        <v>0</v>
      </c>
      <c r="O81">
        <f>IF($N81=0,0,IF(AND($F81&lt;=EOMONTH(DATE(PlanYear,1,1),0),IF(ISNUMBER($G81),$G81,$F81)&gt;=DATE(PlanYear,1,1)),1,0))</f>
        <v>0</v>
      </c>
      <c r="P81">
        <f>IF($N81=0,0,IF(AND($F81&lt;=EOMONTH(DATE(PlanYear,2,1),0),IF(ISNUMBER($G81),$G81,$F81)&gt;=DATE(PlanYear,2,1)),1,0))</f>
        <v>0</v>
      </c>
      <c r="Q81">
        <f>IF($N81=0,0,IF(AND($F81&lt;=EOMONTH(DATE(PlanYear,3,1),0),IF(ISNUMBER($G81),$G81,$F81)&gt;=DATE(PlanYear,3,1)),1,0))</f>
        <v>0</v>
      </c>
      <c r="R81">
        <f>IF($N81=0,0,IF(AND($F81&lt;=EOMONTH(DATE(PlanYear,4,1),0),IF(ISNUMBER($G81),$G81,$F81)&gt;=DATE(PlanYear,4,1)),1,0))</f>
        <v>0</v>
      </c>
      <c r="S81">
        <f>IF($N81=0,0,IF(AND($F81&lt;=EOMONTH(DATE(PlanYear,5,1),0),IF(ISNUMBER($G81),$G81,$F81)&gt;=DATE(PlanYear,5,1)),1,0))</f>
        <v>0</v>
      </c>
      <c r="T81">
        <f>IF($N81=0,0,IF(AND($F81&lt;=EOMONTH(DATE(PlanYear,6,1),0),IF(ISNUMBER($G81),$G81,$F81)&gt;=DATE(PlanYear,6,1)),1,0))</f>
        <v>0</v>
      </c>
      <c r="U81">
        <f>IF($N81=0,0,IF(AND($F81&lt;=EOMONTH(DATE(PlanYear,7,1),0),IF(ISNUMBER($G81),$G81,$F81)&gt;=DATE(PlanYear,7,1)),1,0))</f>
        <v>0</v>
      </c>
      <c r="V81">
        <f>IF($N81=0,0,IF(AND($F81&lt;=EOMONTH(DATE(PlanYear,8,1),0),IF(ISNUMBER($G81),$G81,$F81)&gt;=DATE(PlanYear,8,1)),1,0))</f>
        <v>0</v>
      </c>
      <c r="W81">
        <f>IF($N81=0,0,IF(AND($F81&lt;=EOMONTH(DATE(PlanYear,9,1),0),IF(ISNUMBER($G81),$G81,$F81)&gt;=DATE(PlanYear,9,1)),1,0))</f>
        <v>0</v>
      </c>
      <c r="X81">
        <f>IF($N81=0,0,IF(AND($F81&lt;=EOMONTH(DATE(PlanYear,10,1),0),IF(ISNUMBER($G81),$G81,$F81)&gt;=DATE(PlanYear,10,1)),1,0))</f>
        <v>0</v>
      </c>
      <c r="Y81">
        <f>IF($N81=0,0,IF(AND($F81&lt;=EOMONTH(DATE(PlanYear,11,1),0),IF(ISNUMBER($G81),$G81,$F81)&gt;=DATE(PlanYear,11,1)),1,0))</f>
        <v>0</v>
      </c>
      <c r="Z81">
        <f>IF($N81=0,0,IF(AND($F81&lt;=EOMONTH(DATE(PlanYear,12,1),0),IF(ISNUMBER($G81),$G81,$F81)&gt;=DATE(PlanYear,12,1)),1,0))</f>
        <v>0</v>
      </c>
      <c r="AA81">
        <f>SUM($O81:$Z81)</f>
        <v>0</v>
      </c>
    </row>
    <row r="82" spans="1:27">
      <c r="A82" s="42">
        <f>IF($B82="","","ACT-"&amp;TEXT(ROW()-4,"000"))</f>
        <v>0</v>
      </c>
      <c r="M82" s="43">
        <f>IF(COUNTA($B82:$K82)=0,"",IF($B82="","Missing activity name",IF($C82="","Missing practice",IF(COUNTIF(PracticeNames,$C82)=0,"Practice not in Lists",IF($D82="","Missing motion",IF(NOT(ISNUMBER($F82)),"Missing or invalid start date",IF(AND(ISNUMBER($G82),$G82&lt;$F82),"End date before start",IF(AND($N82=1,$AA82=0),"Outside planning year","OK"))))))))</f>
        <v>0</v>
      </c>
      <c r="N82">
        <f>IF(AND($B82&lt;&gt;"",$C82&lt;&gt;"",$D82&lt;&gt;"",ISNUMBER($F82),COUNTIF(PracticeNames,$C82)&gt;0,COUNTIF(MotionNames,$D82)&gt;0,NOT(AND(ISNUMBER($G82),$G82&lt;$F82))),IF(StatusFilter="All (excl. Cancelled)",IF($H82="Cancelled",0,1),IF(StatusFilter="All",1,IF($H82=StatusFilter,1,0))),0)</f>
        <v>0</v>
      </c>
      <c r="O82">
        <f>IF($N82=0,0,IF(AND($F82&lt;=EOMONTH(DATE(PlanYear,1,1),0),IF(ISNUMBER($G82),$G82,$F82)&gt;=DATE(PlanYear,1,1)),1,0))</f>
        <v>0</v>
      </c>
      <c r="P82">
        <f>IF($N82=0,0,IF(AND($F82&lt;=EOMONTH(DATE(PlanYear,2,1),0),IF(ISNUMBER($G82),$G82,$F82)&gt;=DATE(PlanYear,2,1)),1,0))</f>
        <v>0</v>
      </c>
      <c r="Q82">
        <f>IF($N82=0,0,IF(AND($F82&lt;=EOMONTH(DATE(PlanYear,3,1),0),IF(ISNUMBER($G82),$G82,$F82)&gt;=DATE(PlanYear,3,1)),1,0))</f>
        <v>0</v>
      </c>
      <c r="R82">
        <f>IF($N82=0,0,IF(AND($F82&lt;=EOMONTH(DATE(PlanYear,4,1),0),IF(ISNUMBER($G82),$G82,$F82)&gt;=DATE(PlanYear,4,1)),1,0))</f>
        <v>0</v>
      </c>
      <c r="S82">
        <f>IF($N82=0,0,IF(AND($F82&lt;=EOMONTH(DATE(PlanYear,5,1),0),IF(ISNUMBER($G82),$G82,$F82)&gt;=DATE(PlanYear,5,1)),1,0))</f>
        <v>0</v>
      </c>
      <c r="T82">
        <f>IF($N82=0,0,IF(AND($F82&lt;=EOMONTH(DATE(PlanYear,6,1),0),IF(ISNUMBER($G82),$G82,$F82)&gt;=DATE(PlanYear,6,1)),1,0))</f>
        <v>0</v>
      </c>
      <c r="U82">
        <f>IF($N82=0,0,IF(AND($F82&lt;=EOMONTH(DATE(PlanYear,7,1),0),IF(ISNUMBER($G82),$G82,$F82)&gt;=DATE(PlanYear,7,1)),1,0))</f>
        <v>0</v>
      </c>
      <c r="V82">
        <f>IF($N82=0,0,IF(AND($F82&lt;=EOMONTH(DATE(PlanYear,8,1),0),IF(ISNUMBER($G82),$G82,$F82)&gt;=DATE(PlanYear,8,1)),1,0))</f>
        <v>0</v>
      </c>
      <c r="W82">
        <f>IF($N82=0,0,IF(AND($F82&lt;=EOMONTH(DATE(PlanYear,9,1),0),IF(ISNUMBER($G82),$G82,$F82)&gt;=DATE(PlanYear,9,1)),1,0))</f>
        <v>0</v>
      </c>
      <c r="X82">
        <f>IF($N82=0,0,IF(AND($F82&lt;=EOMONTH(DATE(PlanYear,10,1),0),IF(ISNUMBER($G82),$G82,$F82)&gt;=DATE(PlanYear,10,1)),1,0))</f>
        <v>0</v>
      </c>
      <c r="Y82">
        <f>IF($N82=0,0,IF(AND($F82&lt;=EOMONTH(DATE(PlanYear,11,1),0),IF(ISNUMBER($G82),$G82,$F82)&gt;=DATE(PlanYear,11,1)),1,0))</f>
        <v>0</v>
      </c>
      <c r="Z82">
        <f>IF($N82=0,0,IF(AND($F82&lt;=EOMONTH(DATE(PlanYear,12,1),0),IF(ISNUMBER($G82),$G82,$F82)&gt;=DATE(PlanYear,12,1)),1,0))</f>
        <v>0</v>
      </c>
      <c r="AA82">
        <f>SUM($O82:$Z82)</f>
        <v>0</v>
      </c>
    </row>
    <row r="83" spans="1:27">
      <c r="A83" s="42">
        <f>IF($B83="","","ACT-"&amp;TEXT(ROW()-4,"000"))</f>
        <v>0</v>
      </c>
      <c r="M83" s="43">
        <f>IF(COUNTA($B83:$K83)=0,"",IF($B83="","Missing activity name",IF($C83="","Missing practice",IF(COUNTIF(PracticeNames,$C83)=0,"Practice not in Lists",IF($D83="","Missing motion",IF(NOT(ISNUMBER($F83)),"Missing or invalid start date",IF(AND(ISNUMBER($G83),$G83&lt;$F83),"End date before start",IF(AND($N83=1,$AA83=0),"Outside planning year","OK"))))))))</f>
        <v>0</v>
      </c>
      <c r="N83">
        <f>IF(AND($B83&lt;&gt;"",$C83&lt;&gt;"",$D83&lt;&gt;"",ISNUMBER($F83),COUNTIF(PracticeNames,$C83)&gt;0,COUNTIF(MotionNames,$D83)&gt;0,NOT(AND(ISNUMBER($G83),$G83&lt;$F83))),IF(StatusFilter="All (excl. Cancelled)",IF($H83="Cancelled",0,1),IF(StatusFilter="All",1,IF($H83=StatusFilter,1,0))),0)</f>
        <v>0</v>
      </c>
      <c r="O83">
        <f>IF($N83=0,0,IF(AND($F83&lt;=EOMONTH(DATE(PlanYear,1,1),0),IF(ISNUMBER($G83),$G83,$F83)&gt;=DATE(PlanYear,1,1)),1,0))</f>
        <v>0</v>
      </c>
      <c r="P83">
        <f>IF($N83=0,0,IF(AND($F83&lt;=EOMONTH(DATE(PlanYear,2,1),0),IF(ISNUMBER($G83),$G83,$F83)&gt;=DATE(PlanYear,2,1)),1,0))</f>
        <v>0</v>
      </c>
      <c r="Q83">
        <f>IF($N83=0,0,IF(AND($F83&lt;=EOMONTH(DATE(PlanYear,3,1),0),IF(ISNUMBER($G83),$G83,$F83)&gt;=DATE(PlanYear,3,1)),1,0))</f>
        <v>0</v>
      </c>
      <c r="R83">
        <f>IF($N83=0,0,IF(AND($F83&lt;=EOMONTH(DATE(PlanYear,4,1),0),IF(ISNUMBER($G83),$G83,$F83)&gt;=DATE(PlanYear,4,1)),1,0))</f>
        <v>0</v>
      </c>
      <c r="S83">
        <f>IF($N83=0,0,IF(AND($F83&lt;=EOMONTH(DATE(PlanYear,5,1),0),IF(ISNUMBER($G83),$G83,$F83)&gt;=DATE(PlanYear,5,1)),1,0))</f>
        <v>0</v>
      </c>
      <c r="T83">
        <f>IF($N83=0,0,IF(AND($F83&lt;=EOMONTH(DATE(PlanYear,6,1),0),IF(ISNUMBER($G83),$G83,$F83)&gt;=DATE(PlanYear,6,1)),1,0))</f>
        <v>0</v>
      </c>
      <c r="U83">
        <f>IF($N83=0,0,IF(AND($F83&lt;=EOMONTH(DATE(PlanYear,7,1),0),IF(ISNUMBER($G83),$G83,$F83)&gt;=DATE(PlanYear,7,1)),1,0))</f>
        <v>0</v>
      </c>
      <c r="V83">
        <f>IF($N83=0,0,IF(AND($F83&lt;=EOMONTH(DATE(PlanYear,8,1),0),IF(ISNUMBER($G83),$G83,$F83)&gt;=DATE(PlanYear,8,1)),1,0))</f>
        <v>0</v>
      </c>
      <c r="W83">
        <f>IF($N83=0,0,IF(AND($F83&lt;=EOMONTH(DATE(PlanYear,9,1),0),IF(ISNUMBER($G83),$G83,$F83)&gt;=DATE(PlanYear,9,1)),1,0))</f>
        <v>0</v>
      </c>
      <c r="X83">
        <f>IF($N83=0,0,IF(AND($F83&lt;=EOMONTH(DATE(PlanYear,10,1),0),IF(ISNUMBER($G83),$G83,$F83)&gt;=DATE(PlanYear,10,1)),1,0))</f>
        <v>0</v>
      </c>
      <c r="Y83">
        <f>IF($N83=0,0,IF(AND($F83&lt;=EOMONTH(DATE(PlanYear,11,1),0),IF(ISNUMBER($G83),$G83,$F83)&gt;=DATE(PlanYear,11,1)),1,0))</f>
        <v>0</v>
      </c>
      <c r="Z83">
        <f>IF($N83=0,0,IF(AND($F83&lt;=EOMONTH(DATE(PlanYear,12,1),0),IF(ISNUMBER($G83),$G83,$F83)&gt;=DATE(PlanYear,12,1)),1,0))</f>
        <v>0</v>
      </c>
      <c r="AA83">
        <f>SUM($O83:$Z83)</f>
        <v>0</v>
      </c>
    </row>
    <row r="84" spans="1:27">
      <c r="A84" s="42">
        <f>IF($B84="","","ACT-"&amp;TEXT(ROW()-4,"000"))</f>
        <v>0</v>
      </c>
      <c r="M84" s="43">
        <f>IF(COUNTA($B84:$K84)=0,"",IF($B84="","Missing activity name",IF($C84="","Missing practice",IF(COUNTIF(PracticeNames,$C84)=0,"Practice not in Lists",IF($D84="","Missing motion",IF(NOT(ISNUMBER($F84)),"Missing or invalid start date",IF(AND(ISNUMBER($G84),$G84&lt;$F84),"End date before start",IF(AND($N84=1,$AA84=0),"Outside planning year","OK"))))))))</f>
        <v>0</v>
      </c>
      <c r="N84">
        <f>IF(AND($B84&lt;&gt;"",$C84&lt;&gt;"",$D84&lt;&gt;"",ISNUMBER($F84),COUNTIF(PracticeNames,$C84)&gt;0,COUNTIF(MotionNames,$D84)&gt;0,NOT(AND(ISNUMBER($G84),$G84&lt;$F84))),IF(StatusFilter="All (excl. Cancelled)",IF($H84="Cancelled",0,1),IF(StatusFilter="All",1,IF($H84=StatusFilter,1,0))),0)</f>
        <v>0</v>
      </c>
      <c r="O84">
        <f>IF($N84=0,0,IF(AND($F84&lt;=EOMONTH(DATE(PlanYear,1,1),0),IF(ISNUMBER($G84),$G84,$F84)&gt;=DATE(PlanYear,1,1)),1,0))</f>
        <v>0</v>
      </c>
      <c r="P84">
        <f>IF($N84=0,0,IF(AND($F84&lt;=EOMONTH(DATE(PlanYear,2,1),0),IF(ISNUMBER($G84),$G84,$F84)&gt;=DATE(PlanYear,2,1)),1,0))</f>
        <v>0</v>
      </c>
      <c r="Q84">
        <f>IF($N84=0,0,IF(AND($F84&lt;=EOMONTH(DATE(PlanYear,3,1),0),IF(ISNUMBER($G84),$G84,$F84)&gt;=DATE(PlanYear,3,1)),1,0))</f>
        <v>0</v>
      </c>
      <c r="R84">
        <f>IF($N84=0,0,IF(AND($F84&lt;=EOMONTH(DATE(PlanYear,4,1),0),IF(ISNUMBER($G84),$G84,$F84)&gt;=DATE(PlanYear,4,1)),1,0))</f>
        <v>0</v>
      </c>
      <c r="S84">
        <f>IF($N84=0,0,IF(AND($F84&lt;=EOMONTH(DATE(PlanYear,5,1),0),IF(ISNUMBER($G84),$G84,$F84)&gt;=DATE(PlanYear,5,1)),1,0))</f>
        <v>0</v>
      </c>
      <c r="T84">
        <f>IF($N84=0,0,IF(AND($F84&lt;=EOMONTH(DATE(PlanYear,6,1),0),IF(ISNUMBER($G84),$G84,$F84)&gt;=DATE(PlanYear,6,1)),1,0))</f>
        <v>0</v>
      </c>
      <c r="U84">
        <f>IF($N84=0,0,IF(AND($F84&lt;=EOMONTH(DATE(PlanYear,7,1),0),IF(ISNUMBER($G84),$G84,$F84)&gt;=DATE(PlanYear,7,1)),1,0))</f>
        <v>0</v>
      </c>
      <c r="V84">
        <f>IF($N84=0,0,IF(AND($F84&lt;=EOMONTH(DATE(PlanYear,8,1),0),IF(ISNUMBER($G84),$G84,$F84)&gt;=DATE(PlanYear,8,1)),1,0))</f>
        <v>0</v>
      </c>
      <c r="W84">
        <f>IF($N84=0,0,IF(AND($F84&lt;=EOMONTH(DATE(PlanYear,9,1),0),IF(ISNUMBER($G84),$G84,$F84)&gt;=DATE(PlanYear,9,1)),1,0))</f>
        <v>0</v>
      </c>
      <c r="X84">
        <f>IF($N84=0,0,IF(AND($F84&lt;=EOMONTH(DATE(PlanYear,10,1),0),IF(ISNUMBER($G84),$G84,$F84)&gt;=DATE(PlanYear,10,1)),1,0))</f>
        <v>0</v>
      </c>
      <c r="Y84">
        <f>IF($N84=0,0,IF(AND($F84&lt;=EOMONTH(DATE(PlanYear,11,1),0),IF(ISNUMBER($G84),$G84,$F84)&gt;=DATE(PlanYear,11,1)),1,0))</f>
        <v>0</v>
      </c>
      <c r="Z84">
        <f>IF($N84=0,0,IF(AND($F84&lt;=EOMONTH(DATE(PlanYear,12,1),0),IF(ISNUMBER($G84),$G84,$F84)&gt;=DATE(PlanYear,12,1)),1,0))</f>
        <v>0</v>
      </c>
      <c r="AA84">
        <f>SUM($O84:$Z84)</f>
        <v>0</v>
      </c>
    </row>
    <row r="85" spans="1:27">
      <c r="A85" s="42">
        <f>IF($B85="","","ACT-"&amp;TEXT(ROW()-4,"000"))</f>
        <v>0</v>
      </c>
      <c r="M85" s="43">
        <f>IF(COUNTA($B85:$K85)=0,"",IF($B85="","Missing activity name",IF($C85="","Missing practice",IF(COUNTIF(PracticeNames,$C85)=0,"Practice not in Lists",IF($D85="","Missing motion",IF(NOT(ISNUMBER($F85)),"Missing or invalid start date",IF(AND(ISNUMBER($G85),$G85&lt;$F85),"End date before start",IF(AND($N85=1,$AA85=0),"Outside planning year","OK"))))))))</f>
        <v>0</v>
      </c>
      <c r="N85">
        <f>IF(AND($B85&lt;&gt;"",$C85&lt;&gt;"",$D85&lt;&gt;"",ISNUMBER($F85),COUNTIF(PracticeNames,$C85)&gt;0,COUNTIF(MotionNames,$D85)&gt;0,NOT(AND(ISNUMBER($G85),$G85&lt;$F85))),IF(StatusFilter="All (excl. Cancelled)",IF($H85="Cancelled",0,1),IF(StatusFilter="All",1,IF($H85=StatusFilter,1,0))),0)</f>
        <v>0</v>
      </c>
      <c r="O85">
        <f>IF($N85=0,0,IF(AND($F85&lt;=EOMONTH(DATE(PlanYear,1,1),0),IF(ISNUMBER($G85),$G85,$F85)&gt;=DATE(PlanYear,1,1)),1,0))</f>
        <v>0</v>
      </c>
      <c r="P85">
        <f>IF($N85=0,0,IF(AND($F85&lt;=EOMONTH(DATE(PlanYear,2,1),0),IF(ISNUMBER($G85),$G85,$F85)&gt;=DATE(PlanYear,2,1)),1,0))</f>
        <v>0</v>
      </c>
      <c r="Q85">
        <f>IF($N85=0,0,IF(AND($F85&lt;=EOMONTH(DATE(PlanYear,3,1),0),IF(ISNUMBER($G85),$G85,$F85)&gt;=DATE(PlanYear,3,1)),1,0))</f>
        <v>0</v>
      </c>
      <c r="R85">
        <f>IF($N85=0,0,IF(AND($F85&lt;=EOMONTH(DATE(PlanYear,4,1),0),IF(ISNUMBER($G85),$G85,$F85)&gt;=DATE(PlanYear,4,1)),1,0))</f>
        <v>0</v>
      </c>
      <c r="S85">
        <f>IF($N85=0,0,IF(AND($F85&lt;=EOMONTH(DATE(PlanYear,5,1),0),IF(ISNUMBER($G85),$G85,$F85)&gt;=DATE(PlanYear,5,1)),1,0))</f>
        <v>0</v>
      </c>
      <c r="T85">
        <f>IF($N85=0,0,IF(AND($F85&lt;=EOMONTH(DATE(PlanYear,6,1),0),IF(ISNUMBER($G85),$G85,$F85)&gt;=DATE(PlanYear,6,1)),1,0))</f>
        <v>0</v>
      </c>
      <c r="U85">
        <f>IF($N85=0,0,IF(AND($F85&lt;=EOMONTH(DATE(PlanYear,7,1),0),IF(ISNUMBER($G85),$G85,$F85)&gt;=DATE(PlanYear,7,1)),1,0))</f>
        <v>0</v>
      </c>
      <c r="V85">
        <f>IF($N85=0,0,IF(AND($F85&lt;=EOMONTH(DATE(PlanYear,8,1),0),IF(ISNUMBER($G85),$G85,$F85)&gt;=DATE(PlanYear,8,1)),1,0))</f>
        <v>0</v>
      </c>
      <c r="W85">
        <f>IF($N85=0,0,IF(AND($F85&lt;=EOMONTH(DATE(PlanYear,9,1),0),IF(ISNUMBER($G85),$G85,$F85)&gt;=DATE(PlanYear,9,1)),1,0))</f>
        <v>0</v>
      </c>
      <c r="X85">
        <f>IF($N85=0,0,IF(AND($F85&lt;=EOMONTH(DATE(PlanYear,10,1),0),IF(ISNUMBER($G85),$G85,$F85)&gt;=DATE(PlanYear,10,1)),1,0))</f>
        <v>0</v>
      </c>
      <c r="Y85">
        <f>IF($N85=0,0,IF(AND($F85&lt;=EOMONTH(DATE(PlanYear,11,1),0),IF(ISNUMBER($G85),$G85,$F85)&gt;=DATE(PlanYear,11,1)),1,0))</f>
        <v>0</v>
      </c>
      <c r="Z85">
        <f>IF($N85=0,0,IF(AND($F85&lt;=EOMONTH(DATE(PlanYear,12,1),0),IF(ISNUMBER($G85),$G85,$F85)&gt;=DATE(PlanYear,12,1)),1,0))</f>
        <v>0</v>
      </c>
      <c r="AA85">
        <f>SUM($O85:$Z85)</f>
        <v>0</v>
      </c>
    </row>
    <row r="86" spans="1:27">
      <c r="A86" s="42">
        <f>IF($B86="","","ACT-"&amp;TEXT(ROW()-4,"000"))</f>
        <v>0</v>
      </c>
      <c r="M86" s="43">
        <f>IF(COUNTA($B86:$K86)=0,"",IF($B86="","Missing activity name",IF($C86="","Missing practice",IF(COUNTIF(PracticeNames,$C86)=0,"Practice not in Lists",IF($D86="","Missing motion",IF(NOT(ISNUMBER($F86)),"Missing or invalid start date",IF(AND(ISNUMBER($G86),$G86&lt;$F86),"End date before start",IF(AND($N86=1,$AA86=0),"Outside planning year","OK"))))))))</f>
        <v>0</v>
      </c>
      <c r="N86">
        <f>IF(AND($B86&lt;&gt;"",$C86&lt;&gt;"",$D86&lt;&gt;"",ISNUMBER($F86),COUNTIF(PracticeNames,$C86)&gt;0,COUNTIF(MotionNames,$D86)&gt;0,NOT(AND(ISNUMBER($G86),$G86&lt;$F86))),IF(StatusFilter="All (excl. Cancelled)",IF($H86="Cancelled",0,1),IF(StatusFilter="All",1,IF($H86=StatusFilter,1,0))),0)</f>
        <v>0</v>
      </c>
      <c r="O86">
        <f>IF($N86=0,0,IF(AND($F86&lt;=EOMONTH(DATE(PlanYear,1,1),0),IF(ISNUMBER($G86),$G86,$F86)&gt;=DATE(PlanYear,1,1)),1,0))</f>
        <v>0</v>
      </c>
      <c r="P86">
        <f>IF($N86=0,0,IF(AND($F86&lt;=EOMONTH(DATE(PlanYear,2,1),0),IF(ISNUMBER($G86),$G86,$F86)&gt;=DATE(PlanYear,2,1)),1,0))</f>
        <v>0</v>
      </c>
      <c r="Q86">
        <f>IF($N86=0,0,IF(AND($F86&lt;=EOMONTH(DATE(PlanYear,3,1),0),IF(ISNUMBER($G86),$G86,$F86)&gt;=DATE(PlanYear,3,1)),1,0))</f>
        <v>0</v>
      </c>
      <c r="R86">
        <f>IF($N86=0,0,IF(AND($F86&lt;=EOMONTH(DATE(PlanYear,4,1),0),IF(ISNUMBER($G86),$G86,$F86)&gt;=DATE(PlanYear,4,1)),1,0))</f>
        <v>0</v>
      </c>
      <c r="S86">
        <f>IF($N86=0,0,IF(AND($F86&lt;=EOMONTH(DATE(PlanYear,5,1),0),IF(ISNUMBER($G86),$G86,$F86)&gt;=DATE(PlanYear,5,1)),1,0))</f>
        <v>0</v>
      </c>
      <c r="T86">
        <f>IF($N86=0,0,IF(AND($F86&lt;=EOMONTH(DATE(PlanYear,6,1),0),IF(ISNUMBER($G86),$G86,$F86)&gt;=DATE(PlanYear,6,1)),1,0))</f>
        <v>0</v>
      </c>
      <c r="U86">
        <f>IF($N86=0,0,IF(AND($F86&lt;=EOMONTH(DATE(PlanYear,7,1),0),IF(ISNUMBER($G86),$G86,$F86)&gt;=DATE(PlanYear,7,1)),1,0))</f>
        <v>0</v>
      </c>
      <c r="V86">
        <f>IF($N86=0,0,IF(AND($F86&lt;=EOMONTH(DATE(PlanYear,8,1),0),IF(ISNUMBER($G86),$G86,$F86)&gt;=DATE(PlanYear,8,1)),1,0))</f>
        <v>0</v>
      </c>
      <c r="W86">
        <f>IF($N86=0,0,IF(AND($F86&lt;=EOMONTH(DATE(PlanYear,9,1),0),IF(ISNUMBER($G86),$G86,$F86)&gt;=DATE(PlanYear,9,1)),1,0))</f>
        <v>0</v>
      </c>
      <c r="X86">
        <f>IF($N86=0,0,IF(AND($F86&lt;=EOMONTH(DATE(PlanYear,10,1),0),IF(ISNUMBER($G86),$G86,$F86)&gt;=DATE(PlanYear,10,1)),1,0))</f>
        <v>0</v>
      </c>
      <c r="Y86">
        <f>IF($N86=0,0,IF(AND($F86&lt;=EOMONTH(DATE(PlanYear,11,1),0),IF(ISNUMBER($G86),$G86,$F86)&gt;=DATE(PlanYear,11,1)),1,0))</f>
        <v>0</v>
      </c>
      <c r="Z86">
        <f>IF($N86=0,0,IF(AND($F86&lt;=EOMONTH(DATE(PlanYear,12,1),0),IF(ISNUMBER($G86),$G86,$F86)&gt;=DATE(PlanYear,12,1)),1,0))</f>
        <v>0</v>
      </c>
      <c r="AA86">
        <f>SUM($O86:$Z86)</f>
        <v>0</v>
      </c>
    </row>
    <row r="87" spans="1:27">
      <c r="A87" s="42">
        <f>IF($B87="","","ACT-"&amp;TEXT(ROW()-4,"000"))</f>
        <v>0</v>
      </c>
      <c r="M87" s="43">
        <f>IF(COUNTA($B87:$K87)=0,"",IF($B87="","Missing activity name",IF($C87="","Missing practice",IF(COUNTIF(PracticeNames,$C87)=0,"Practice not in Lists",IF($D87="","Missing motion",IF(NOT(ISNUMBER($F87)),"Missing or invalid start date",IF(AND(ISNUMBER($G87),$G87&lt;$F87),"End date before start",IF(AND($N87=1,$AA87=0),"Outside planning year","OK"))))))))</f>
        <v>0</v>
      </c>
      <c r="N87">
        <f>IF(AND($B87&lt;&gt;"",$C87&lt;&gt;"",$D87&lt;&gt;"",ISNUMBER($F87),COUNTIF(PracticeNames,$C87)&gt;0,COUNTIF(MotionNames,$D87)&gt;0,NOT(AND(ISNUMBER($G87),$G87&lt;$F87))),IF(StatusFilter="All (excl. Cancelled)",IF($H87="Cancelled",0,1),IF(StatusFilter="All",1,IF($H87=StatusFilter,1,0))),0)</f>
        <v>0</v>
      </c>
      <c r="O87">
        <f>IF($N87=0,0,IF(AND($F87&lt;=EOMONTH(DATE(PlanYear,1,1),0),IF(ISNUMBER($G87),$G87,$F87)&gt;=DATE(PlanYear,1,1)),1,0))</f>
        <v>0</v>
      </c>
      <c r="P87">
        <f>IF($N87=0,0,IF(AND($F87&lt;=EOMONTH(DATE(PlanYear,2,1),0),IF(ISNUMBER($G87),$G87,$F87)&gt;=DATE(PlanYear,2,1)),1,0))</f>
        <v>0</v>
      </c>
      <c r="Q87">
        <f>IF($N87=0,0,IF(AND($F87&lt;=EOMONTH(DATE(PlanYear,3,1),0),IF(ISNUMBER($G87),$G87,$F87)&gt;=DATE(PlanYear,3,1)),1,0))</f>
        <v>0</v>
      </c>
      <c r="R87">
        <f>IF($N87=0,0,IF(AND($F87&lt;=EOMONTH(DATE(PlanYear,4,1),0),IF(ISNUMBER($G87),$G87,$F87)&gt;=DATE(PlanYear,4,1)),1,0))</f>
        <v>0</v>
      </c>
      <c r="S87">
        <f>IF($N87=0,0,IF(AND($F87&lt;=EOMONTH(DATE(PlanYear,5,1),0),IF(ISNUMBER($G87),$G87,$F87)&gt;=DATE(PlanYear,5,1)),1,0))</f>
        <v>0</v>
      </c>
      <c r="T87">
        <f>IF($N87=0,0,IF(AND($F87&lt;=EOMONTH(DATE(PlanYear,6,1),0),IF(ISNUMBER($G87),$G87,$F87)&gt;=DATE(PlanYear,6,1)),1,0))</f>
        <v>0</v>
      </c>
      <c r="U87">
        <f>IF($N87=0,0,IF(AND($F87&lt;=EOMONTH(DATE(PlanYear,7,1),0),IF(ISNUMBER($G87),$G87,$F87)&gt;=DATE(PlanYear,7,1)),1,0))</f>
        <v>0</v>
      </c>
      <c r="V87">
        <f>IF($N87=0,0,IF(AND($F87&lt;=EOMONTH(DATE(PlanYear,8,1),0),IF(ISNUMBER($G87),$G87,$F87)&gt;=DATE(PlanYear,8,1)),1,0))</f>
        <v>0</v>
      </c>
      <c r="W87">
        <f>IF($N87=0,0,IF(AND($F87&lt;=EOMONTH(DATE(PlanYear,9,1),0),IF(ISNUMBER($G87),$G87,$F87)&gt;=DATE(PlanYear,9,1)),1,0))</f>
        <v>0</v>
      </c>
      <c r="X87">
        <f>IF($N87=0,0,IF(AND($F87&lt;=EOMONTH(DATE(PlanYear,10,1),0),IF(ISNUMBER($G87),$G87,$F87)&gt;=DATE(PlanYear,10,1)),1,0))</f>
        <v>0</v>
      </c>
      <c r="Y87">
        <f>IF($N87=0,0,IF(AND($F87&lt;=EOMONTH(DATE(PlanYear,11,1),0),IF(ISNUMBER($G87),$G87,$F87)&gt;=DATE(PlanYear,11,1)),1,0))</f>
        <v>0</v>
      </c>
      <c r="Z87">
        <f>IF($N87=0,0,IF(AND($F87&lt;=EOMONTH(DATE(PlanYear,12,1),0),IF(ISNUMBER($G87),$G87,$F87)&gt;=DATE(PlanYear,12,1)),1,0))</f>
        <v>0</v>
      </c>
      <c r="AA87">
        <f>SUM($O87:$Z87)</f>
        <v>0</v>
      </c>
    </row>
    <row r="88" spans="1:27">
      <c r="A88" s="42">
        <f>IF($B88="","","ACT-"&amp;TEXT(ROW()-4,"000"))</f>
        <v>0</v>
      </c>
      <c r="M88" s="43">
        <f>IF(COUNTA($B88:$K88)=0,"",IF($B88="","Missing activity name",IF($C88="","Missing practice",IF(COUNTIF(PracticeNames,$C88)=0,"Practice not in Lists",IF($D88="","Missing motion",IF(NOT(ISNUMBER($F88)),"Missing or invalid start date",IF(AND(ISNUMBER($G88),$G88&lt;$F88),"End date before start",IF(AND($N88=1,$AA88=0),"Outside planning year","OK"))))))))</f>
        <v>0</v>
      </c>
      <c r="N88">
        <f>IF(AND($B88&lt;&gt;"",$C88&lt;&gt;"",$D88&lt;&gt;"",ISNUMBER($F88),COUNTIF(PracticeNames,$C88)&gt;0,COUNTIF(MotionNames,$D88)&gt;0,NOT(AND(ISNUMBER($G88),$G88&lt;$F88))),IF(StatusFilter="All (excl. Cancelled)",IF($H88="Cancelled",0,1),IF(StatusFilter="All",1,IF($H88=StatusFilter,1,0))),0)</f>
        <v>0</v>
      </c>
      <c r="O88">
        <f>IF($N88=0,0,IF(AND($F88&lt;=EOMONTH(DATE(PlanYear,1,1),0),IF(ISNUMBER($G88),$G88,$F88)&gt;=DATE(PlanYear,1,1)),1,0))</f>
        <v>0</v>
      </c>
      <c r="P88">
        <f>IF($N88=0,0,IF(AND($F88&lt;=EOMONTH(DATE(PlanYear,2,1),0),IF(ISNUMBER($G88),$G88,$F88)&gt;=DATE(PlanYear,2,1)),1,0))</f>
        <v>0</v>
      </c>
      <c r="Q88">
        <f>IF($N88=0,0,IF(AND($F88&lt;=EOMONTH(DATE(PlanYear,3,1),0),IF(ISNUMBER($G88),$G88,$F88)&gt;=DATE(PlanYear,3,1)),1,0))</f>
        <v>0</v>
      </c>
      <c r="R88">
        <f>IF($N88=0,0,IF(AND($F88&lt;=EOMONTH(DATE(PlanYear,4,1),0),IF(ISNUMBER($G88),$G88,$F88)&gt;=DATE(PlanYear,4,1)),1,0))</f>
        <v>0</v>
      </c>
      <c r="S88">
        <f>IF($N88=0,0,IF(AND($F88&lt;=EOMONTH(DATE(PlanYear,5,1),0),IF(ISNUMBER($G88),$G88,$F88)&gt;=DATE(PlanYear,5,1)),1,0))</f>
        <v>0</v>
      </c>
      <c r="T88">
        <f>IF($N88=0,0,IF(AND($F88&lt;=EOMONTH(DATE(PlanYear,6,1),0),IF(ISNUMBER($G88),$G88,$F88)&gt;=DATE(PlanYear,6,1)),1,0))</f>
        <v>0</v>
      </c>
      <c r="U88">
        <f>IF($N88=0,0,IF(AND($F88&lt;=EOMONTH(DATE(PlanYear,7,1),0),IF(ISNUMBER($G88),$G88,$F88)&gt;=DATE(PlanYear,7,1)),1,0))</f>
        <v>0</v>
      </c>
      <c r="V88">
        <f>IF($N88=0,0,IF(AND($F88&lt;=EOMONTH(DATE(PlanYear,8,1),0),IF(ISNUMBER($G88),$G88,$F88)&gt;=DATE(PlanYear,8,1)),1,0))</f>
        <v>0</v>
      </c>
      <c r="W88">
        <f>IF($N88=0,0,IF(AND($F88&lt;=EOMONTH(DATE(PlanYear,9,1),0),IF(ISNUMBER($G88),$G88,$F88)&gt;=DATE(PlanYear,9,1)),1,0))</f>
        <v>0</v>
      </c>
      <c r="X88">
        <f>IF($N88=0,0,IF(AND($F88&lt;=EOMONTH(DATE(PlanYear,10,1),0),IF(ISNUMBER($G88),$G88,$F88)&gt;=DATE(PlanYear,10,1)),1,0))</f>
        <v>0</v>
      </c>
      <c r="Y88">
        <f>IF($N88=0,0,IF(AND($F88&lt;=EOMONTH(DATE(PlanYear,11,1),0),IF(ISNUMBER($G88),$G88,$F88)&gt;=DATE(PlanYear,11,1)),1,0))</f>
        <v>0</v>
      </c>
      <c r="Z88">
        <f>IF($N88=0,0,IF(AND($F88&lt;=EOMONTH(DATE(PlanYear,12,1),0),IF(ISNUMBER($G88),$G88,$F88)&gt;=DATE(PlanYear,12,1)),1,0))</f>
        <v>0</v>
      </c>
      <c r="AA88">
        <f>SUM($O88:$Z88)</f>
        <v>0</v>
      </c>
    </row>
    <row r="89" spans="1:27">
      <c r="A89" s="42">
        <f>IF($B89="","","ACT-"&amp;TEXT(ROW()-4,"000"))</f>
        <v>0</v>
      </c>
      <c r="M89" s="43">
        <f>IF(COUNTA($B89:$K89)=0,"",IF($B89="","Missing activity name",IF($C89="","Missing practice",IF(COUNTIF(PracticeNames,$C89)=0,"Practice not in Lists",IF($D89="","Missing motion",IF(NOT(ISNUMBER($F89)),"Missing or invalid start date",IF(AND(ISNUMBER($G89),$G89&lt;$F89),"End date before start",IF(AND($N89=1,$AA89=0),"Outside planning year","OK"))))))))</f>
        <v>0</v>
      </c>
      <c r="N89">
        <f>IF(AND($B89&lt;&gt;"",$C89&lt;&gt;"",$D89&lt;&gt;"",ISNUMBER($F89),COUNTIF(PracticeNames,$C89)&gt;0,COUNTIF(MotionNames,$D89)&gt;0,NOT(AND(ISNUMBER($G89),$G89&lt;$F89))),IF(StatusFilter="All (excl. Cancelled)",IF($H89="Cancelled",0,1),IF(StatusFilter="All",1,IF($H89=StatusFilter,1,0))),0)</f>
        <v>0</v>
      </c>
      <c r="O89">
        <f>IF($N89=0,0,IF(AND($F89&lt;=EOMONTH(DATE(PlanYear,1,1),0),IF(ISNUMBER($G89),$G89,$F89)&gt;=DATE(PlanYear,1,1)),1,0))</f>
        <v>0</v>
      </c>
      <c r="P89">
        <f>IF($N89=0,0,IF(AND($F89&lt;=EOMONTH(DATE(PlanYear,2,1),0),IF(ISNUMBER($G89),$G89,$F89)&gt;=DATE(PlanYear,2,1)),1,0))</f>
        <v>0</v>
      </c>
      <c r="Q89">
        <f>IF($N89=0,0,IF(AND($F89&lt;=EOMONTH(DATE(PlanYear,3,1),0),IF(ISNUMBER($G89),$G89,$F89)&gt;=DATE(PlanYear,3,1)),1,0))</f>
        <v>0</v>
      </c>
      <c r="R89">
        <f>IF($N89=0,0,IF(AND($F89&lt;=EOMONTH(DATE(PlanYear,4,1),0),IF(ISNUMBER($G89),$G89,$F89)&gt;=DATE(PlanYear,4,1)),1,0))</f>
        <v>0</v>
      </c>
      <c r="S89">
        <f>IF($N89=0,0,IF(AND($F89&lt;=EOMONTH(DATE(PlanYear,5,1),0),IF(ISNUMBER($G89),$G89,$F89)&gt;=DATE(PlanYear,5,1)),1,0))</f>
        <v>0</v>
      </c>
      <c r="T89">
        <f>IF($N89=0,0,IF(AND($F89&lt;=EOMONTH(DATE(PlanYear,6,1),0),IF(ISNUMBER($G89),$G89,$F89)&gt;=DATE(PlanYear,6,1)),1,0))</f>
        <v>0</v>
      </c>
      <c r="U89">
        <f>IF($N89=0,0,IF(AND($F89&lt;=EOMONTH(DATE(PlanYear,7,1),0),IF(ISNUMBER($G89),$G89,$F89)&gt;=DATE(PlanYear,7,1)),1,0))</f>
        <v>0</v>
      </c>
      <c r="V89">
        <f>IF($N89=0,0,IF(AND($F89&lt;=EOMONTH(DATE(PlanYear,8,1),0),IF(ISNUMBER($G89),$G89,$F89)&gt;=DATE(PlanYear,8,1)),1,0))</f>
        <v>0</v>
      </c>
      <c r="W89">
        <f>IF($N89=0,0,IF(AND($F89&lt;=EOMONTH(DATE(PlanYear,9,1),0),IF(ISNUMBER($G89),$G89,$F89)&gt;=DATE(PlanYear,9,1)),1,0))</f>
        <v>0</v>
      </c>
      <c r="X89">
        <f>IF($N89=0,0,IF(AND($F89&lt;=EOMONTH(DATE(PlanYear,10,1),0),IF(ISNUMBER($G89),$G89,$F89)&gt;=DATE(PlanYear,10,1)),1,0))</f>
        <v>0</v>
      </c>
      <c r="Y89">
        <f>IF($N89=0,0,IF(AND($F89&lt;=EOMONTH(DATE(PlanYear,11,1),0),IF(ISNUMBER($G89),$G89,$F89)&gt;=DATE(PlanYear,11,1)),1,0))</f>
        <v>0</v>
      </c>
      <c r="Z89">
        <f>IF($N89=0,0,IF(AND($F89&lt;=EOMONTH(DATE(PlanYear,12,1),0),IF(ISNUMBER($G89),$G89,$F89)&gt;=DATE(PlanYear,12,1)),1,0))</f>
        <v>0</v>
      </c>
      <c r="AA89">
        <f>SUM($O89:$Z89)</f>
        <v>0</v>
      </c>
    </row>
    <row r="90" spans="1:27">
      <c r="A90" s="42">
        <f>IF($B90="","","ACT-"&amp;TEXT(ROW()-4,"000"))</f>
        <v>0</v>
      </c>
      <c r="M90" s="43">
        <f>IF(COUNTA($B90:$K90)=0,"",IF($B90="","Missing activity name",IF($C90="","Missing practice",IF(COUNTIF(PracticeNames,$C90)=0,"Practice not in Lists",IF($D90="","Missing motion",IF(NOT(ISNUMBER($F90)),"Missing or invalid start date",IF(AND(ISNUMBER($G90),$G90&lt;$F90),"End date before start",IF(AND($N90=1,$AA90=0),"Outside planning year","OK"))))))))</f>
        <v>0</v>
      </c>
      <c r="N90">
        <f>IF(AND($B90&lt;&gt;"",$C90&lt;&gt;"",$D90&lt;&gt;"",ISNUMBER($F90),COUNTIF(PracticeNames,$C90)&gt;0,COUNTIF(MotionNames,$D90)&gt;0,NOT(AND(ISNUMBER($G90),$G90&lt;$F90))),IF(StatusFilter="All (excl. Cancelled)",IF($H90="Cancelled",0,1),IF(StatusFilter="All",1,IF($H90=StatusFilter,1,0))),0)</f>
        <v>0</v>
      </c>
      <c r="O90">
        <f>IF($N90=0,0,IF(AND($F90&lt;=EOMONTH(DATE(PlanYear,1,1),0),IF(ISNUMBER($G90),$G90,$F90)&gt;=DATE(PlanYear,1,1)),1,0))</f>
        <v>0</v>
      </c>
      <c r="P90">
        <f>IF($N90=0,0,IF(AND($F90&lt;=EOMONTH(DATE(PlanYear,2,1),0),IF(ISNUMBER($G90),$G90,$F90)&gt;=DATE(PlanYear,2,1)),1,0))</f>
        <v>0</v>
      </c>
      <c r="Q90">
        <f>IF($N90=0,0,IF(AND($F90&lt;=EOMONTH(DATE(PlanYear,3,1),0),IF(ISNUMBER($G90),$G90,$F90)&gt;=DATE(PlanYear,3,1)),1,0))</f>
        <v>0</v>
      </c>
      <c r="R90">
        <f>IF($N90=0,0,IF(AND($F90&lt;=EOMONTH(DATE(PlanYear,4,1),0),IF(ISNUMBER($G90),$G90,$F90)&gt;=DATE(PlanYear,4,1)),1,0))</f>
        <v>0</v>
      </c>
      <c r="S90">
        <f>IF($N90=0,0,IF(AND($F90&lt;=EOMONTH(DATE(PlanYear,5,1),0),IF(ISNUMBER($G90),$G90,$F90)&gt;=DATE(PlanYear,5,1)),1,0))</f>
        <v>0</v>
      </c>
      <c r="T90">
        <f>IF($N90=0,0,IF(AND($F90&lt;=EOMONTH(DATE(PlanYear,6,1),0),IF(ISNUMBER($G90),$G90,$F90)&gt;=DATE(PlanYear,6,1)),1,0))</f>
        <v>0</v>
      </c>
      <c r="U90">
        <f>IF($N90=0,0,IF(AND($F90&lt;=EOMONTH(DATE(PlanYear,7,1),0),IF(ISNUMBER($G90),$G90,$F90)&gt;=DATE(PlanYear,7,1)),1,0))</f>
        <v>0</v>
      </c>
      <c r="V90">
        <f>IF($N90=0,0,IF(AND($F90&lt;=EOMONTH(DATE(PlanYear,8,1),0),IF(ISNUMBER($G90),$G90,$F90)&gt;=DATE(PlanYear,8,1)),1,0))</f>
        <v>0</v>
      </c>
      <c r="W90">
        <f>IF($N90=0,0,IF(AND($F90&lt;=EOMONTH(DATE(PlanYear,9,1),0),IF(ISNUMBER($G90),$G90,$F90)&gt;=DATE(PlanYear,9,1)),1,0))</f>
        <v>0</v>
      </c>
      <c r="X90">
        <f>IF($N90=0,0,IF(AND($F90&lt;=EOMONTH(DATE(PlanYear,10,1),0),IF(ISNUMBER($G90),$G90,$F90)&gt;=DATE(PlanYear,10,1)),1,0))</f>
        <v>0</v>
      </c>
      <c r="Y90">
        <f>IF($N90=0,0,IF(AND($F90&lt;=EOMONTH(DATE(PlanYear,11,1),0),IF(ISNUMBER($G90),$G90,$F90)&gt;=DATE(PlanYear,11,1)),1,0))</f>
        <v>0</v>
      </c>
      <c r="Z90">
        <f>IF($N90=0,0,IF(AND($F90&lt;=EOMONTH(DATE(PlanYear,12,1),0),IF(ISNUMBER($G90),$G90,$F90)&gt;=DATE(PlanYear,12,1)),1,0))</f>
        <v>0</v>
      </c>
      <c r="AA90">
        <f>SUM($O90:$Z90)</f>
        <v>0</v>
      </c>
    </row>
    <row r="91" spans="1:27">
      <c r="A91" s="42">
        <f>IF($B91="","","ACT-"&amp;TEXT(ROW()-4,"000"))</f>
        <v>0</v>
      </c>
      <c r="M91" s="43">
        <f>IF(COUNTA($B91:$K91)=0,"",IF($B91="","Missing activity name",IF($C91="","Missing practice",IF(COUNTIF(PracticeNames,$C91)=0,"Practice not in Lists",IF($D91="","Missing motion",IF(NOT(ISNUMBER($F91)),"Missing or invalid start date",IF(AND(ISNUMBER($G91),$G91&lt;$F91),"End date before start",IF(AND($N91=1,$AA91=0),"Outside planning year","OK"))))))))</f>
        <v>0</v>
      </c>
      <c r="N91">
        <f>IF(AND($B91&lt;&gt;"",$C91&lt;&gt;"",$D91&lt;&gt;"",ISNUMBER($F91),COUNTIF(PracticeNames,$C91)&gt;0,COUNTIF(MotionNames,$D91)&gt;0,NOT(AND(ISNUMBER($G91),$G91&lt;$F91))),IF(StatusFilter="All (excl. Cancelled)",IF($H91="Cancelled",0,1),IF(StatusFilter="All",1,IF($H91=StatusFilter,1,0))),0)</f>
        <v>0</v>
      </c>
      <c r="O91">
        <f>IF($N91=0,0,IF(AND($F91&lt;=EOMONTH(DATE(PlanYear,1,1),0),IF(ISNUMBER($G91),$G91,$F91)&gt;=DATE(PlanYear,1,1)),1,0))</f>
        <v>0</v>
      </c>
      <c r="P91">
        <f>IF($N91=0,0,IF(AND($F91&lt;=EOMONTH(DATE(PlanYear,2,1),0),IF(ISNUMBER($G91),$G91,$F91)&gt;=DATE(PlanYear,2,1)),1,0))</f>
        <v>0</v>
      </c>
      <c r="Q91">
        <f>IF($N91=0,0,IF(AND($F91&lt;=EOMONTH(DATE(PlanYear,3,1),0),IF(ISNUMBER($G91),$G91,$F91)&gt;=DATE(PlanYear,3,1)),1,0))</f>
        <v>0</v>
      </c>
      <c r="R91">
        <f>IF($N91=0,0,IF(AND($F91&lt;=EOMONTH(DATE(PlanYear,4,1),0),IF(ISNUMBER($G91),$G91,$F91)&gt;=DATE(PlanYear,4,1)),1,0))</f>
        <v>0</v>
      </c>
      <c r="S91">
        <f>IF($N91=0,0,IF(AND($F91&lt;=EOMONTH(DATE(PlanYear,5,1),0),IF(ISNUMBER($G91),$G91,$F91)&gt;=DATE(PlanYear,5,1)),1,0))</f>
        <v>0</v>
      </c>
      <c r="T91">
        <f>IF($N91=0,0,IF(AND($F91&lt;=EOMONTH(DATE(PlanYear,6,1),0),IF(ISNUMBER($G91),$G91,$F91)&gt;=DATE(PlanYear,6,1)),1,0))</f>
        <v>0</v>
      </c>
      <c r="U91">
        <f>IF($N91=0,0,IF(AND($F91&lt;=EOMONTH(DATE(PlanYear,7,1),0),IF(ISNUMBER($G91),$G91,$F91)&gt;=DATE(PlanYear,7,1)),1,0))</f>
        <v>0</v>
      </c>
      <c r="V91">
        <f>IF($N91=0,0,IF(AND($F91&lt;=EOMONTH(DATE(PlanYear,8,1),0),IF(ISNUMBER($G91),$G91,$F91)&gt;=DATE(PlanYear,8,1)),1,0))</f>
        <v>0</v>
      </c>
      <c r="W91">
        <f>IF($N91=0,0,IF(AND($F91&lt;=EOMONTH(DATE(PlanYear,9,1),0),IF(ISNUMBER($G91),$G91,$F91)&gt;=DATE(PlanYear,9,1)),1,0))</f>
        <v>0</v>
      </c>
      <c r="X91">
        <f>IF($N91=0,0,IF(AND($F91&lt;=EOMONTH(DATE(PlanYear,10,1),0),IF(ISNUMBER($G91),$G91,$F91)&gt;=DATE(PlanYear,10,1)),1,0))</f>
        <v>0</v>
      </c>
      <c r="Y91">
        <f>IF($N91=0,0,IF(AND($F91&lt;=EOMONTH(DATE(PlanYear,11,1),0),IF(ISNUMBER($G91),$G91,$F91)&gt;=DATE(PlanYear,11,1)),1,0))</f>
        <v>0</v>
      </c>
      <c r="Z91">
        <f>IF($N91=0,0,IF(AND($F91&lt;=EOMONTH(DATE(PlanYear,12,1),0),IF(ISNUMBER($G91),$G91,$F91)&gt;=DATE(PlanYear,12,1)),1,0))</f>
        <v>0</v>
      </c>
      <c r="AA91">
        <f>SUM($O91:$Z91)</f>
        <v>0</v>
      </c>
    </row>
    <row r="92" spans="1:27">
      <c r="A92" s="42">
        <f>IF($B92="","","ACT-"&amp;TEXT(ROW()-4,"000"))</f>
        <v>0</v>
      </c>
      <c r="M92" s="43">
        <f>IF(COUNTA($B92:$K92)=0,"",IF($B92="","Missing activity name",IF($C92="","Missing practice",IF(COUNTIF(PracticeNames,$C92)=0,"Practice not in Lists",IF($D92="","Missing motion",IF(NOT(ISNUMBER($F92)),"Missing or invalid start date",IF(AND(ISNUMBER($G92),$G92&lt;$F92),"End date before start",IF(AND($N92=1,$AA92=0),"Outside planning year","OK"))))))))</f>
        <v>0</v>
      </c>
      <c r="N92">
        <f>IF(AND($B92&lt;&gt;"",$C92&lt;&gt;"",$D92&lt;&gt;"",ISNUMBER($F92),COUNTIF(PracticeNames,$C92)&gt;0,COUNTIF(MotionNames,$D92)&gt;0,NOT(AND(ISNUMBER($G92),$G92&lt;$F92))),IF(StatusFilter="All (excl. Cancelled)",IF($H92="Cancelled",0,1),IF(StatusFilter="All",1,IF($H92=StatusFilter,1,0))),0)</f>
        <v>0</v>
      </c>
      <c r="O92">
        <f>IF($N92=0,0,IF(AND($F92&lt;=EOMONTH(DATE(PlanYear,1,1),0),IF(ISNUMBER($G92),$G92,$F92)&gt;=DATE(PlanYear,1,1)),1,0))</f>
        <v>0</v>
      </c>
      <c r="P92">
        <f>IF($N92=0,0,IF(AND($F92&lt;=EOMONTH(DATE(PlanYear,2,1),0),IF(ISNUMBER($G92),$G92,$F92)&gt;=DATE(PlanYear,2,1)),1,0))</f>
        <v>0</v>
      </c>
      <c r="Q92">
        <f>IF($N92=0,0,IF(AND($F92&lt;=EOMONTH(DATE(PlanYear,3,1),0),IF(ISNUMBER($G92),$G92,$F92)&gt;=DATE(PlanYear,3,1)),1,0))</f>
        <v>0</v>
      </c>
      <c r="R92">
        <f>IF($N92=0,0,IF(AND($F92&lt;=EOMONTH(DATE(PlanYear,4,1),0),IF(ISNUMBER($G92),$G92,$F92)&gt;=DATE(PlanYear,4,1)),1,0))</f>
        <v>0</v>
      </c>
      <c r="S92">
        <f>IF($N92=0,0,IF(AND($F92&lt;=EOMONTH(DATE(PlanYear,5,1),0),IF(ISNUMBER($G92),$G92,$F92)&gt;=DATE(PlanYear,5,1)),1,0))</f>
        <v>0</v>
      </c>
      <c r="T92">
        <f>IF($N92=0,0,IF(AND($F92&lt;=EOMONTH(DATE(PlanYear,6,1),0),IF(ISNUMBER($G92),$G92,$F92)&gt;=DATE(PlanYear,6,1)),1,0))</f>
        <v>0</v>
      </c>
      <c r="U92">
        <f>IF($N92=0,0,IF(AND($F92&lt;=EOMONTH(DATE(PlanYear,7,1),0),IF(ISNUMBER($G92),$G92,$F92)&gt;=DATE(PlanYear,7,1)),1,0))</f>
        <v>0</v>
      </c>
      <c r="V92">
        <f>IF($N92=0,0,IF(AND($F92&lt;=EOMONTH(DATE(PlanYear,8,1),0),IF(ISNUMBER($G92),$G92,$F92)&gt;=DATE(PlanYear,8,1)),1,0))</f>
        <v>0</v>
      </c>
      <c r="W92">
        <f>IF($N92=0,0,IF(AND($F92&lt;=EOMONTH(DATE(PlanYear,9,1),0),IF(ISNUMBER($G92),$G92,$F92)&gt;=DATE(PlanYear,9,1)),1,0))</f>
        <v>0</v>
      </c>
      <c r="X92">
        <f>IF($N92=0,0,IF(AND($F92&lt;=EOMONTH(DATE(PlanYear,10,1),0),IF(ISNUMBER($G92),$G92,$F92)&gt;=DATE(PlanYear,10,1)),1,0))</f>
        <v>0</v>
      </c>
      <c r="Y92">
        <f>IF($N92=0,0,IF(AND($F92&lt;=EOMONTH(DATE(PlanYear,11,1),0),IF(ISNUMBER($G92),$G92,$F92)&gt;=DATE(PlanYear,11,1)),1,0))</f>
        <v>0</v>
      </c>
      <c r="Z92">
        <f>IF($N92=0,0,IF(AND($F92&lt;=EOMONTH(DATE(PlanYear,12,1),0),IF(ISNUMBER($G92),$G92,$F92)&gt;=DATE(PlanYear,12,1)),1,0))</f>
        <v>0</v>
      </c>
      <c r="AA92">
        <f>SUM($O92:$Z92)</f>
        <v>0</v>
      </c>
    </row>
    <row r="93" spans="1:27">
      <c r="A93" s="42">
        <f>IF($B93="","","ACT-"&amp;TEXT(ROW()-4,"000"))</f>
        <v>0</v>
      </c>
      <c r="M93" s="43">
        <f>IF(COUNTA($B93:$K93)=0,"",IF($B93="","Missing activity name",IF($C93="","Missing practice",IF(COUNTIF(PracticeNames,$C93)=0,"Practice not in Lists",IF($D93="","Missing motion",IF(NOT(ISNUMBER($F93)),"Missing or invalid start date",IF(AND(ISNUMBER($G93),$G93&lt;$F93),"End date before start",IF(AND($N93=1,$AA93=0),"Outside planning year","OK"))))))))</f>
        <v>0</v>
      </c>
      <c r="N93">
        <f>IF(AND($B93&lt;&gt;"",$C93&lt;&gt;"",$D93&lt;&gt;"",ISNUMBER($F93),COUNTIF(PracticeNames,$C93)&gt;0,COUNTIF(MotionNames,$D93)&gt;0,NOT(AND(ISNUMBER($G93),$G93&lt;$F93))),IF(StatusFilter="All (excl. Cancelled)",IF($H93="Cancelled",0,1),IF(StatusFilter="All",1,IF($H93=StatusFilter,1,0))),0)</f>
        <v>0</v>
      </c>
      <c r="O93">
        <f>IF($N93=0,0,IF(AND($F93&lt;=EOMONTH(DATE(PlanYear,1,1),0),IF(ISNUMBER($G93),$G93,$F93)&gt;=DATE(PlanYear,1,1)),1,0))</f>
        <v>0</v>
      </c>
      <c r="P93">
        <f>IF($N93=0,0,IF(AND($F93&lt;=EOMONTH(DATE(PlanYear,2,1),0),IF(ISNUMBER($G93),$G93,$F93)&gt;=DATE(PlanYear,2,1)),1,0))</f>
        <v>0</v>
      </c>
      <c r="Q93">
        <f>IF($N93=0,0,IF(AND($F93&lt;=EOMONTH(DATE(PlanYear,3,1),0),IF(ISNUMBER($G93),$G93,$F93)&gt;=DATE(PlanYear,3,1)),1,0))</f>
        <v>0</v>
      </c>
      <c r="R93">
        <f>IF($N93=0,0,IF(AND($F93&lt;=EOMONTH(DATE(PlanYear,4,1),0),IF(ISNUMBER($G93),$G93,$F93)&gt;=DATE(PlanYear,4,1)),1,0))</f>
        <v>0</v>
      </c>
      <c r="S93">
        <f>IF($N93=0,0,IF(AND($F93&lt;=EOMONTH(DATE(PlanYear,5,1),0),IF(ISNUMBER($G93),$G93,$F93)&gt;=DATE(PlanYear,5,1)),1,0))</f>
        <v>0</v>
      </c>
      <c r="T93">
        <f>IF($N93=0,0,IF(AND($F93&lt;=EOMONTH(DATE(PlanYear,6,1),0),IF(ISNUMBER($G93),$G93,$F93)&gt;=DATE(PlanYear,6,1)),1,0))</f>
        <v>0</v>
      </c>
      <c r="U93">
        <f>IF($N93=0,0,IF(AND($F93&lt;=EOMONTH(DATE(PlanYear,7,1),0),IF(ISNUMBER($G93),$G93,$F93)&gt;=DATE(PlanYear,7,1)),1,0))</f>
        <v>0</v>
      </c>
      <c r="V93">
        <f>IF($N93=0,0,IF(AND($F93&lt;=EOMONTH(DATE(PlanYear,8,1),0),IF(ISNUMBER($G93),$G93,$F93)&gt;=DATE(PlanYear,8,1)),1,0))</f>
        <v>0</v>
      </c>
      <c r="W93">
        <f>IF($N93=0,0,IF(AND($F93&lt;=EOMONTH(DATE(PlanYear,9,1),0),IF(ISNUMBER($G93),$G93,$F93)&gt;=DATE(PlanYear,9,1)),1,0))</f>
        <v>0</v>
      </c>
      <c r="X93">
        <f>IF($N93=0,0,IF(AND($F93&lt;=EOMONTH(DATE(PlanYear,10,1),0),IF(ISNUMBER($G93),$G93,$F93)&gt;=DATE(PlanYear,10,1)),1,0))</f>
        <v>0</v>
      </c>
      <c r="Y93">
        <f>IF($N93=0,0,IF(AND($F93&lt;=EOMONTH(DATE(PlanYear,11,1),0),IF(ISNUMBER($G93),$G93,$F93)&gt;=DATE(PlanYear,11,1)),1,0))</f>
        <v>0</v>
      </c>
      <c r="Z93">
        <f>IF($N93=0,0,IF(AND($F93&lt;=EOMONTH(DATE(PlanYear,12,1),0),IF(ISNUMBER($G93),$G93,$F93)&gt;=DATE(PlanYear,12,1)),1,0))</f>
        <v>0</v>
      </c>
      <c r="AA93">
        <f>SUM($O93:$Z93)</f>
        <v>0</v>
      </c>
    </row>
    <row r="94" spans="1:27">
      <c r="A94" s="42">
        <f>IF($B94="","","ACT-"&amp;TEXT(ROW()-4,"000"))</f>
        <v>0</v>
      </c>
      <c r="M94" s="43">
        <f>IF(COUNTA($B94:$K94)=0,"",IF($B94="","Missing activity name",IF($C94="","Missing practice",IF(COUNTIF(PracticeNames,$C94)=0,"Practice not in Lists",IF($D94="","Missing motion",IF(NOT(ISNUMBER($F94)),"Missing or invalid start date",IF(AND(ISNUMBER($G94),$G94&lt;$F94),"End date before start",IF(AND($N94=1,$AA94=0),"Outside planning year","OK"))))))))</f>
        <v>0</v>
      </c>
      <c r="N94">
        <f>IF(AND($B94&lt;&gt;"",$C94&lt;&gt;"",$D94&lt;&gt;"",ISNUMBER($F94),COUNTIF(PracticeNames,$C94)&gt;0,COUNTIF(MotionNames,$D94)&gt;0,NOT(AND(ISNUMBER($G94),$G94&lt;$F94))),IF(StatusFilter="All (excl. Cancelled)",IF($H94="Cancelled",0,1),IF(StatusFilter="All",1,IF($H94=StatusFilter,1,0))),0)</f>
        <v>0</v>
      </c>
      <c r="O94">
        <f>IF($N94=0,0,IF(AND($F94&lt;=EOMONTH(DATE(PlanYear,1,1),0),IF(ISNUMBER($G94),$G94,$F94)&gt;=DATE(PlanYear,1,1)),1,0))</f>
        <v>0</v>
      </c>
      <c r="P94">
        <f>IF($N94=0,0,IF(AND($F94&lt;=EOMONTH(DATE(PlanYear,2,1),0),IF(ISNUMBER($G94),$G94,$F94)&gt;=DATE(PlanYear,2,1)),1,0))</f>
        <v>0</v>
      </c>
      <c r="Q94">
        <f>IF($N94=0,0,IF(AND($F94&lt;=EOMONTH(DATE(PlanYear,3,1),0),IF(ISNUMBER($G94),$G94,$F94)&gt;=DATE(PlanYear,3,1)),1,0))</f>
        <v>0</v>
      </c>
      <c r="R94">
        <f>IF($N94=0,0,IF(AND($F94&lt;=EOMONTH(DATE(PlanYear,4,1),0),IF(ISNUMBER($G94),$G94,$F94)&gt;=DATE(PlanYear,4,1)),1,0))</f>
        <v>0</v>
      </c>
      <c r="S94">
        <f>IF($N94=0,0,IF(AND($F94&lt;=EOMONTH(DATE(PlanYear,5,1),0),IF(ISNUMBER($G94),$G94,$F94)&gt;=DATE(PlanYear,5,1)),1,0))</f>
        <v>0</v>
      </c>
      <c r="T94">
        <f>IF($N94=0,0,IF(AND($F94&lt;=EOMONTH(DATE(PlanYear,6,1),0),IF(ISNUMBER($G94),$G94,$F94)&gt;=DATE(PlanYear,6,1)),1,0))</f>
        <v>0</v>
      </c>
      <c r="U94">
        <f>IF($N94=0,0,IF(AND($F94&lt;=EOMONTH(DATE(PlanYear,7,1),0),IF(ISNUMBER($G94),$G94,$F94)&gt;=DATE(PlanYear,7,1)),1,0))</f>
        <v>0</v>
      </c>
      <c r="V94">
        <f>IF($N94=0,0,IF(AND($F94&lt;=EOMONTH(DATE(PlanYear,8,1),0),IF(ISNUMBER($G94),$G94,$F94)&gt;=DATE(PlanYear,8,1)),1,0))</f>
        <v>0</v>
      </c>
      <c r="W94">
        <f>IF($N94=0,0,IF(AND($F94&lt;=EOMONTH(DATE(PlanYear,9,1),0),IF(ISNUMBER($G94),$G94,$F94)&gt;=DATE(PlanYear,9,1)),1,0))</f>
        <v>0</v>
      </c>
      <c r="X94">
        <f>IF($N94=0,0,IF(AND($F94&lt;=EOMONTH(DATE(PlanYear,10,1),0),IF(ISNUMBER($G94),$G94,$F94)&gt;=DATE(PlanYear,10,1)),1,0))</f>
        <v>0</v>
      </c>
      <c r="Y94">
        <f>IF($N94=0,0,IF(AND($F94&lt;=EOMONTH(DATE(PlanYear,11,1),0),IF(ISNUMBER($G94),$G94,$F94)&gt;=DATE(PlanYear,11,1)),1,0))</f>
        <v>0</v>
      </c>
      <c r="Z94">
        <f>IF($N94=0,0,IF(AND($F94&lt;=EOMONTH(DATE(PlanYear,12,1),0),IF(ISNUMBER($G94),$G94,$F94)&gt;=DATE(PlanYear,12,1)),1,0))</f>
        <v>0</v>
      </c>
      <c r="AA94">
        <f>SUM($O94:$Z94)</f>
        <v>0</v>
      </c>
    </row>
    <row r="95" spans="1:27">
      <c r="A95" s="42">
        <f>IF($B95="","","ACT-"&amp;TEXT(ROW()-4,"000"))</f>
        <v>0</v>
      </c>
      <c r="M95" s="43">
        <f>IF(COUNTA($B95:$K95)=0,"",IF($B95="","Missing activity name",IF($C95="","Missing practice",IF(COUNTIF(PracticeNames,$C95)=0,"Practice not in Lists",IF($D95="","Missing motion",IF(NOT(ISNUMBER($F95)),"Missing or invalid start date",IF(AND(ISNUMBER($G95),$G95&lt;$F95),"End date before start",IF(AND($N95=1,$AA95=0),"Outside planning year","OK"))))))))</f>
        <v>0</v>
      </c>
      <c r="N95">
        <f>IF(AND($B95&lt;&gt;"",$C95&lt;&gt;"",$D95&lt;&gt;"",ISNUMBER($F95),COUNTIF(PracticeNames,$C95)&gt;0,COUNTIF(MotionNames,$D95)&gt;0,NOT(AND(ISNUMBER($G95),$G95&lt;$F95))),IF(StatusFilter="All (excl. Cancelled)",IF($H95="Cancelled",0,1),IF(StatusFilter="All",1,IF($H95=StatusFilter,1,0))),0)</f>
        <v>0</v>
      </c>
      <c r="O95">
        <f>IF($N95=0,0,IF(AND($F95&lt;=EOMONTH(DATE(PlanYear,1,1),0),IF(ISNUMBER($G95),$G95,$F95)&gt;=DATE(PlanYear,1,1)),1,0))</f>
        <v>0</v>
      </c>
      <c r="P95">
        <f>IF($N95=0,0,IF(AND($F95&lt;=EOMONTH(DATE(PlanYear,2,1),0),IF(ISNUMBER($G95),$G95,$F95)&gt;=DATE(PlanYear,2,1)),1,0))</f>
        <v>0</v>
      </c>
      <c r="Q95">
        <f>IF($N95=0,0,IF(AND($F95&lt;=EOMONTH(DATE(PlanYear,3,1),0),IF(ISNUMBER($G95),$G95,$F95)&gt;=DATE(PlanYear,3,1)),1,0))</f>
        <v>0</v>
      </c>
      <c r="R95">
        <f>IF($N95=0,0,IF(AND($F95&lt;=EOMONTH(DATE(PlanYear,4,1),0),IF(ISNUMBER($G95),$G95,$F95)&gt;=DATE(PlanYear,4,1)),1,0))</f>
        <v>0</v>
      </c>
      <c r="S95">
        <f>IF($N95=0,0,IF(AND($F95&lt;=EOMONTH(DATE(PlanYear,5,1),0),IF(ISNUMBER($G95),$G95,$F95)&gt;=DATE(PlanYear,5,1)),1,0))</f>
        <v>0</v>
      </c>
      <c r="T95">
        <f>IF($N95=0,0,IF(AND($F95&lt;=EOMONTH(DATE(PlanYear,6,1),0),IF(ISNUMBER($G95),$G95,$F95)&gt;=DATE(PlanYear,6,1)),1,0))</f>
        <v>0</v>
      </c>
      <c r="U95">
        <f>IF($N95=0,0,IF(AND($F95&lt;=EOMONTH(DATE(PlanYear,7,1),0),IF(ISNUMBER($G95),$G95,$F95)&gt;=DATE(PlanYear,7,1)),1,0))</f>
        <v>0</v>
      </c>
      <c r="V95">
        <f>IF($N95=0,0,IF(AND($F95&lt;=EOMONTH(DATE(PlanYear,8,1),0),IF(ISNUMBER($G95),$G95,$F95)&gt;=DATE(PlanYear,8,1)),1,0))</f>
        <v>0</v>
      </c>
      <c r="W95">
        <f>IF($N95=0,0,IF(AND($F95&lt;=EOMONTH(DATE(PlanYear,9,1),0),IF(ISNUMBER($G95),$G95,$F95)&gt;=DATE(PlanYear,9,1)),1,0))</f>
        <v>0</v>
      </c>
      <c r="X95">
        <f>IF($N95=0,0,IF(AND($F95&lt;=EOMONTH(DATE(PlanYear,10,1),0),IF(ISNUMBER($G95),$G95,$F95)&gt;=DATE(PlanYear,10,1)),1,0))</f>
        <v>0</v>
      </c>
      <c r="Y95">
        <f>IF($N95=0,0,IF(AND($F95&lt;=EOMONTH(DATE(PlanYear,11,1),0),IF(ISNUMBER($G95),$G95,$F95)&gt;=DATE(PlanYear,11,1)),1,0))</f>
        <v>0</v>
      </c>
      <c r="Z95">
        <f>IF($N95=0,0,IF(AND($F95&lt;=EOMONTH(DATE(PlanYear,12,1),0),IF(ISNUMBER($G95),$G95,$F95)&gt;=DATE(PlanYear,12,1)),1,0))</f>
        <v>0</v>
      </c>
      <c r="AA95">
        <f>SUM($O95:$Z95)</f>
        <v>0</v>
      </c>
    </row>
    <row r="96" spans="1:27">
      <c r="A96" s="42">
        <f>IF($B96="","","ACT-"&amp;TEXT(ROW()-4,"000"))</f>
        <v>0</v>
      </c>
      <c r="M96" s="43">
        <f>IF(COUNTA($B96:$K96)=0,"",IF($B96="","Missing activity name",IF($C96="","Missing practice",IF(COUNTIF(PracticeNames,$C96)=0,"Practice not in Lists",IF($D96="","Missing motion",IF(NOT(ISNUMBER($F96)),"Missing or invalid start date",IF(AND(ISNUMBER($G96),$G96&lt;$F96),"End date before start",IF(AND($N96=1,$AA96=0),"Outside planning year","OK"))))))))</f>
        <v>0</v>
      </c>
      <c r="N96">
        <f>IF(AND($B96&lt;&gt;"",$C96&lt;&gt;"",$D96&lt;&gt;"",ISNUMBER($F96),COUNTIF(PracticeNames,$C96)&gt;0,COUNTIF(MotionNames,$D96)&gt;0,NOT(AND(ISNUMBER($G96),$G96&lt;$F96))),IF(StatusFilter="All (excl. Cancelled)",IF($H96="Cancelled",0,1),IF(StatusFilter="All",1,IF($H96=StatusFilter,1,0))),0)</f>
        <v>0</v>
      </c>
      <c r="O96">
        <f>IF($N96=0,0,IF(AND($F96&lt;=EOMONTH(DATE(PlanYear,1,1),0),IF(ISNUMBER($G96),$G96,$F96)&gt;=DATE(PlanYear,1,1)),1,0))</f>
        <v>0</v>
      </c>
      <c r="P96">
        <f>IF($N96=0,0,IF(AND($F96&lt;=EOMONTH(DATE(PlanYear,2,1),0),IF(ISNUMBER($G96),$G96,$F96)&gt;=DATE(PlanYear,2,1)),1,0))</f>
        <v>0</v>
      </c>
      <c r="Q96">
        <f>IF($N96=0,0,IF(AND($F96&lt;=EOMONTH(DATE(PlanYear,3,1),0),IF(ISNUMBER($G96),$G96,$F96)&gt;=DATE(PlanYear,3,1)),1,0))</f>
        <v>0</v>
      </c>
      <c r="R96">
        <f>IF($N96=0,0,IF(AND($F96&lt;=EOMONTH(DATE(PlanYear,4,1),0),IF(ISNUMBER($G96),$G96,$F96)&gt;=DATE(PlanYear,4,1)),1,0))</f>
        <v>0</v>
      </c>
      <c r="S96">
        <f>IF($N96=0,0,IF(AND($F96&lt;=EOMONTH(DATE(PlanYear,5,1),0),IF(ISNUMBER($G96),$G96,$F96)&gt;=DATE(PlanYear,5,1)),1,0))</f>
        <v>0</v>
      </c>
      <c r="T96">
        <f>IF($N96=0,0,IF(AND($F96&lt;=EOMONTH(DATE(PlanYear,6,1),0),IF(ISNUMBER($G96),$G96,$F96)&gt;=DATE(PlanYear,6,1)),1,0))</f>
        <v>0</v>
      </c>
      <c r="U96">
        <f>IF($N96=0,0,IF(AND($F96&lt;=EOMONTH(DATE(PlanYear,7,1),0),IF(ISNUMBER($G96),$G96,$F96)&gt;=DATE(PlanYear,7,1)),1,0))</f>
        <v>0</v>
      </c>
      <c r="V96">
        <f>IF($N96=0,0,IF(AND($F96&lt;=EOMONTH(DATE(PlanYear,8,1),0),IF(ISNUMBER($G96),$G96,$F96)&gt;=DATE(PlanYear,8,1)),1,0))</f>
        <v>0</v>
      </c>
      <c r="W96">
        <f>IF($N96=0,0,IF(AND($F96&lt;=EOMONTH(DATE(PlanYear,9,1),0),IF(ISNUMBER($G96),$G96,$F96)&gt;=DATE(PlanYear,9,1)),1,0))</f>
        <v>0</v>
      </c>
      <c r="X96">
        <f>IF($N96=0,0,IF(AND($F96&lt;=EOMONTH(DATE(PlanYear,10,1),0),IF(ISNUMBER($G96),$G96,$F96)&gt;=DATE(PlanYear,10,1)),1,0))</f>
        <v>0</v>
      </c>
      <c r="Y96">
        <f>IF($N96=0,0,IF(AND($F96&lt;=EOMONTH(DATE(PlanYear,11,1),0),IF(ISNUMBER($G96),$G96,$F96)&gt;=DATE(PlanYear,11,1)),1,0))</f>
        <v>0</v>
      </c>
      <c r="Z96">
        <f>IF($N96=0,0,IF(AND($F96&lt;=EOMONTH(DATE(PlanYear,12,1),0),IF(ISNUMBER($G96),$G96,$F96)&gt;=DATE(PlanYear,12,1)),1,0))</f>
        <v>0</v>
      </c>
      <c r="AA96">
        <f>SUM($O96:$Z96)</f>
        <v>0</v>
      </c>
    </row>
    <row r="97" spans="1:27">
      <c r="A97" s="42">
        <f>IF($B97="","","ACT-"&amp;TEXT(ROW()-4,"000"))</f>
        <v>0</v>
      </c>
      <c r="M97" s="43">
        <f>IF(COUNTA($B97:$K97)=0,"",IF($B97="","Missing activity name",IF($C97="","Missing practice",IF(COUNTIF(PracticeNames,$C97)=0,"Practice not in Lists",IF($D97="","Missing motion",IF(NOT(ISNUMBER($F97)),"Missing or invalid start date",IF(AND(ISNUMBER($G97),$G97&lt;$F97),"End date before start",IF(AND($N97=1,$AA97=0),"Outside planning year","OK"))))))))</f>
        <v>0</v>
      </c>
      <c r="N97">
        <f>IF(AND($B97&lt;&gt;"",$C97&lt;&gt;"",$D97&lt;&gt;"",ISNUMBER($F97),COUNTIF(PracticeNames,$C97)&gt;0,COUNTIF(MotionNames,$D97)&gt;0,NOT(AND(ISNUMBER($G97),$G97&lt;$F97))),IF(StatusFilter="All (excl. Cancelled)",IF($H97="Cancelled",0,1),IF(StatusFilter="All",1,IF($H97=StatusFilter,1,0))),0)</f>
        <v>0</v>
      </c>
      <c r="O97">
        <f>IF($N97=0,0,IF(AND($F97&lt;=EOMONTH(DATE(PlanYear,1,1),0),IF(ISNUMBER($G97),$G97,$F97)&gt;=DATE(PlanYear,1,1)),1,0))</f>
        <v>0</v>
      </c>
      <c r="P97">
        <f>IF($N97=0,0,IF(AND($F97&lt;=EOMONTH(DATE(PlanYear,2,1),0),IF(ISNUMBER($G97),$G97,$F97)&gt;=DATE(PlanYear,2,1)),1,0))</f>
        <v>0</v>
      </c>
      <c r="Q97">
        <f>IF($N97=0,0,IF(AND($F97&lt;=EOMONTH(DATE(PlanYear,3,1),0),IF(ISNUMBER($G97),$G97,$F97)&gt;=DATE(PlanYear,3,1)),1,0))</f>
        <v>0</v>
      </c>
      <c r="R97">
        <f>IF($N97=0,0,IF(AND($F97&lt;=EOMONTH(DATE(PlanYear,4,1),0),IF(ISNUMBER($G97),$G97,$F97)&gt;=DATE(PlanYear,4,1)),1,0))</f>
        <v>0</v>
      </c>
      <c r="S97">
        <f>IF($N97=0,0,IF(AND($F97&lt;=EOMONTH(DATE(PlanYear,5,1),0),IF(ISNUMBER($G97),$G97,$F97)&gt;=DATE(PlanYear,5,1)),1,0))</f>
        <v>0</v>
      </c>
      <c r="T97">
        <f>IF($N97=0,0,IF(AND($F97&lt;=EOMONTH(DATE(PlanYear,6,1),0),IF(ISNUMBER($G97),$G97,$F97)&gt;=DATE(PlanYear,6,1)),1,0))</f>
        <v>0</v>
      </c>
      <c r="U97">
        <f>IF($N97=0,0,IF(AND($F97&lt;=EOMONTH(DATE(PlanYear,7,1),0),IF(ISNUMBER($G97),$G97,$F97)&gt;=DATE(PlanYear,7,1)),1,0))</f>
        <v>0</v>
      </c>
      <c r="V97">
        <f>IF($N97=0,0,IF(AND($F97&lt;=EOMONTH(DATE(PlanYear,8,1),0),IF(ISNUMBER($G97),$G97,$F97)&gt;=DATE(PlanYear,8,1)),1,0))</f>
        <v>0</v>
      </c>
      <c r="W97">
        <f>IF($N97=0,0,IF(AND($F97&lt;=EOMONTH(DATE(PlanYear,9,1),0),IF(ISNUMBER($G97),$G97,$F97)&gt;=DATE(PlanYear,9,1)),1,0))</f>
        <v>0</v>
      </c>
      <c r="X97">
        <f>IF($N97=0,0,IF(AND($F97&lt;=EOMONTH(DATE(PlanYear,10,1),0),IF(ISNUMBER($G97),$G97,$F97)&gt;=DATE(PlanYear,10,1)),1,0))</f>
        <v>0</v>
      </c>
      <c r="Y97">
        <f>IF($N97=0,0,IF(AND($F97&lt;=EOMONTH(DATE(PlanYear,11,1),0),IF(ISNUMBER($G97),$G97,$F97)&gt;=DATE(PlanYear,11,1)),1,0))</f>
        <v>0</v>
      </c>
      <c r="Z97">
        <f>IF($N97=0,0,IF(AND($F97&lt;=EOMONTH(DATE(PlanYear,12,1),0),IF(ISNUMBER($G97),$G97,$F97)&gt;=DATE(PlanYear,12,1)),1,0))</f>
        <v>0</v>
      </c>
      <c r="AA97">
        <f>SUM($O97:$Z97)</f>
        <v>0</v>
      </c>
    </row>
    <row r="98" spans="1:27">
      <c r="A98" s="42">
        <f>IF($B98="","","ACT-"&amp;TEXT(ROW()-4,"000"))</f>
        <v>0</v>
      </c>
      <c r="M98" s="43">
        <f>IF(COUNTA($B98:$K98)=0,"",IF($B98="","Missing activity name",IF($C98="","Missing practice",IF(COUNTIF(PracticeNames,$C98)=0,"Practice not in Lists",IF($D98="","Missing motion",IF(NOT(ISNUMBER($F98)),"Missing or invalid start date",IF(AND(ISNUMBER($G98),$G98&lt;$F98),"End date before start",IF(AND($N98=1,$AA98=0),"Outside planning year","OK"))))))))</f>
        <v>0</v>
      </c>
      <c r="N98">
        <f>IF(AND($B98&lt;&gt;"",$C98&lt;&gt;"",$D98&lt;&gt;"",ISNUMBER($F98),COUNTIF(PracticeNames,$C98)&gt;0,COUNTIF(MotionNames,$D98)&gt;0,NOT(AND(ISNUMBER($G98),$G98&lt;$F98))),IF(StatusFilter="All (excl. Cancelled)",IF($H98="Cancelled",0,1),IF(StatusFilter="All",1,IF($H98=StatusFilter,1,0))),0)</f>
        <v>0</v>
      </c>
      <c r="O98">
        <f>IF($N98=0,0,IF(AND($F98&lt;=EOMONTH(DATE(PlanYear,1,1),0),IF(ISNUMBER($G98),$G98,$F98)&gt;=DATE(PlanYear,1,1)),1,0))</f>
        <v>0</v>
      </c>
      <c r="P98">
        <f>IF($N98=0,0,IF(AND($F98&lt;=EOMONTH(DATE(PlanYear,2,1),0),IF(ISNUMBER($G98),$G98,$F98)&gt;=DATE(PlanYear,2,1)),1,0))</f>
        <v>0</v>
      </c>
      <c r="Q98">
        <f>IF($N98=0,0,IF(AND($F98&lt;=EOMONTH(DATE(PlanYear,3,1),0),IF(ISNUMBER($G98),$G98,$F98)&gt;=DATE(PlanYear,3,1)),1,0))</f>
        <v>0</v>
      </c>
      <c r="R98">
        <f>IF($N98=0,0,IF(AND($F98&lt;=EOMONTH(DATE(PlanYear,4,1),0),IF(ISNUMBER($G98),$G98,$F98)&gt;=DATE(PlanYear,4,1)),1,0))</f>
        <v>0</v>
      </c>
      <c r="S98">
        <f>IF($N98=0,0,IF(AND($F98&lt;=EOMONTH(DATE(PlanYear,5,1),0),IF(ISNUMBER($G98),$G98,$F98)&gt;=DATE(PlanYear,5,1)),1,0))</f>
        <v>0</v>
      </c>
      <c r="T98">
        <f>IF($N98=0,0,IF(AND($F98&lt;=EOMONTH(DATE(PlanYear,6,1),0),IF(ISNUMBER($G98),$G98,$F98)&gt;=DATE(PlanYear,6,1)),1,0))</f>
        <v>0</v>
      </c>
      <c r="U98">
        <f>IF($N98=0,0,IF(AND($F98&lt;=EOMONTH(DATE(PlanYear,7,1),0),IF(ISNUMBER($G98),$G98,$F98)&gt;=DATE(PlanYear,7,1)),1,0))</f>
        <v>0</v>
      </c>
      <c r="V98">
        <f>IF($N98=0,0,IF(AND($F98&lt;=EOMONTH(DATE(PlanYear,8,1),0),IF(ISNUMBER($G98),$G98,$F98)&gt;=DATE(PlanYear,8,1)),1,0))</f>
        <v>0</v>
      </c>
      <c r="W98">
        <f>IF($N98=0,0,IF(AND($F98&lt;=EOMONTH(DATE(PlanYear,9,1),0),IF(ISNUMBER($G98),$G98,$F98)&gt;=DATE(PlanYear,9,1)),1,0))</f>
        <v>0</v>
      </c>
      <c r="X98">
        <f>IF($N98=0,0,IF(AND($F98&lt;=EOMONTH(DATE(PlanYear,10,1),0),IF(ISNUMBER($G98),$G98,$F98)&gt;=DATE(PlanYear,10,1)),1,0))</f>
        <v>0</v>
      </c>
      <c r="Y98">
        <f>IF($N98=0,0,IF(AND($F98&lt;=EOMONTH(DATE(PlanYear,11,1),0),IF(ISNUMBER($G98),$G98,$F98)&gt;=DATE(PlanYear,11,1)),1,0))</f>
        <v>0</v>
      </c>
      <c r="Z98">
        <f>IF($N98=0,0,IF(AND($F98&lt;=EOMONTH(DATE(PlanYear,12,1),0),IF(ISNUMBER($G98),$G98,$F98)&gt;=DATE(PlanYear,12,1)),1,0))</f>
        <v>0</v>
      </c>
      <c r="AA98">
        <f>SUM($O98:$Z98)</f>
        <v>0</v>
      </c>
    </row>
    <row r="99" spans="1:27">
      <c r="A99" s="42">
        <f>IF($B99="","","ACT-"&amp;TEXT(ROW()-4,"000"))</f>
        <v>0</v>
      </c>
      <c r="M99" s="43">
        <f>IF(COUNTA($B99:$K99)=0,"",IF($B99="","Missing activity name",IF($C99="","Missing practice",IF(COUNTIF(PracticeNames,$C99)=0,"Practice not in Lists",IF($D99="","Missing motion",IF(NOT(ISNUMBER($F99)),"Missing or invalid start date",IF(AND(ISNUMBER($G99),$G99&lt;$F99),"End date before start",IF(AND($N99=1,$AA99=0),"Outside planning year","OK"))))))))</f>
        <v>0</v>
      </c>
      <c r="N99">
        <f>IF(AND($B99&lt;&gt;"",$C99&lt;&gt;"",$D99&lt;&gt;"",ISNUMBER($F99),COUNTIF(PracticeNames,$C99)&gt;0,COUNTIF(MotionNames,$D99)&gt;0,NOT(AND(ISNUMBER($G99),$G99&lt;$F99))),IF(StatusFilter="All (excl. Cancelled)",IF($H99="Cancelled",0,1),IF(StatusFilter="All",1,IF($H99=StatusFilter,1,0))),0)</f>
        <v>0</v>
      </c>
      <c r="O99">
        <f>IF($N99=0,0,IF(AND($F99&lt;=EOMONTH(DATE(PlanYear,1,1),0),IF(ISNUMBER($G99),$G99,$F99)&gt;=DATE(PlanYear,1,1)),1,0))</f>
        <v>0</v>
      </c>
      <c r="P99">
        <f>IF($N99=0,0,IF(AND($F99&lt;=EOMONTH(DATE(PlanYear,2,1),0),IF(ISNUMBER($G99),$G99,$F99)&gt;=DATE(PlanYear,2,1)),1,0))</f>
        <v>0</v>
      </c>
      <c r="Q99">
        <f>IF($N99=0,0,IF(AND($F99&lt;=EOMONTH(DATE(PlanYear,3,1),0),IF(ISNUMBER($G99),$G99,$F99)&gt;=DATE(PlanYear,3,1)),1,0))</f>
        <v>0</v>
      </c>
      <c r="R99">
        <f>IF($N99=0,0,IF(AND($F99&lt;=EOMONTH(DATE(PlanYear,4,1),0),IF(ISNUMBER($G99),$G99,$F99)&gt;=DATE(PlanYear,4,1)),1,0))</f>
        <v>0</v>
      </c>
      <c r="S99">
        <f>IF($N99=0,0,IF(AND($F99&lt;=EOMONTH(DATE(PlanYear,5,1),0),IF(ISNUMBER($G99),$G99,$F99)&gt;=DATE(PlanYear,5,1)),1,0))</f>
        <v>0</v>
      </c>
      <c r="T99">
        <f>IF($N99=0,0,IF(AND($F99&lt;=EOMONTH(DATE(PlanYear,6,1),0),IF(ISNUMBER($G99),$G99,$F99)&gt;=DATE(PlanYear,6,1)),1,0))</f>
        <v>0</v>
      </c>
      <c r="U99">
        <f>IF($N99=0,0,IF(AND($F99&lt;=EOMONTH(DATE(PlanYear,7,1),0),IF(ISNUMBER($G99),$G99,$F99)&gt;=DATE(PlanYear,7,1)),1,0))</f>
        <v>0</v>
      </c>
      <c r="V99">
        <f>IF($N99=0,0,IF(AND($F99&lt;=EOMONTH(DATE(PlanYear,8,1),0),IF(ISNUMBER($G99),$G99,$F99)&gt;=DATE(PlanYear,8,1)),1,0))</f>
        <v>0</v>
      </c>
      <c r="W99">
        <f>IF($N99=0,0,IF(AND($F99&lt;=EOMONTH(DATE(PlanYear,9,1),0),IF(ISNUMBER($G99),$G99,$F99)&gt;=DATE(PlanYear,9,1)),1,0))</f>
        <v>0</v>
      </c>
      <c r="X99">
        <f>IF($N99=0,0,IF(AND($F99&lt;=EOMONTH(DATE(PlanYear,10,1),0),IF(ISNUMBER($G99),$G99,$F99)&gt;=DATE(PlanYear,10,1)),1,0))</f>
        <v>0</v>
      </c>
      <c r="Y99">
        <f>IF($N99=0,0,IF(AND($F99&lt;=EOMONTH(DATE(PlanYear,11,1),0),IF(ISNUMBER($G99),$G99,$F99)&gt;=DATE(PlanYear,11,1)),1,0))</f>
        <v>0</v>
      </c>
      <c r="Z99">
        <f>IF($N99=0,0,IF(AND($F99&lt;=EOMONTH(DATE(PlanYear,12,1),0),IF(ISNUMBER($G99),$G99,$F99)&gt;=DATE(PlanYear,12,1)),1,0))</f>
        <v>0</v>
      </c>
      <c r="AA99">
        <f>SUM($O99:$Z99)</f>
        <v>0</v>
      </c>
    </row>
    <row r="100" spans="1:27">
      <c r="A100" s="42">
        <f>IF($B100="","","ACT-"&amp;TEXT(ROW()-4,"000"))</f>
        <v>0</v>
      </c>
      <c r="M100" s="43">
        <f>IF(COUNTA($B100:$K100)=0,"",IF($B100="","Missing activity name",IF($C100="","Missing practice",IF(COUNTIF(PracticeNames,$C100)=0,"Practice not in Lists",IF($D100="","Missing motion",IF(NOT(ISNUMBER($F100)),"Missing or invalid start date",IF(AND(ISNUMBER($G100),$G100&lt;$F100),"End date before start",IF(AND($N100=1,$AA100=0),"Outside planning year","OK"))))))))</f>
        <v>0</v>
      </c>
      <c r="N100">
        <f>IF(AND($B100&lt;&gt;"",$C100&lt;&gt;"",$D100&lt;&gt;"",ISNUMBER($F100),COUNTIF(PracticeNames,$C100)&gt;0,COUNTIF(MotionNames,$D100)&gt;0,NOT(AND(ISNUMBER($G100),$G100&lt;$F100))),IF(StatusFilter="All (excl. Cancelled)",IF($H100="Cancelled",0,1),IF(StatusFilter="All",1,IF($H100=StatusFilter,1,0))),0)</f>
        <v>0</v>
      </c>
      <c r="O100">
        <f>IF($N100=0,0,IF(AND($F100&lt;=EOMONTH(DATE(PlanYear,1,1),0),IF(ISNUMBER($G100),$G100,$F100)&gt;=DATE(PlanYear,1,1)),1,0))</f>
        <v>0</v>
      </c>
      <c r="P100">
        <f>IF($N100=0,0,IF(AND($F100&lt;=EOMONTH(DATE(PlanYear,2,1),0),IF(ISNUMBER($G100),$G100,$F100)&gt;=DATE(PlanYear,2,1)),1,0))</f>
        <v>0</v>
      </c>
      <c r="Q100">
        <f>IF($N100=0,0,IF(AND($F100&lt;=EOMONTH(DATE(PlanYear,3,1),0),IF(ISNUMBER($G100),$G100,$F100)&gt;=DATE(PlanYear,3,1)),1,0))</f>
        <v>0</v>
      </c>
      <c r="R100">
        <f>IF($N100=0,0,IF(AND($F100&lt;=EOMONTH(DATE(PlanYear,4,1),0),IF(ISNUMBER($G100),$G100,$F100)&gt;=DATE(PlanYear,4,1)),1,0))</f>
        <v>0</v>
      </c>
      <c r="S100">
        <f>IF($N100=0,0,IF(AND($F100&lt;=EOMONTH(DATE(PlanYear,5,1),0),IF(ISNUMBER($G100),$G100,$F100)&gt;=DATE(PlanYear,5,1)),1,0))</f>
        <v>0</v>
      </c>
      <c r="T100">
        <f>IF($N100=0,0,IF(AND($F100&lt;=EOMONTH(DATE(PlanYear,6,1),0),IF(ISNUMBER($G100),$G100,$F100)&gt;=DATE(PlanYear,6,1)),1,0))</f>
        <v>0</v>
      </c>
      <c r="U100">
        <f>IF($N100=0,0,IF(AND($F100&lt;=EOMONTH(DATE(PlanYear,7,1),0),IF(ISNUMBER($G100),$G100,$F100)&gt;=DATE(PlanYear,7,1)),1,0))</f>
        <v>0</v>
      </c>
      <c r="V100">
        <f>IF($N100=0,0,IF(AND($F100&lt;=EOMONTH(DATE(PlanYear,8,1),0),IF(ISNUMBER($G100),$G100,$F100)&gt;=DATE(PlanYear,8,1)),1,0))</f>
        <v>0</v>
      </c>
      <c r="W100">
        <f>IF($N100=0,0,IF(AND($F100&lt;=EOMONTH(DATE(PlanYear,9,1),0),IF(ISNUMBER($G100),$G100,$F100)&gt;=DATE(PlanYear,9,1)),1,0))</f>
        <v>0</v>
      </c>
      <c r="X100">
        <f>IF($N100=0,0,IF(AND($F100&lt;=EOMONTH(DATE(PlanYear,10,1),0),IF(ISNUMBER($G100),$G100,$F100)&gt;=DATE(PlanYear,10,1)),1,0))</f>
        <v>0</v>
      </c>
      <c r="Y100">
        <f>IF($N100=0,0,IF(AND($F100&lt;=EOMONTH(DATE(PlanYear,11,1),0),IF(ISNUMBER($G100),$G100,$F100)&gt;=DATE(PlanYear,11,1)),1,0))</f>
        <v>0</v>
      </c>
      <c r="Z100">
        <f>IF($N100=0,0,IF(AND($F100&lt;=EOMONTH(DATE(PlanYear,12,1),0),IF(ISNUMBER($G100),$G100,$F100)&gt;=DATE(PlanYear,12,1)),1,0))</f>
        <v>0</v>
      </c>
      <c r="AA100">
        <f>SUM($O100:$Z100)</f>
        <v>0</v>
      </c>
    </row>
    <row r="101" spans="1:27">
      <c r="A101" s="42">
        <f>IF($B101="","","ACT-"&amp;TEXT(ROW()-4,"000"))</f>
        <v>0</v>
      </c>
      <c r="M101" s="43">
        <f>IF(COUNTA($B101:$K101)=0,"",IF($B101="","Missing activity name",IF($C101="","Missing practice",IF(COUNTIF(PracticeNames,$C101)=0,"Practice not in Lists",IF($D101="","Missing motion",IF(NOT(ISNUMBER($F101)),"Missing or invalid start date",IF(AND(ISNUMBER($G101),$G101&lt;$F101),"End date before start",IF(AND($N101=1,$AA101=0),"Outside planning year","OK"))))))))</f>
        <v>0</v>
      </c>
      <c r="N101">
        <f>IF(AND($B101&lt;&gt;"",$C101&lt;&gt;"",$D101&lt;&gt;"",ISNUMBER($F101),COUNTIF(PracticeNames,$C101)&gt;0,COUNTIF(MotionNames,$D101)&gt;0,NOT(AND(ISNUMBER($G101),$G101&lt;$F101))),IF(StatusFilter="All (excl. Cancelled)",IF($H101="Cancelled",0,1),IF(StatusFilter="All",1,IF($H101=StatusFilter,1,0))),0)</f>
        <v>0</v>
      </c>
      <c r="O101">
        <f>IF($N101=0,0,IF(AND($F101&lt;=EOMONTH(DATE(PlanYear,1,1),0),IF(ISNUMBER($G101),$G101,$F101)&gt;=DATE(PlanYear,1,1)),1,0))</f>
        <v>0</v>
      </c>
      <c r="P101">
        <f>IF($N101=0,0,IF(AND($F101&lt;=EOMONTH(DATE(PlanYear,2,1),0),IF(ISNUMBER($G101),$G101,$F101)&gt;=DATE(PlanYear,2,1)),1,0))</f>
        <v>0</v>
      </c>
      <c r="Q101">
        <f>IF($N101=0,0,IF(AND($F101&lt;=EOMONTH(DATE(PlanYear,3,1),0),IF(ISNUMBER($G101),$G101,$F101)&gt;=DATE(PlanYear,3,1)),1,0))</f>
        <v>0</v>
      </c>
      <c r="R101">
        <f>IF($N101=0,0,IF(AND($F101&lt;=EOMONTH(DATE(PlanYear,4,1),0),IF(ISNUMBER($G101),$G101,$F101)&gt;=DATE(PlanYear,4,1)),1,0))</f>
        <v>0</v>
      </c>
      <c r="S101">
        <f>IF($N101=0,0,IF(AND($F101&lt;=EOMONTH(DATE(PlanYear,5,1),0),IF(ISNUMBER($G101),$G101,$F101)&gt;=DATE(PlanYear,5,1)),1,0))</f>
        <v>0</v>
      </c>
      <c r="T101">
        <f>IF($N101=0,0,IF(AND($F101&lt;=EOMONTH(DATE(PlanYear,6,1),0),IF(ISNUMBER($G101),$G101,$F101)&gt;=DATE(PlanYear,6,1)),1,0))</f>
        <v>0</v>
      </c>
      <c r="U101">
        <f>IF($N101=0,0,IF(AND($F101&lt;=EOMONTH(DATE(PlanYear,7,1),0),IF(ISNUMBER($G101),$G101,$F101)&gt;=DATE(PlanYear,7,1)),1,0))</f>
        <v>0</v>
      </c>
      <c r="V101">
        <f>IF($N101=0,0,IF(AND($F101&lt;=EOMONTH(DATE(PlanYear,8,1),0),IF(ISNUMBER($G101),$G101,$F101)&gt;=DATE(PlanYear,8,1)),1,0))</f>
        <v>0</v>
      </c>
      <c r="W101">
        <f>IF($N101=0,0,IF(AND($F101&lt;=EOMONTH(DATE(PlanYear,9,1),0),IF(ISNUMBER($G101),$G101,$F101)&gt;=DATE(PlanYear,9,1)),1,0))</f>
        <v>0</v>
      </c>
      <c r="X101">
        <f>IF($N101=0,0,IF(AND($F101&lt;=EOMONTH(DATE(PlanYear,10,1),0),IF(ISNUMBER($G101),$G101,$F101)&gt;=DATE(PlanYear,10,1)),1,0))</f>
        <v>0</v>
      </c>
      <c r="Y101">
        <f>IF($N101=0,0,IF(AND($F101&lt;=EOMONTH(DATE(PlanYear,11,1),0),IF(ISNUMBER($G101),$G101,$F101)&gt;=DATE(PlanYear,11,1)),1,0))</f>
        <v>0</v>
      </c>
      <c r="Z101">
        <f>IF($N101=0,0,IF(AND($F101&lt;=EOMONTH(DATE(PlanYear,12,1),0),IF(ISNUMBER($G101),$G101,$F101)&gt;=DATE(PlanYear,12,1)),1,0))</f>
        <v>0</v>
      </c>
      <c r="AA101">
        <f>SUM($O101:$Z101)</f>
        <v>0</v>
      </c>
    </row>
    <row r="102" spans="1:27">
      <c r="A102" s="42">
        <f>IF($B102="","","ACT-"&amp;TEXT(ROW()-4,"000"))</f>
        <v>0</v>
      </c>
      <c r="M102" s="43">
        <f>IF(COUNTA($B102:$K102)=0,"",IF($B102="","Missing activity name",IF($C102="","Missing practice",IF(COUNTIF(PracticeNames,$C102)=0,"Practice not in Lists",IF($D102="","Missing motion",IF(NOT(ISNUMBER($F102)),"Missing or invalid start date",IF(AND(ISNUMBER($G102),$G102&lt;$F102),"End date before start",IF(AND($N102=1,$AA102=0),"Outside planning year","OK"))))))))</f>
        <v>0</v>
      </c>
      <c r="N102">
        <f>IF(AND($B102&lt;&gt;"",$C102&lt;&gt;"",$D102&lt;&gt;"",ISNUMBER($F102),COUNTIF(PracticeNames,$C102)&gt;0,COUNTIF(MotionNames,$D102)&gt;0,NOT(AND(ISNUMBER($G102),$G102&lt;$F102))),IF(StatusFilter="All (excl. Cancelled)",IF($H102="Cancelled",0,1),IF(StatusFilter="All",1,IF($H102=StatusFilter,1,0))),0)</f>
        <v>0</v>
      </c>
      <c r="O102">
        <f>IF($N102=0,0,IF(AND($F102&lt;=EOMONTH(DATE(PlanYear,1,1),0),IF(ISNUMBER($G102),$G102,$F102)&gt;=DATE(PlanYear,1,1)),1,0))</f>
        <v>0</v>
      </c>
      <c r="P102">
        <f>IF($N102=0,0,IF(AND($F102&lt;=EOMONTH(DATE(PlanYear,2,1),0),IF(ISNUMBER($G102),$G102,$F102)&gt;=DATE(PlanYear,2,1)),1,0))</f>
        <v>0</v>
      </c>
      <c r="Q102">
        <f>IF($N102=0,0,IF(AND($F102&lt;=EOMONTH(DATE(PlanYear,3,1),0),IF(ISNUMBER($G102),$G102,$F102)&gt;=DATE(PlanYear,3,1)),1,0))</f>
        <v>0</v>
      </c>
      <c r="R102">
        <f>IF($N102=0,0,IF(AND($F102&lt;=EOMONTH(DATE(PlanYear,4,1),0),IF(ISNUMBER($G102),$G102,$F102)&gt;=DATE(PlanYear,4,1)),1,0))</f>
        <v>0</v>
      </c>
      <c r="S102">
        <f>IF($N102=0,0,IF(AND($F102&lt;=EOMONTH(DATE(PlanYear,5,1),0),IF(ISNUMBER($G102),$G102,$F102)&gt;=DATE(PlanYear,5,1)),1,0))</f>
        <v>0</v>
      </c>
      <c r="T102">
        <f>IF($N102=0,0,IF(AND($F102&lt;=EOMONTH(DATE(PlanYear,6,1),0),IF(ISNUMBER($G102),$G102,$F102)&gt;=DATE(PlanYear,6,1)),1,0))</f>
        <v>0</v>
      </c>
      <c r="U102">
        <f>IF($N102=0,0,IF(AND($F102&lt;=EOMONTH(DATE(PlanYear,7,1),0),IF(ISNUMBER($G102),$G102,$F102)&gt;=DATE(PlanYear,7,1)),1,0))</f>
        <v>0</v>
      </c>
      <c r="V102">
        <f>IF($N102=0,0,IF(AND($F102&lt;=EOMONTH(DATE(PlanYear,8,1),0),IF(ISNUMBER($G102),$G102,$F102)&gt;=DATE(PlanYear,8,1)),1,0))</f>
        <v>0</v>
      </c>
      <c r="W102">
        <f>IF($N102=0,0,IF(AND($F102&lt;=EOMONTH(DATE(PlanYear,9,1),0),IF(ISNUMBER($G102),$G102,$F102)&gt;=DATE(PlanYear,9,1)),1,0))</f>
        <v>0</v>
      </c>
      <c r="X102">
        <f>IF($N102=0,0,IF(AND($F102&lt;=EOMONTH(DATE(PlanYear,10,1),0),IF(ISNUMBER($G102),$G102,$F102)&gt;=DATE(PlanYear,10,1)),1,0))</f>
        <v>0</v>
      </c>
      <c r="Y102">
        <f>IF($N102=0,0,IF(AND($F102&lt;=EOMONTH(DATE(PlanYear,11,1),0),IF(ISNUMBER($G102),$G102,$F102)&gt;=DATE(PlanYear,11,1)),1,0))</f>
        <v>0</v>
      </c>
      <c r="Z102">
        <f>IF($N102=0,0,IF(AND($F102&lt;=EOMONTH(DATE(PlanYear,12,1),0),IF(ISNUMBER($G102),$G102,$F102)&gt;=DATE(PlanYear,12,1)),1,0))</f>
        <v>0</v>
      </c>
      <c r="AA102">
        <f>SUM($O102:$Z102)</f>
        <v>0</v>
      </c>
    </row>
    <row r="103" spans="1:27">
      <c r="A103" s="42">
        <f>IF($B103="","","ACT-"&amp;TEXT(ROW()-4,"000"))</f>
        <v>0</v>
      </c>
      <c r="M103" s="43">
        <f>IF(COUNTA($B103:$K103)=0,"",IF($B103="","Missing activity name",IF($C103="","Missing practice",IF(COUNTIF(PracticeNames,$C103)=0,"Practice not in Lists",IF($D103="","Missing motion",IF(NOT(ISNUMBER($F103)),"Missing or invalid start date",IF(AND(ISNUMBER($G103),$G103&lt;$F103),"End date before start",IF(AND($N103=1,$AA103=0),"Outside planning year","OK"))))))))</f>
        <v>0</v>
      </c>
      <c r="N103">
        <f>IF(AND($B103&lt;&gt;"",$C103&lt;&gt;"",$D103&lt;&gt;"",ISNUMBER($F103),COUNTIF(PracticeNames,$C103)&gt;0,COUNTIF(MotionNames,$D103)&gt;0,NOT(AND(ISNUMBER($G103),$G103&lt;$F103))),IF(StatusFilter="All (excl. Cancelled)",IF($H103="Cancelled",0,1),IF(StatusFilter="All",1,IF($H103=StatusFilter,1,0))),0)</f>
        <v>0</v>
      </c>
      <c r="O103">
        <f>IF($N103=0,0,IF(AND($F103&lt;=EOMONTH(DATE(PlanYear,1,1),0),IF(ISNUMBER($G103),$G103,$F103)&gt;=DATE(PlanYear,1,1)),1,0))</f>
        <v>0</v>
      </c>
      <c r="P103">
        <f>IF($N103=0,0,IF(AND($F103&lt;=EOMONTH(DATE(PlanYear,2,1),0),IF(ISNUMBER($G103),$G103,$F103)&gt;=DATE(PlanYear,2,1)),1,0))</f>
        <v>0</v>
      </c>
      <c r="Q103">
        <f>IF($N103=0,0,IF(AND($F103&lt;=EOMONTH(DATE(PlanYear,3,1),0),IF(ISNUMBER($G103),$G103,$F103)&gt;=DATE(PlanYear,3,1)),1,0))</f>
        <v>0</v>
      </c>
      <c r="R103">
        <f>IF($N103=0,0,IF(AND($F103&lt;=EOMONTH(DATE(PlanYear,4,1),0),IF(ISNUMBER($G103),$G103,$F103)&gt;=DATE(PlanYear,4,1)),1,0))</f>
        <v>0</v>
      </c>
      <c r="S103">
        <f>IF($N103=0,0,IF(AND($F103&lt;=EOMONTH(DATE(PlanYear,5,1),0),IF(ISNUMBER($G103),$G103,$F103)&gt;=DATE(PlanYear,5,1)),1,0))</f>
        <v>0</v>
      </c>
      <c r="T103">
        <f>IF($N103=0,0,IF(AND($F103&lt;=EOMONTH(DATE(PlanYear,6,1),0),IF(ISNUMBER($G103),$G103,$F103)&gt;=DATE(PlanYear,6,1)),1,0))</f>
        <v>0</v>
      </c>
      <c r="U103">
        <f>IF($N103=0,0,IF(AND($F103&lt;=EOMONTH(DATE(PlanYear,7,1),0),IF(ISNUMBER($G103),$G103,$F103)&gt;=DATE(PlanYear,7,1)),1,0))</f>
        <v>0</v>
      </c>
      <c r="V103">
        <f>IF($N103=0,0,IF(AND($F103&lt;=EOMONTH(DATE(PlanYear,8,1),0),IF(ISNUMBER($G103),$G103,$F103)&gt;=DATE(PlanYear,8,1)),1,0))</f>
        <v>0</v>
      </c>
      <c r="W103">
        <f>IF($N103=0,0,IF(AND($F103&lt;=EOMONTH(DATE(PlanYear,9,1),0),IF(ISNUMBER($G103),$G103,$F103)&gt;=DATE(PlanYear,9,1)),1,0))</f>
        <v>0</v>
      </c>
      <c r="X103">
        <f>IF($N103=0,0,IF(AND($F103&lt;=EOMONTH(DATE(PlanYear,10,1),0),IF(ISNUMBER($G103),$G103,$F103)&gt;=DATE(PlanYear,10,1)),1,0))</f>
        <v>0</v>
      </c>
      <c r="Y103">
        <f>IF($N103=0,0,IF(AND($F103&lt;=EOMONTH(DATE(PlanYear,11,1),0),IF(ISNUMBER($G103),$G103,$F103)&gt;=DATE(PlanYear,11,1)),1,0))</f>
        <v>0</v>
      </c>
      <c r="Z103">
        <f>IF($N103=0,0,IF(AND($F103&lt;=EOMONTH(DATE(PlanYear,12,1),0),IF(ISNUMBER($G103),$G103,$F103)&gt;=DATE(PlanYear,12,1)),1,0))</f>
        <v>0</v>
      </c>
      <c r="AA103">
        <f>SUM($O103:$Z103)</f>
        <v>0</v>
      </c>
    </row>
    <row r="104" spans="1:27">
      <c r="A104" s="42">
        <f>IF($B104="","","ACT-"&amp;TEXT(ROW()-4,"000"))</f>
        <v>0</v>
      </c>
      <c r="M104" s="43">
        <f>IF(COUNTA($B104:$K104)=0,"",IF($B104="","Missing activity name",IF($C104="","Missing practice",IF(COUNTIF(PracticeNames,$C104)=0,"Practice not in Lists",IF($D104="","Missing motion",IF(NOT(ISNUMBER($F104)),"Missing or invalid start date",IF(AND(ISNUMBER($G104),$G104&lt;$F104),"End date before start",IF(AND($N104=1,$AA104=0),"Outside planning year","OK"))))))))</f>
        <v>0</v>
      </c>
      <c r="N104">
        <f>IF(AND($B104&lt;&gt;"",$C104&lt;&gt;"",$D104&lt;&gt;"",ISNUMBER($F104),COUNTIF(PracticeNames,$C104)&gt;0,COUNTIF(MotionNames,$D104)&gt;0,NOT(AND(ISNUMBER($G104),$G104&lt;$F104))),IF(StatusFilter="All (excl. Cancelled)",IF($H104="Cancelled",0,1),IF(StatusFilter="All",1,IF($H104=StatusFilter,1,0))),0)</f>
        <v>0</v>
      </c>
      <c r="O104">
        <f>IF($N104=0,0,IF(AND($F104&lt;=EOMONTH(DATE(PlanYear,1,1),0),IF(ISNUMBER($G104),$G104,$F104)&gt;=DATE(PlanYear,1,1)),1,0))</f>
        <v>0</v>
      </c>
      <c r="P104">
        <f>IF($N104=0,0,IF(AND($F104&lt;=EOMONTH(DATE(PlanYear,2,1),0),IF(ISNUMBER($G104),$G104,$F104)&gt;=DATE(PlanYear,2,1)),1,0))</f>
        <v>0</v>
      </c>
      <c r="Q104">
        <f>IF($N104=0,0,IF(AND($F104&lt;=EOMONTH(DATE(PlanYear,3,1),0),IF(ISNUMBER($G104),$G104,$F104)&gt;=DATE(PlanYear,3,1)),1,0))</f>
        <v>0</v>
      </c>
      <c r="R104">
        <f>IF($N104=0,0,IF(AND($F104&lt;=EOMONTH(DATE(PlanYear,4,1),0),IF(ISNUMBER($G104),$G104,$F104)&gt;=DATE(PlanYear,4,1)),1,0))</f>
        <v>0</v>
      </c>
      <c r="S104">
        <f>IF($N104=0,0,IF(AND($F104&lt;=EOMONTH(DATE(PlanYear,5,1),0),IF(ISNUMBER($G104),$G104,$F104)&gt;=DATE(PlanYear,5,1)),1,0))</f>
        <v>0</v>
      </c>
      <c r="T104">
        <f>IF($N104=0,0,IF(AND($F104&lt;=EOMONTH(DATE(PlanYear,6,1),0),IF(ISNUMBER($G104),$G104,$F104)&gt;=DATE(PlanYear,6,1)),1,0))</f>
        <v>0</v>
      </c>
      <c r="U104">
        <f>IF($N104=0,0,IF(AND($F104&lt;=EOMONTH(DATE(PlanYear,7,1),0),IF(ISNUMBER($G104),$G104,$F104)&gt;=DATE(PlanYear,7,1)),1,0))</f>
        <v>0</v>
      </c>
      <c r="V104">
        <f>IF($N104=0,0,IF(AND($F104&lt;=EOMONTH(DATE(PlanYear,8,1),0),IF(ISNUMBER($G104),$G104,$F104)&gt;=DATE(PlanYear,8,1)),1,0))</f>
        <v>0</v>
      </c>
      <c r="W104">
        <f>IF($N104=0,0,IF(AND($F104&lt;=EOMONTH(DATE(PlanYear,9,1),0),IF(ISNUMBER($G104),$G104,$F104)&gt;=DATE(PlanYear,9,1)),1,0))</f>
        <v>0</v>
      </c>
      <c r="X104">
        <f>IF($N104=0,0,IF(AND($F104&lt;=EOMONTH(DATE(PlanYear,10,1),0),IF(ISNUMBER($G104),$G104,$F104)&gt;=DATE(PlanYear,10,1)),1,0))</f>
        <v>0</v>
      </c>
      <c r="Y104">
        <f>IF($N104=0,0,IF(AND($F104&lt;=EOMONTH(DATE(PlanYear,11,1),0),IF(ISNUMBER($G104),$G104,$F104)&gt;=DATE(PlanYear,11,1)),1,0))</f>
        <v>0</v>
      </c>
      <c r="Z104">
        <f>IF($N104=0,0,IF(AND($F104&lt;=EOMONTH(DATE(PlanYear,12,1),0),IF(ISNUMBER($G104),$G104,$F104)&gt;=DATE(PlanYear,12,1)),1,0))</f>
        <v>0</v>
      </c>
      <c r="AA104">
        <f>SUM($O104:$Z104)</f>
        <v>0</v>
      </c>
    </row>
    <row r="105" spans="1:27">
      <c r="A105" s="42">
        <f>IF($B105="","","ACT-"&amp;TEXT(ROW()-4,"000"))</f>
        <v>0</v>
      </c>
      <c r="M105" s="43">
        <f>IF(COUNTA($B105:$K105)=0,"",IF($B105="","Missing activity name",IF($C105="","Missing practice",IF(COUNTIF(PracticeNames,$C105)=0,"Practice not in Lists",IF($D105="","Missing motion",IF(NOT(ISNUMBER($F105)),"Missing or invalid start date",IF(AND(ISNUMBER($G105),$G105&lt;$F105),"End date before start",IF(AND($N105=1,$AA105=0),"Outside planning year","OK"))))))))</f>
        <v>0</v>
      </c>
      <c r="N105">
        <f>IF(AND($B105&lt;&gt;"",$C105&lt;&gt;"",$D105&lt;&gt;"",ISNUMBER($F105),COUNTIF(PracticeNames,$C105)&gt;0,COUNTIF(MotionNames,$D105)&gt;0,NOT(AND(ISNUMBER($G105),$G105&lt;$F105))),IF(StatusFilter="All (excl. Cancelled)",IF($H105="Cancelled",0,1),IF(StatusFilter="All",1,IF($H105=StatusFilter,1,0))),0)</f>
        <v>0</v>
      </c>
      <c r="O105">
        <f>IF($N105=0,0,IF(AND($F105&lt;=EOMONTH(DATE(PlanYear,1,1),0),IF(ISNUMBER($G105),$G105,$F105)&gt;=DATE(PlanYear,1,1)),1,0))</f>
        <v>0</v>
      </c>
      <c r="P105">
        <f>IF($N105=0,0,IF(AND($F105&lt;=EOMONTH(DATE(PlanYear,2,1),0),IF(ISNUMBER($G105),$G105,$F105)&gt;=DATE(PlanYear,2,1)),1,0))</f>
        <v>0</v>
      </c>
      <c r="Q105">
        <f>IF($N105=0,0,IF(AND($F105&lt;=EOMONTH(DATE(PlanYear,3,1),0),IF(ISNUMBER($G105),$G105,$F105)&gt;=DATE(PlanYear,3,1)),1,0))</f>
        <v>0</v>
      </c>
      <c r="R105">
        <f>IF($N105=0,0,IF(AND($F105&lt;=EOMONTH(DATE(PlanYear,4,1),0),IF(ISNUMBER($G105),$G105,$F105)&gt;=DATE(PlanYear,4,1)),1,0))</f>
        <v>0</v>
      </c>
      <c r="S105">
        <f>IF($N105=0,0,IF(AND($F105&lt;=EOMONTH(DATE(PlanYear,5,1),0),IF(ISNUMBER($G105),$G105,$F105)&gt;=DATE(PlanYear,5,1)),1,0))</f>
        <v>0</v>
      </c>
      <c r="T105">
        <f>IF($N105=0,0,IF(AND($F105&lt;=EOMONTH(DATE(PlanYear,6,1),0),IF(ISNUMBER($G105),$G105,$F105)&gt;=DATE(PlanYear,6,1)),1,0))</f>
        <v>0</v>
      </c>
      <c r="U105">
        <f>IF($N105=0,0,IF(AND($F105&lt;=EOMONTH(DATE(PlanYear,7,1),0),IF(ISNUMBER($G105),$G105,$F105)&gt;=DATE(PlanYear,7,1)),1,0))</f>
        <v>0</v>
      </c>
      <c r="V105">
        <f>IF($N105=0,0,IF(AND($F105&lt;=EOMONTH(DATE(PlanYear,8,1),0),IF(ISNUMBER($G105),$G105,$F105)&gt;=DATE(PlanYear,8,1)),1,0))</f>
        <v>0</v>
      </c>
      <c r="W105">
        <f>IF($N105=0,0,IF(AND($F105&lt;=EOMONTH(DATE(PlanYear,9,1),0),IF(ISNUMBER($G105),$G105,$F105)&gt;=DATE(PlanYear,9,1)),1,0))</f>
        <v>0</v>
      </c>
      <c r="X105">
        <f>IF($N105=0,0,IF(AND($F105&lt;=EOMONTH(DATE(PlanYear,10,1),0),IF(ISNUMBER($G105),$G105,$F105)&gt;=DATE(PlanYear,10,1)),1,0))</f>
        <v>0</v>
      </c>
      <c r="Y105">
        <f>IF($N105=0,0,IF(AND($F105&lt;=EOMONTH(DATE(PlanYear,11,1),0),IF(ISNUMBER($G105),$G105,$F105)&gt;=DATE(PlanYear,11,1)),1,0))</f>
        <v>0</v>
      </c>
      <c r="Z105">
        <f>IF($N105=0,0,IF(AND($F105&lt;=EOMONTH(DATE(PlanYear,12,1),0),IF(ISNUMBER($G105),$G105,$F105)&gt;=DATE(PlanYear,12,1)),1,0))</f>
        <v>0</v>
      </c>
      <c r="AA105">
        <f>SUM($O105:$Z105)</f>
        <v>0</v>
      </c>
    </row>
    <row r="106" spans="1:27">
      <c r="A106" s="42">
        <f>IF($B106="","","ACT-"&amp;TEXT(ROW()-4,"000"))</f>
        <v>0</v>
      </c>
      <c r="M106" s="43">
        <f>IF(COUNTA($B106:$K106)=0,"",IF($B106="","Missing activity name",IF($C106="","Missing practice",IF(COUNTIF(PracticeNames,$C106)=0,"Practice not in Lists",IF($D106="","Missing motion",IF(NOT(ISNUMBER($F106)),"Missing or invalid start date",IF(AND(ISNUMBER($G106),$G106&lt;$F106),"End date before start",IF(AND($N106=1,$AA106=0),"Outside planning year","OK"))))))))</f>
        <v>0</v>
      </c>
      <c r="N106">
        <f>IF(AND($B106&lt;&gt;"",$C106&lt;&gt;"",$D106&lt;&gt;"",ISNUMBER($F106),COUNTIF(PracticeNames,$C106)&gt;0,COUNTIF(MotionNames,$D106)&gt;0,NOT(AND(ISNUMBER($G106),$G106&lt;$F106))),IF(StatusFilter="All (excl. Cancelled)",IF($H106="Cancelled",0,1),IF(StatusFilter="All",1,IF($H106=StatusFilter,1,0))),0)</f>
        <v>0</v>
      </c>
      <c r="O106">
        <f>IF($N106=0,0,IF(AND($F106&lt;=EOMONTH(DATE(PlanYear,1,1),0),IF(ISNUMBER($G106),$G106,$F106)&gt;=DATE(PlanYear,1,1)),1,0))</f>
        <v>0</v>
      </c>
      <c r="P106">
        <f>IF($N106=0,0,IF(AND($F106&lt;=EOMONTH(DATE(PlanYear,2,1),0),IF(ISNUMBER($G106),$G106,$F106)&gt;=DATE(PlanYear,2,1)),1,0))</f>
        <v>0</v>
      </c>
      <c r="Q106">
        <f>IF($N106=0,0,IF(AND($F106&lt;=EOMONTH(DATE(PlanYear,3,1),0),IF(ISNUMBER($G106),$G106,$F106)&gt;=DATE(PlanYear,3,1)),1,0))</f>
        <v>0</v>
      </c>
      <c r="R106">
        <f>IF($N106=0,0,IF(AND($F106&lt;=EOMONTH(DATE(PlanYear,4,1),0),IF(ISNUMBER($G106),$G106,$F106)&gt;=DATE(PlanYear,4,1)),1,0))</f>
        <v>0</v>
      </c>
      <c r="S106">
        <f>IF($N106=0,0,IF(AND($F106&lt;=EOMONTH(DATE(PlanYear,5,1),0),IF(ISNUMBER($G106),$G106,$F106)&gt;=DATE(PlanYear,5,1)),1,0))</f>
        <v>0</v>
      </c>
      <c r="T106">
        <f>IF($N106=0,0,IF(AND($F106&lt;=EOMONTH(DATE(PlanYear,6,1),0),IF(ISNUMBER($G106),$G106,$F106)&gt;=DATE(PlanYear,6,1)),1,0))</f>
        <v>0</v>
      </c>
      <c r="U106">
        <f>IF($N106=0,0,IF(AND($F106&lt;=EOMONTH(DATE(PlanYear,7,1),0),IF(ISNUMBER($G106),$G106,$F106)&gt;=DATE(PlanYear,7,1)),1,0))</f>
        <v>0</v>
      </c>
      <c r="V106">
        <f>IF($N106=0,0,IF(AND($F106&lt;=EOMONTH(DATE(PlanYear,8,1),0),IF(ISNUMBER($G106),$G106,$F106)&gt;=DATE(PlanYear,8,1)),1,0))</f>
        <v>0</v>
      </c>
      <c r="W106">
        <f>IF($N106=0,0,IF(AND($F106&lt;=EOMONTH(DATE(PlanYear,9,1),0),IF(ISNUMBER($G106),$G106,$F106)&gt;=DATE(PlanYear,9,1)),1,0))</f>
        <v>0</v>
      </c>
      <c r="X106">
        <f>IF($N106=0,0,IF(AND($F106&lt;=EOMONTH(DATE(PlanYear,10,1),0),IF(ISNUMBER($G106),$G106,$F106)&gt;=DATE(PlanYear,10,1)),1,0))</f>
        <v>0</v>
      </c>
      <c r="Y106">
        <f>IF($N106=0,0,IF(AND($F106&lt;=EOMONTH(DATE(PlanYear,11,1),0),IF(ISNUMBER($G106),$G106,$F106)&gt;=DATE(PlanYear,11,1)),1,0))</f>
        <v>0</v>
      </c>
      <c r="Z106">
        <f>IF($N106=0,0,IF(AND($F106&lt;=EOMONTH(DATE(PlanYear,12,1),0),IF(ISNUMBER($G106),$G106,$F106)&gt;=DATE(PlanYear,12,1)),1,0))</f>
        <v>0</v>
      </c>
      <c r="AA106">
        <f>SUM($O106:$Z106)</f>
        <v>0</v>
      </c>
    </row>
    <row r="107" spans="1:27">
      <c r="A107" s="42">
        <f>IF($B107="","","ACT-"&amp;TEXT(ROW()-4,"000"))</f>
        <v>0</v>
      </c>
      <c r="M107" s="43">
        <f>IF(COUNTA($B107:$K107)=0,"",IF($B107="","Missing activity name",IF($C107="","Missing practice",IF(COUNTIF(PracticeNames,$C107)=0,"Practice not in Lists",IF($D107="","Missing motion",IF(NOT(ISNUMBER($F107)),"Missing or invalid start date",IF(AND(ISNUMBER($G107),$G107&lt;$F107),"End date before start",IF(AND($N107=1,$AA107=0),"Outside planning year","OK"))))))))</f>
        <v>0</v>
      </c>
      <c r="N107">
        <f>IF(AND($B107&lt;&gt;"",$C107&lt;&gt;"",$D107&lt;&gt;"",ISNUMBER($F107),COUNTIF(PracticeNames,$C107)&gt;0,COUNTIF(MotionNames,$D107)&gt;0,NOT(AND(ISNUMBER($G107),$G107&lt;$F107))),IF(StatusFilter="All (excl. Cancelled)",IF($H107="Cancelled",0,1),IF(StatusFilter="All",1,IF($H107=StatusFilter,1,0))),0)</f>
        <v>0</v>
      </c>
      <c r="O107">
        <f>IF($N107=0,0,IF(AND($F107&lt;=EOMONTH(DATE(PlanYear,1,1),0),IF(ISNUMBER($G107),$G107,$F107)&gt;=DATE(PlanYear,1,1)),1,0))</f>
        <v>0</v>
      </c>
      <c r="P107">
        <f>IF($N107=0,0,IF(AND($F107&lt;=EOMONTH(DATE(PlanYear,2,1),0),IF(ISNUMBER($G107),$G107,$F107)&gt;=DATE(PlanYear,2,1)),1,0))</f>
        <v>0</v>
      </c>
      <c r="Q107">
        <f>IF($N107=0,0,IF(AND($F107&lt;=EOMONTH(DATE(PlanYear,3,1),0),IF(ISNUMBER($G107),$G107,$F107)&gt;=DATE(PlanYear,3,1)),1,0))</f>
        <v>0</v>
      </c>
      <c r="R107">
        <f>IF($N107=0,0,IF(AND($F107&lt;=EOMONTH(DATE(PlanYear,4,1),0),IF(ISNUMBER($G107),$G107,$F107)&gt;=DATE(PlanYear,4,1)),1,0))</f>
        <v>0</v>
      </c>
      <c r="S107">
        <f>IF($N107=0,0,IF(AND($F107&lt;=EOMONTH(DATE(PlanYear,5,1),0),IF(ISNUMBER($G107),$G107,$F107)&gt;=DATE(PlanYear,5,1)),1,0))</f>
        <v>0</v>
      </c>
      <c r="T107">
        <f>IF($N107=0,0,IF(AND($F107&lt;=EOMONTH(DATE(PlanYear,6,1),0),IF(ISNUMBER($G107),$G107,$F107)&gt;=DATE(PlanYear,6,1)),1,0))</f>
        <v>0</v>
      </c>
      <c r="U107">
        <f>IF($N107=0,0,IF(AND($F107&lt;=EOMONTH(DATE(PlanYear,7,1),0),IF(ISNUMBER($G107),$G107,$F107)&gt;=DATE(PlanYear,7,1)),1,0))</f>
        <v>0</v>
      </c>
      <c r="V107">
        <f>IF($N107=0,0,IF(AND($F107&lt;=EOMONTH(DATE(PlanYear,8,1),0),IF(ISNUMBER($G107),$G107,$F107)&gt;=DATE(PlanYear,8,1)),1,0))</f>
        <v>0</v>
      </c>
      <c r="W107">
        <f>IF($N107=0,0,IF(AND($F107&lt;=EOMONTH(DATE(PlanYear,9,1),0),IF(ISNUMBER($G107),$G107,$F107)&gt;=DATE(PlanYear,9,1)),1,0))</f>
        <v>0</v>
      </c>
      <c r="X107">
        <f>IF($N107=0,0,IF(AND($F107&lt;=EOMONTH(DATE(PlanYear,10,1),0),IF(ISNUMBER($G107),$G107,$F107)&gt;=DATE(PlanYear,10,1)),1,0))</f>
        <v>0</v>
      </c>
      <c r="Y107">
        <f>IF($N107=0,0,IF(AND($F107&lt;=EOMONTH(DATE(PlanYear,11,1),0),IF(ISNUMBER($G107),$G107,$F107)&gt;=DATE(PlanYear,11,1)),1,0))</f>
        <v>0</v>
      </c>
      <c r="Z107">
        <f>IF($N107=0,0,IF(AND($F107&lt;=EOMONTH(DATE(PlanYear,12,1),0),IF(ISNUMBER($G107),$G107,$F107)&gt;=DATE(PlanYear,12,1)),1,0))</f>
        <v>0</v>
      </c>
      <c r="AA107">
        <f>SUM($O107:$Z107)</f>
        <v>0</v>
      </c>
    </row>
    <row r="108" spans="1:27">
      <c r="A108" s="42">
        <f>IF($B108="","","ACT-"&amp;TEXT(ROW()-4,"000"))</f>
        <v>0</v>
      </c>
      <c r="M108" s="43">
        <f>IF(COUNTA($B108:$K108)=0,"",IF($B108="","Missing activity name",IF($C108="","Missing practice",IF(COUNTIF(PracticeNames,$C108)=0,"Practice not in Lists",IF($D108="","Missing motion",IF(NOT(ISNUMBER($F108)),"Missing or invalid start date",IF(AND(ISNUMBER($G108),$G108&lt;$F108),"End date before start",IF(AND($N108=1,$AA108=0),"Outside planning year","OK"))))))))</f>
        <v>0</v>
      </c>
      <c r="N108">
        <f>IF(AND($B108&lt;&gt;"",$C108&lt;&gt;"",$D108&lt;&gt;"",ISNUMBER($F108),COUNTIF(PracticeNames,$C108)&gt;0,COUNTIF(MotionNames,$D108)&gt;0,NOT(AND(ISNUMBER($G108),$G108&lt;$F108))),IF(StatusFilter="All (excl. Cancelled)",IF($H108="Cancelled",0,1),IF(StatusFilter="All",1,IF($H108=StatusFilter,1,0))),0)</f>
        <v>0</v>
      </c>
      <c r="O108">
        <f>IF($N108=0,0,IF(AND($F108&lt;=EOMONTH(DATE(PlanYear,1,1),0),IF(ISNUMBER($G108),$G108,$F108)&gt;=DATE(PlanYear,1,1)),1,0))</f>
        <v>0</v>
      </c>
      <c r="P108">
        <f>IF($N108=0,0,IF(AND($F108&lt;=EOMONTH(DATE(PlanYear,2,1),0),IF(ISNUMBER($G108),$G108,$F108)&gt;=DATE(PlanYear,2,1)),1,0))</f>
        <v>0</v>
      </c>
      <c r="Q108">
        <f>IF($N108=0,0,IF(AND($F108&lt;=EOMONTH(DATE(PlanYear,3,1),0),IF(ISNUMBER($G108),$G108,$F108)&gt;=DATE(PlanYear,3,1)),1,0))</f>
        <v>0</v>
      </c>
      <c r="R108">
        <f>IF($N108=0,0,IF(AND($F108&lt;=EOMONTH(DATE(PlanYear,4,1),0),IF(ISNUMBER($G108),$G108,$F108)&gt;=DATE(PlanYear,4,1)),1,0))</f>
        <v>0</v>
      </c>
      <c r="S108">
        <f>IF($N108=0,0,IF(AND($F108&lt;=EOMONTH(DATE(PlanYear,5,1),0),IF(ISNUMBER($G108),$G108,$F108)&gt;=DATE(PlanYear,5,1)),1,0))</f>
        <v>0</v>
      </c>
      <c r="T108">
        <f>IF($N108=0,0,IF(AND($F108&lt;=EOMONTH(DATE(PlanYear,6,1),0),IF(ISNUMBER($G108),$G108,$F108)&gt;=DATE(PlanYear,6,1)),1,0))</f>
        <v>0</v>
      </c>
      <c r="U108">
        <f>IF($N108=0,0,IF(AND($F108&lt;=EOMONTH(DATE(PlanYear,7,1),0),IF(ISNUMBER($G108),$G108,$F108)&gt;=DATE(PlanYear,7,1)),1,0))</f>
        <v>0</v>
      </c>
      <c r="V108">
        <f>IF($N108=0,0,IF(AND($F108&lt;=EOMONTH(DATE(PlanYear,8,1),0),IF(ISNUMBER($G108),$G108,$F108)&gt;=DATE(PlanYear,8,1)),1,0))</f>
        <v>0</v>
      </c>
      <c r="W108">
        <f>IF($N108=0,0,IF(AND($F108&lt;=EOMONTH(DATE(PlanYear,9,1),0),IF(ISNUMBER($G108),$G108,$F108)&gt;=DATE(PlanYear,9,1)),1,0))</f>
        <v>0</v>
      </c>
      <c r="X108">
        <f>IF($N108=0,0,IF(AND($F108&lt;=EOMONTH(DATE(PlanYear,10,1),0),IF(ISNUMBER($G108),$G108,$F108)&gt;=DATE(PlanYear,10,1)),1,0))</f>
        <v>0</v>
      </c>
      <c r="Y108">
        <f>IF($N108=0,0,IF(AND($F108&lt;=EOMONTH(DATE(PlanYear,11,1),0),IF(ISNUMBER($G108),$G108,$F108)&gt;=DATE(PlanYear,11,1)),1,0))</f>
        <v>0</v>
      </c>
      <c r="Z108">
        <f>IF($N108=0,0,IF(AND($F108&lt;=EOMONTH(DATE(PlanYear,12,1),0),IF(ISNUMBER($G108),$G108,$F108)&gt;=DATE(PlanYear,12,1)),1,0))</f>
        <v>0</v>
      </c>
      <c r="AA108">
        <f>SUM($O108:$Z108)</f>
        <v>0</v>
      </c>
    </row>
    <row r="109" spans="1:27">
      <c r="A109" s="42">
        <f>IF($B109="","","ACT-"&amp;TEXT(ROW()-4,"000"))</f>
        <v>0</v>
      </c>
      <c r="M109" s="43">
        <f>IF(COUNTA($B109:$K109)=0,"",IF($B109="","Missing activity name",IF($C109="","Missing practice",IF(COUNTIF(PracticeNames,$C109)=0,"Practice not in Lists",IF($D109="","Missing motion",IF(NOT(ISNUMBER($F109)),"Missing or invalid start date",IF(AND(ISNUMBER($G109),$G109&lt;$F109),"End date before start",IF(AND($N109=1,$AA109=0),"Outside planning year","OK"))))))))</f>
        <v>0</v>
      </c>
      <c r="N109">
        <f>IF(AND($B109&lt;&gt;"",$C109&lt;&gt;"",$D109&lt;&gt;"",ISNUMBER($F109),COUNTIF(PracticeNames,$C109)&gt;0,COUNTIF(MotionNames,$D109)&gt;0,NOT(AND(ISNUMBER($G109),$G109&lt;$F109))),IF(StatusFilter="All (excl. Cancelled)",IF($H109="Cancelled",0,1),IF(StatusFilter="All",1,IF($H109=StatusFilter,1,0))),0)</f>
        <v>0</v>
      </c>
      <c r="O109">
        <f>IF($N109=0,0,IF(AND($F109&lt;=EOMONTH(DATE(PlanYear,1,1),0),IF(ISNUMBER($G109),$G109,$F109)&gt;=DATE(PlanYear,1,1)),1,0))</f>
        <v>0</v>
      </c>
      <c r="P109">
        <f>IF($N109=0,0,IF(AND($F109&lt;=EOMONTH(DATE(PlanYear,2,1),0),IF(ISNUMBER($G109),$G109,$F109)&gt;=DATE(PlanYear,2,1)),1,0))</f>
        <v>0</v>
      </c>
      <c r="Q109">
        <f>IF($N109=0,0,IF(AND($F109&lt;=EOMONTH(DATE(PlanYear,3,1),0),IF(ISNUMBER($G109),$G109,$F109)&gt;=DATE(PlanYear,3,1)),1,0))</f>
        <v>0</v>
      </c>
      <c r="R109">
        <f>IF($N109=0,0,IF(AND($F109&lt;=EOMONTH(DATE(PlanYear,4,1),0),IF(ISNUMBER($G109),$G109,$F109)&gt;=DATE(PlanYear,4,1)),1,0))</f>
        <v>0</v>
      </c>
      <c r="S109">
        <f>IF($N109=0,0,IF(AND($F109&lt;=EOMONTH(DATE(PlanYear,5,1),0),IF(ISNUMBER($G109),$G109,$F109)&gt;=DATE(PlanYear,5,1)),1,0))</f>
        <v>0</v>
      </c>
      <c r="T109">
        <f>IF($N109=0,0,IF(AND($F109&lt;=EOMONTH(DATE(PlanYear,6,1),0),IF(ISNUMBER($G109),$G109,$F109)&gt;=DATE(PlanYear,6,1)),1,0))</f>
        <v>0</v>
      </c>
      <c r="U109">
        <f>IF($N109=0,0,IF(AND($F109&lt;=EOMONTH(DATE(PlanYear,7,1),0),IF(ISNUMBER($G109),$G109,$F109)&gt;=DATE(PlanYear,7,1)),1,0))</f>
        <v>0</v>
      </c>
      <c r="V109">
        <f>IF($N109=0,0,IF(AND($F109&lt;=EOMONTH(DATE(PlanYear,8,1),0),IF(ISNUMBER($G109),$G109,$F109)&gt;=DATE(PlanYear,8,1)),1,0))</f>
        <v>0</v>
      </c>
      <c r="W109">
        <f>IF($N109=0,0,IF(AND($F109&lt;=EOMONTH(DATE(PlanYear,9,1),0),IF(ISNUMBER($G109),$G109,$F109)&gt;=DATE(PlanYear,9,1)),1,0))</f>
        <v>0</v>
      </c>
      <c r="X109">
        <f>IF($N109=0,0,IF(AND($F109&lt;=EOMONTH(DATE(PlanYear,10,1),0),IF(ISNUMBER($G109),$G109,$F109)&gt;=DATE(PlanYear,10,1)),1,0))</f>
        <v>0</v>
      </c>
      <c r="Y109">
        <f>IF($N109=0,0,IF(AND($F109&lt;=EOMONTH(DATE(PlanYear,11,1),0),IF(ISNUMBER($G109),$G109,$F109)&gt;=DATE(PlanYear,11,1)),1,0))</f>
        <v>0</v>
      </c>
      <c r="Z109">
        <f>IF($N109=0,0,IF(AND($F109&lt;=EOMONTH(DATE(PlanYear,12,1),0),IF(ISNUMBER($G109),$G109,$F109)&gt;=DATE(PlanYear,12,1)),1,0))</f>
        <v>0</v>
      </c>
      <c r="AA109">
        <f>SUM($O109:$Z109)</f>
        <v>0</v>
      </c>
    </row>
    <row r="110" spans="1:27">
      <c r="A110" s="42">
        <f>IF($B110="","","ACT-"&amp;TEXT(ROW()-4,"000"))</f>
        <v>0</v>
      </c>
      <c r="M110" s="43">
        <f>IF(COUNTA($B110:$K110)=0,"",IF($B110="","Missing activity name",IF($C110="","Missing practice",IF(COUNTIF(PracticeNames,$C110)=0,"Practice not in Lists",IF($D110="","Missing motion",IF(NOT(ISNUMBER($F110)),"Missing or invalid start date",IF(AND(ISNUMBER($G110),$G110&lt;$F110),"End date before start",IF(AND($N110=1,$AA110=0),"Outside planning year","OK"))))))))</f>
        <v>0</v>
      </c>
      <c r="N110">
        <f>IF(AND($B110&lt;&gt;"",$C110&lt;&gt;"",$D110&lt;&gt;"",ISNUMBER($F110),COUNTIF(PracticeNames,$C110)&gt;0,COUNTIF(MotionNames,$D110)&gt;0,NOT(AND(ISNUMBER($G110),$G110&lt;$F110))),IF(StatusFilter="All (excl. Cancelled)",IF($H110="Cancelled",0,1),IF(StatusFilter="All",1,IF($H110=StatusFilter,1,0))),0)</f>
        <v>0</v>
      </c>
      <c r="O110">
        <f>IF($N110=0,0,IF(AND($F110&lt;=EOMONTH(DATE(PlanYear,1,1),0),IF(ISNUMBER($G110),$G110,$F110)&gt;=DATE(PlanYear,1,1)),1,0))</f>
        <v>0</v>
      </c>
      <c r="P110">
        <f>IF($N110=0,0,IF(AND($F110&lt;=EOMONTH(DATE(PlanYear,2,1),0),IF(ISNUMBER($G110),$G110,$F110)&gt;=DATE(PlanYear,2,1)),1,0))</f>
        <v>0</v>
      </c>
      <c r="Q110">
        <f>IF($N110=0,0,IF(AND($F110&lt;=EOMONTH(DATE(PlanYear,3,1),0),IF(ISNUMBER($G110),$G110,$F110)&gt;=DATE(PlanYear,3,1)),1,0))</f>
        <v>0</v>
      </c>
      <c r="R110">
        <f>IF($N110=0,0,IF(AND($F110&lt;=EOMONTH(DATE(PlanYear,4,1),0),IF(ISNUMBER($G110),$G110,$F110)&gt;=DATE(PlanYear,4,1)),1,0))</f>
        <v>0</v>
      </c>
      <c r="S110">
        <f>IF($N110=0,0,IF(AND($F110&lt;=EOMONTH(DATE(PlanYear,5,1),0),IF(ISNUMBER($G110),$G110,$F110)&gt;=DATE(PlanYear,5,1)),1,0))</f>
        <v>0</v>
      </c>
      <c r="T110">
        <f>IF($N110=0,0,IF(AND($F110&lt;=EOMONTH(DATE(PlanYear,6,1),0),IF(ISNUMBER($G110),$G110,$F110)&gt;=DATE(PlanYear,6,1)),1,0))</f>
        <v>0</v>
      </c>
      <c r="U110">
        <f>IF($N110=0,0,IF(AND($F110&lt;=EOMONTH(DATE(PlanYear,7,1),0),IF(ISNUMBER($G110),$G110,$F110)&gt;=DATE(PlanYear,7,1)),1,0))</f>
        <v>0</v>
      </c>
      <c r="V110">
        <f>IF($N110=0,0,IF(AND($F110&lt;=EOMONTH(DATE(PlanYear,8,1),0),IF(ISNUMBER($G110),$G110,$F110)&gt;=DATE(PlanYear,8,1)),1,0))</f>
        <v>0</v>
      </c>
      <c r="W110">
        <f>IF($N110=0,0,IF(AND($F110&lt;=EOMONTH(DATE(PlanYear,9,1),0),IF(ISNUMBER($G110),$G110,$F110)&gt;=DATE(PlanYear,9,1)),1,0))</f>
        <v>0</v>
      </c>
      <c r="X110">
        <f>IF($N110=0,0,IF(AND($F110&lt;=EOMONTH(DATE(PlanYear,10,1),0),IF(ISNUMBER($G110),$G110,$F110)&gt;=DATE(PlanYear,10,1)),1,0))</f>
        <v>0</v>
      </c>
      <c r="Y110">
        <f>IF($N110=0,0,IF(AND($F110&lt;=EOMONTH(DATE(PlanYear,11,1),0),IF(ISNUMBER($G110),$G110,$F110)&gt;=DATE(PlanYear,11,1)),1,0))</f>
        <v>0</v>
      </c>
      <c r="Z110">
        <f>IF($N110=0,0,IF(AND($F110&lt;=EOMONTH(DATE(PlanYear,12,1),0),IF(ISNUMBER($G110),$G110,$F110)&gt;=DATE(PlanYear,12,1)),1,0))</f>
        <v>0</v>
      </c>
      <c r="AA110">
        <f>SUM($O110:$Z110)</f>
        <v>0</v>
      </c>
    </row>
    <row r="111" spans="1:27">
      <c r="A111" s="42">
        <f>IF($B111="","","ACT-"&amp;TEXT(ROW()-4,"000"))</f>
        <v>0</v>
      </c>
      <c r="M111" s="43">
        <f>IF(COUNTA($B111:$K111)=0,"",IF($B111="","Missing activity name",IF($C111="","Missing practice",IF(COUNTIF(PracticeNames,$C111)=0,"Practice not in Lists",IF($D111="","Missing motion",IF(NOT(ISNUMBER($F111)),"Missing or invalid start date",IF(AND(ISNUMBER($G111),$G111&lt;$F111),"End date before start",IF(AND($N111=1,$AA111=0),"Outside planning year","OK"))))))))</f>
        <v>0</v>
      </c>
      <c r="N111">
        <f>IF(AND($B111&lt;&gt;"",$C111&lt;&gt;"",$D111&lt;&gt;"",ISNUMBER($F111),COUNTIF(PracticeNames,$C111)&gt;0,COUNTIF(MotionNames,$D111)&gt;0,NOT(AND(ISNUMBER($G111),$G111&lt;$F111))),IF(StatusFilter="All (excl. Cancelled)",IF($H111="Cancelled",0,1),IF(StatusFilter="All",1,IF($H111=StatusFilter,1,0))),0)</f>
        <v>0</v>
      </c>
      <c r="O111">
        <f>IF($N111=0,0,IF(AND($F111&lt;=EOMONTH(DATE(PlanYear,1,1),0),IF(ISNUMBER($G111),$G111,$F111)&gt;=DATE(PlanYear,1,1)),1,0))</f>
        <v>0</v>
      </c>
      <c r="P111">
        <f>IF($N111=0,0,IF(AND($F111&lt;=EOMONTH(DATE(PlanYear,2,1),0),IF(ISNUMBER($G111),$G111,$F111)&gt;=DATE(PlanYear,2,1)),1,0))</f>
        <v>0</v>
      </c>
      <c r="Q111">
        <f>IF($N111=0,0,IF(AND($F111&lt;=EOMONTH(DATE(PlanYear,3,1),0),IF(ISNUMBER($G111),$G111,$F111)&gt;=DATE(PlanYear,3,1)),1,0))</f>
        <v>0</v>
      </c>
      <c r="R111">
        <f>IF($N111=0,0,IF(AND($F111&lt;=EOMONTH(DATE(PlanYear,4,1),0),IF(ISNUMBER($G111),$G111,$F111)&gt;=DATE(PlanYear,4,1)),1,0))</f>
        <v>0</v>
      </c>
      <c r="S111">
        <f>IF($N111=0,0,IF(AND($F111&lt;=EOMONTH(DATE(PlanYear,5,1),0),IF(ISNUMBER($G111),$G111,$F111)&gt;=DATE(PlanYear,5,1)),1,0))</f>
        <v>0</v>
      </c>
      <c r="T111">
        <f>IF($N111=0,0,IF(AND($F111&lt;=EOMONTH(DATE(PlanYear,6,1),0),IF(ISNUMBER($G111),$G111,$F111)&gt;=DATE(PlanYear,6,1)),1,0))</f>
        <v>0</v>
      </c>
      <c r="U111">
        <f>IF($N111=0,0,IF(AND($F111&lt;=EOMONTH(DATE(PlanYear,7,1),0),IF(ISNUMBER($G111),$G111,$F111)&gt;=DATE(PlanYear,7,1)),1,0))</f>
        <v>0</v>
      </c>
      <c r="V111">
        <f>IF($N111=0,0,IF(AND($F111&lt;=EOMONTH(DATE(PlanYear,8,1),0),IF(ISNUMBER($G111),$G111,$F111)&gt;=DATE(PlanYear,8,1)),1,0))</f>
        <v>0</v>
      </c>
      <c r="W111">
        <f>IF($N111=0,0,IF(AND($F111&lt;=EOMONTH(DATE(PlanYear,9,1),0),IF(ISNUMBER($G111),$G111,$F111)&gt;=DATE(PlanYear,9,1)),1,0))</f>
        <v>0</v>
      </c>
      <c r="X111">
        <f>IF($N111=0,0,IF(AND($F111&lt;=EOMONTH(DATE(PlanYear,10,1),0),IF(ISNUMBER($G111),$G111,$F111)&gt;=DATE(PlanYear,10,1)),1,0))</f>
        <v>0</v>
      </c>
      <c r="Y111">
        <f>IF($N111=0,0,IF(AND($F111&lt;=EOMONTH(DATE(PlanYear,11,1),0),IF(ISNUMBER($G111),$G111,$F111)&gt;=DATE(PlanYear,11,1)),1,0))</f>
        <v>0</v>
      </c>
      <c r="Z111">
        <f>IF($N111=0,0,IF(AND($F111&lt;=EOMONTH(DATE(PlanYear,12,1),0),IF(ISNUMBER($G111),$G111,$F111)&gt;=DATE(PlanYear,12,1)),1,0))</f>
        <v>0</v>
      </c>
      <c r="AA111">
        <f>SUM($O111:$Z111)</f>
        <v>0</v>
      </c>
    </row>
    <row r="112" spans="1:27">
      <c r="A112" s="42">
        <f>IF($B112="","","ACT-"&amp;TEXT(ROW()-4,"000"))</f>
        <v>0</v>
      </c>
      <c r="M112" s="43">
        <f>IF(COUNTA($B112:$K112)=0,"",IF($B112="","Missing activity name",IF($C112="","Missing practice",IF(COUNTIF(PracticeNames,$C112)=0,"Practice not in Lists",IF($D112="","Missing motion",IF(NOT(ISNUMBER($F112)),"Missing or invalid start date",IF(AND(ISNUMBER($G112),$G112&lt;$F112),"End date before start",IF(AND($N112=1,$AA112=0),"Outside planning year","OK"))))))))</f>
        <v>0</v>
      </c>
      <c r="N112">
        <f>IF(AND($B112&lt;&gt;"",$C112&lt;&gt;"",$D112&lt;&gt;"",ISNUMBER($F112),COUNTIF(PracticeNames,$C112)&gt;0,COUNTIF(MotionNames,$D112)&gt;0,NOT(AND(ISNUMBER($G112),$G112&lt;$F112))),IF(StatusFilter="All (excl. Cancelled)",IF($H112="Cancelled",0,1),IF(StatusFilter="All",1,IF($H112=StatusFilter,1,0))),0)</f>
        <v>0</v>
      </c>
      <c r="O112">
        <f>IF($N112=0,0,IF(AND($F112&lt;=EOMONTH(DATE(PlanYear,1,1),0),IF(ISNUMBER($G112),$G112,$F112)&gt;=DATE(PlanYear,1,1)),1,0))</f>
        <v>0</v>
      </c>
      <c r="P112">
        <f>IF($N112=0,0,IF(AND($F112&lt;=EOMONTH(DATE(PlanYear,2,1),0),IF(ISNUMBER($G112),$G112,$F112)&gt;=DATE(PlanYear,2,1)),1,0))</f>
        <v>0</v>
      </c>
      <c r="Q112">
        <f>IF($N112=0,0,IF(AND($F112&lt;=EOMONTH(DATE(PlanYear,3,1),0),IF(ISNUMBER($G112),$G112,$F112)&gt;=DATE(PlanYear,3,1)),1,0))</f>
        <v>0</v>
      </c>
      <c r="R112">
        <f>IF($N112=0,0,IF(AND($F112&lt;=EOMONTH(DATE(PlanYear,4,1),0),IF(ISNUMBER($G112),$G112,$F112)&gt;=DATE(PlanYear,4,1)),1,0))</f>
        <v>0</v>
      </c>
      <c r="S112">
        <f>IF($N112=0,0,IF(AND($F112&lt;=EOMONTH(DATE(PlanYear,5,1),0),IF(ISNUMBER($G112),$G112,$F112)&gt;=DATE(PlanYear,5,1)),1,0))</f>
        <v>0</v>
      </c>
      <c r="T112">
        <f>IF($N112=0,0,IF(AND($F112&lt;=EOMONTH(DATE(PlanYear,6,1),0),IF(ISNUMBER($G112),$G112,$F112)&gt;=DATE(PlanYear,6,1)),1,0))</f>
        <v>0</v>
      </c>
      <c r="U112">
        <f>IF($N112=0,0,IF(AND($F112&lt;=EOMONTH(DATE(PlanYear,7,1),0),IF(ISNUMBER($G112),$G112,$F112)&gt;=DATE(PlanYear,7,1)),1,0))</f>
        <v>0</v>
      </c>
      <c r="V112">
        <f>IF($N112=0,0,IF(AND($F112&lt;=EOMONTH(DATE(PlanYear,8,1),0),IF(ISNUMBER($G112),$G112,$F112)&gt;=DATE(PlanYear,8,1)),1,0))</f>
        <v>0</v>
      </c>
      <c r="W112">
        <f>IF($N112=0,0,IF(AND($F112&lt;=EOMONTH(DATE(PlanYear,9,1),0),IF(ISNUMBER($G112),$G112,$F112)&gt;=DATE(PlanYear,9,1)),1,0))</f>
        <v>0</v>
      </c>
      <c r="X112">
        <f>IF($N112=0,0,IF(AND($F112&lt;=EOMONTH(DATE(PlanYear,10,1),0),IF(ISNUMBER($G112),$G112,$F112)&gt;=DATE(PlanYear,10,1)),1,0))</f>
        <v>0</v>
      </c>
      <c r="Y112">
        <f>IF($N112=0,0,IF(AND($F112&lt;=EOMONTH(DATE(PlanYear,11,1),0),IF(ISNUMBER($G112),$G112,$F112)&gt;=DATE(PlanYear,11,1)),1,0))</f>
        <v>0</v>
      </c>
      <c r="Z112">
        <f>IF($N112=0,0,IF(AND($F112&lt;=EOMONTH(DATE(PlanYear,12,1),0),IF(ISNUMBER($G112),$G112,$F112)&gt;=DATE(PlanYear,12,1)),1,0))</f>
        <v>0</v>
      </c>
      <c r="AA112">
        <f>SUM($O112:$Z112)</f>
        <v>0</v>
      </c>
    </row>
    <row r="113" spans="1:27">
      <c r="A113" s="42">
        <f>IF($B113="","","ACT-"&amp;TEXT(ROW()-4,"000"))</f>
        <v>0</v>
      </c>
      <c r="M113" s="43">
        <f>IF(COUNTA($B113:$K113)=0,"",IF($B113="","Missing activity name",IF($C113="","Missing practice",IF(COUNTIF(PracticeNames,$C113)=0,"Practice not in Lists",IF($D113="","Missing motion",IF(NOT(ISNUMBER($F113)),"Missing or invalid start date",IF(AND(ISNUMBER($G113),$G113&lt;$F113),"End date before start",IF(AND($N113=1,$AA113=0),"Outside planning year","OK"))))))))</f>
        <v>0</v>
      </c>
      <c r="N113">
        <f>IF(AND($B113&lt;&gt;"",$C113&lt;&gt;"",$D113&lt;&gt;"",ISNUMBER($F113),COUNTIF(PracticeNames,$C113)&gt;0,COUNTIF(MotionNames,$D113)&gt;0,NOT(AND(ISNUMBER($G113),$G113&lt;$F113))),IF(StatusFilter="All (excl. Cancelled)",IF($H113="Cancelled",0,1),IF(StatusFilter="All",1,IF($H113=StatusFilter,1,0))),0)</f>
        <v>0</v>
      </c>
      <c r="O113">
        <f>IF($N113=0,0,IF(AND($F113&lt;=EOMONTH(DATE(PlanYear,1,1),0),IF(ISNUMBER($G113),$G113,$F113)&gt;=DATE(PlanYear,1,1)),1,0))</f>
        <v>0</v>
      </c>
      <c r="P113">
        <f>IF($N113=0,0,IF(AND($F113&lt;=EOMONTH(DATE(PlanYear,2,1),0),IF(ISNUMBER($G113),$G113,$F113)&gt;=DATE(PlanYear,2,1)),1,0))</f>
        <v>0</v>
      </c>
      <c r="Q113">
        <f>IF($N113=0,0,IF(AND($F113&lt;=EOMONTH(DATE(PlanYear,3,1),0),IF(ISNUMBER($G113),$G113,$F113)&gt;=DATE(PlanYear,3,1)),1,0))</f>
        <v>0</v>
      </c>
      <c r="R113">
        <f>IF($N113=0,0,IF(AND($F113&lt;=EOMONTH(DATE(PlanYear,4,1),0),IF(ISNUMBER($G113),$G113,$F113)&gt;=DATE(PlanYear,4,1)),1,0))</f>
        <v>0</v>
      </c>
      <c r="S113">
        <f>IF($N113=0,0,IF(AND($F113&lt;=EOMONTH(DATE(PlanYear,5,1),0),IF(ISNUMBER($G113),$G113,$F113)&gt;=DATE(PlanYear,5,1)),1,0))</f>
        <v>0</v>
      </c>
      <c r="T113">
        <f>IF($N113=0,0,IF(AND($F113&lt;=EOMONTH(DATE(PlanYear,6,1),0),IF(ISNUMBER($G113),$G113,$F113)&gt;=DATE(PlanYear,6,1)),1,0))</f>
        <v>0</v>
      </c>
      <c r="U113">
        <f>IF($N113=0,0,IF(AND($F113&lt;=EOMONTH(DATE(PlanYear,7,1),0),IF(ISNUMBER($G113),$G113,$F113)&gt;=DATE(PlanYear,7,1)),1,0))</f>
        <v>0</v>
      </c>
      <c r="V113">
        <f>IF($N113=0,0,IF(AND($F113&lt;=EOMONTH(DATE(PlanYear,8,1),0),IF(ISNUMBER($G113),$G113,$F113)&gt;=DATE(PlanYear,8,1)),1,0))</f>
        <v>0</v>
      </c>
      <c r="W113">
        <f>IF($N113=0,0,IF(AND($F113&lt;=EOMONTH(DATE(PlanYear,9,1),0),IF(ISNUMBER($G113),$G113,$F113)&gt;=DATE(PlanYear,9,1)),1,0))</f>
        <v>0</v>
      </c>
      <c r="X113">
        <f>IF($N113=0,0,IF(AND($F113&lt;=EOMONTH(DATE(PlanYear,10,1),0),IF(ISNUMBER($G113),$G113,$F113)&gt;=DATE(PlanYear,10,1)),1,0))</f>
        <v>0</v>
      </c>
      <c r="Y113">
        <f>IF($N113=0,0,IF(AND($F113&lt;=EOMONTH(DATE(PlanYear,11,1),0),IF(ISNUMBER($G113),$G113,$F113)&gt;=DATE(PlanYear,11,1)),1,0))</f>
        <v>0</v>
      </c>
      <c r="Z113">
        <f>IF($N113=0,0,IF(AND($F113&lt;=EOMONTH(DATE(PlanYear,12,1),0),IF(ISNUMBER($G113),$G113,$F113)&gt;=DATE(PlanYear,12,1)),1,0))</f>
        <v>0</v>
      </c>
      <c r="AA113">
        <f>SUM($O113:$Z113)</f>
        <v>0</v>
      </c>
    </row>
    <row r="114" spans="1:27">
      <c r="A114" s="42">
        <f>IF($B114="","","ACT-"&amp;TEXT(ROW()-4,"000"))</f>
        <v>0</v>
      </c>
      <c r="M114" s="43">
        <f>IF(COUNTA($B114:$K114)=0,"",IF($B114="","Missing activity name",IF($C114="","Missing practice",IF(COUNTIF(PracticeNames,$C114)=0,"Practice not in Lists",IF($D114="","Missing motion",IF(NOT(ISNUMBER($F114)),"Missing or invalid start date",IF(AND(ISNUMBER($G114),$G114&lt;$F114),"End date before start",IF(AND($N114=1,$AA114=0),"Outside planning year","OK"))))))))</f>
        <v>0</v>
      </c>
      <c r="N114">
        <f>IF(AND($B114&lt;&gt;"",$C114&lt;&gt;"",$D114&lt;&gt;"",ISNUMBER($F114),COUNTIF(PracticeNames,$C114)&gt;0,COUNTIF(MotionNames,$D114)&gt;0,NOT(AND(ISNUMBER($G114),$G114&lt;$F114))),IF(StatusFilter="All (excl. Cancelled)",IF($H114="Cancelled",0,1),IF(StatusFilter="All",1,IF($H114=StatusFilter,1,0))),0)</f>
        <v>0</v>
      </c>
      <c r="O114">
        <f>IF($N114=0,0,IF(AND($F114&lt;=EOMONTH(DATE(PlanYear,1,1),0),IF(ISNUMBER($G114),$G114,$F114)&gt;=DATE(PlanYear,1,1)),1,0))</f>
        <v>0</v>
      </c>
      <c r="P114">
        <f>IF($N114=0,0,IF(AND($F114&lt;=EOMONTH(DATE(PlanYear,2,1),0),IF(ISNUMBER($G114),$G114,$F114)&gt;=DATE(PlanYear,2,1)),1,0))</f>
        <v>0</v>
      </c>
      <c r="Q114">
        <f>IF($N114=0,0,IF(AND($F114&lt;=EOMONTH(DATE(PlanYear,3,1),0),IF(ISNUMBER($G114),$G114,$F114)&gt;=DATE(PlanYear,3,1)),1,0))</f>
        <v>0</v>
      </c>
      <c r="R114">
        <f>IF($N114=0,0,IF(AND($F114&lt;=EOMONTH(DATE(PlanYear,4,1),0),IF(ISNUMBER($G114),$G114,$F114)&gt;=DATE(PlanYear,4,1)),1,0))</f>
        <v>0</v>
      </c>
      <c r="S114">
        <f>IF($N114=0,0,IF(AND($F114&lt;=EOMONTH(DATE(PlanYear,5,1),0),IF(ISNUMBER($G114),$G114,$F114)&gt;=DATE(PlanYear,5,1)),1,0))</f>
        <v>0</v>
      </c>
      <c r="T114">
        <f>IF($N114=0,0,IF(AND($F114&lt;=EOMONTH(DATE(PlanYear,6,1),0),IF(ISNUMBER($G114),$G114,$F114)&gt;=DATE(PlanYear,6,1)),1,0))</f>
        <v>0</v>
      </c>
      <c r="U114">
        <f>IF($N114=0,0,IF(AND($F114&lt;=EOMONTH(DATE(PlanYear,7,1),0),IF(ISNUMBER($G114),$G114,$F114)&gt;=DATE(PlanYear,7,1)),1,0))</f>
        <v>0</v>
      </c>
      <c r="V114">
        <f>IF($N114=0,0,IF(AND($F114&lt;=EOMONTH(DATE(PlanYear,8,1),0),IF(ISNUMBER($G114),$G114,$F114)&gt;=DATE(PlanYear,8,1)),1,0))</f>
        <v>0</v>
      </c>
      <c r="W114">
        <f>IF($N114=0,0,IF(AND($F114&lt;=EOMONTH(DATE(PlanYear,9,1),0),IF(ISNUMBER($G114),$G114,$F114)&gt;=DATE(PlanYear,9,1)),1,0))</f>
        <v>0</v>
      </c>
      <c r="X114">
        <f>IF($N114=0,0,IF(AND($F114&lt;=EOMONTH(DATE(PlanYear,10,1),0),IF(ISNUMBER($G114),$G114,$F114)&gt;=DATE(PlanYear,10,1)),1,0))</f>
        <v>0</v>
      </c>
      <c r="Y114">
        <f>IF($N114=0,0,IF(AND($F114&lt;=EOMONTH(DATE(PlanYear,11,1),0),IF(ISNUMBER($G114),$G114,$F114)&gt;=DATE(PlanYear,11,1)),1,0))</f>
        <v>0</v>
      </c>
      <c r="Z114">
        <f>IF($N114=0,0,IF(AND($F114&lt;=EOMONTH(DATE(PlanYear,12,1),0),IF(ISNUMBER($G114),$G114,$F114)&gt;=DATE(PlanYear,12,1)),1,0))</f>
        <v>0</v>
      </c>
      <c r="AA114">
        <f>SUM($O114:$Z114)</f>
        <v>0</v>
      </c>
    </row>
    <row r="115" spans="1:27">
      <c r="A115" s="42">
        <f>IF($B115="","","ACT-"&amp;TEXT(ROW()-4,"000"))</f>
        <v>0</v>
      </c>
      <c r="M115" s="43">
        <f>IF(COUNTA($B115:$K115)=0,"",IF($B115="","Missing activity name",IF($C115="","Missing practice",IF(COUNTIF(PracticeNames,$C115)=0,"Practice not in Lists",IF($D115="","Missing motion",IF(NOT(ISNUMBER($F115)),"Missing or invalid start date",IF(AND(ISNUMBER($G115),$G115&lt;$F115),"End date before start",IF(AND($N115=1,$AA115=0),"Outside planning year","OK"))))))))</f>
        <v>0</v>
      </c>
      <c r="N115">
        <f>IF(AND($B115&lt;&gt;"",$C115&lt;&gt;"",$D115&lt;&gt;"",ISNUMBER($F115),COUNTIF(PracticeNames,$C115)&gt;0,COUNTIF(MotionNames,$D115)&gt;0,NOT(AND(ISNUMBER($G115),$G115&lt;$F115))),IF(StatusFilter="All (excl. Cancelled)",IF($H115="Cancelled",0,1),IF(StatusFilter="All",1,IF($H115=StatusFilter,1,0))),0)</f>
        <v>0</v>
      </c>
      <c r="O115">
        <f>IF($N115=0,0,IF(AND($F115&lt;=EOMONTH(DATE(PlanYear,1,1),0),IF(ISNUMBER($G115),$G115,$F115)&gt;=DATE(PlanYear,1,1)),1,0))</f>
        <v>0</v>
      </c>
      <c r="P115">
        <f>IF($N115=0,0,IF(AND($F115&lt;=EOMONTH(DATE(PlanYear,2,1),0),IF(ISNUMBER($G115),$G115,$F115)&gt;=DATE(PlanYear,2,1)),1,0))</f>
        <v>0</v>
      </c>
      <c r="Q115">
        <f>IF($N115=0,0,IF(AND($F115&lt;=EOMONTH(DATE(PlanYear,3,1),0),IF(ISNUMBER($G115),$G115,$F115)&gt;=DATE(PlanYear,3,1)),1,0))</f>
        <v>0</v>
      </c>
      <c r="R115">
        <f>IF($N115=0,0,IF(AND($F115&lt;=EOMONTH(DATE(PlanYear,4,1),0),IF(ISNUMBER($G115),$G115,$F115)&gt;=DATE(PlanYear,4,1)),1,0))</f>
        <v>0</v>
      </c>
      <c r="S115">
        <f>IF($N115=0,0,IF(AND($F115&lt;=EOMONTH(DATE(PlanYear,5,1),0),IF(ISNUMBER($G115),$G115,$F115)&gt;=DATE(PlanYear,5,1)),1,0))</f>
        <v>0</v>
      </c>
      <c r="T115">
        <f>IF($N115=0,0,IF(AND($F115&lt;=EOMONTH(DATE(PlanYear,6,1),0),IF(ISNUMBER($G115),$G115,$F115)&gt;=DATE(PlanYear,6,1)),1,0))</f>
        <v>0</v>
      </c>
      <c r="U115">
        <f>IF($N115=0,0,IF(AND($F115&lt;=EOMONTH(DATE(PlanYear,7,1),0),IF(ISNUMBER($G115),$G115,$F115)&gt;=DATE(PlanYear,7,1)),1,0))</f>
        <v>0</v>
      </c>
      <c r="V115">
        <f>IF($N115=0,0,IF(AND($F115&lt;=EOMONTH(DATE(PlanYear,8,1),0),IF(ISNUMBER($G115),$G115,$F115)&gt;=DATE(PlanYear,8,1)),1,0))</f>
        <v>0</v>
      </c>
      <c r="W115">
        <f>IF($N115=0,0,IF(AND($F115&lt;=EOMONTH(DATE(PlanYear,9,1),0),IF(ISNUMBER($G115),$G115,$F115)&gt;=DATE(PlanYear,9,1)),1,0))</f>
        <v>0</v>
      </c>
      <c r="X115">
        <f>IF($N115=0,0,IF(AND($F115&lt;=EOMONTH(DATE(PlanYear,10,1),0),IF(ISNUMBER($G115),$G115,$F115)&gt;=DATE(PlanYear,10,1)),1,0))</f>
        <v>0</v>
      </c>
      <c r="Y115">
        <f>IF($N115=0,0,IF(AND($F115&lt;=EOMONTH(DATE(PlanYear,11,1),0),IF(ISNUMBER($G115),$G115,$F115)&gt;=DATE(PlanYear,11,1)),1,0))</f>
        <v>0</v>
      </c>
      <c r="Z115">
        <f>IF($N115=0,0,IF(AND($F115&lt;=EOMONTH(DATE(PlanYear,12,1),0),IF(ISNUMBER($G115),$G115,$F115)&gt;=DATE(PlanYear,12,1)),1,0))</f>
        <v>0</v>
      </c>
      <c r="AA115">
        <f>SUM($O115:$Z115)</f>
        <v>0</v>
      </c>
    </row>
    <row r="116" spans="1:27">
      <c r="A116" s="42">
        <f>IF($B116="","","ACT-"&amp;TEXT(ROW()-4,"000"))</f>
        <v>0</v>
      </c>
      <c r="M116" s="43">
        <f>IF(COUNTA($B116:$K116)=0,"",IF($B116="","Missing activity name",IF($C116="","Missing practice",IF(COUNTIF(PracticeNames,$C116)=0,"Practice not in Lists",IF($D116="","Missing motion",IF(NOT(ISNUMBER($F116)),"Missing or invalid start date",IF(AND(ISNUMBER($G116),$G116&lt;$F116),"End date before start",IF(AND($N116=1,$AA116=0),"Outside planning year","OK"))))))))</f>
        <v>0</v>
      </c>
      <c r="N116">
        <f>IF(AND($B116&lt;&gt;"",$C116&lt;&gt;"",$D116&lt;&gt;"",ISNUMBER($F116),COUNTIF(PracticeNames,$C116)&gt;0,COUNTIF(MotionNames,$D116)&gt;0,NOT(AND(ISNUMBER($G116),$G116&lt;$F116))),IF(StatusFilter="All (excl. Cancelled)",IF($H116="Cancelled",0,1),IF(StatusFilter="All",1,IF($H116=StatusFilter,1,0))),0)</f>
        <v>0</v>
      </c>
      <c r="O116">
        <f>IF($N116=0,0,IF(AND($F116&lt;=EOMONTH(DATE(PlanYear,1,1),0),IF(ISNUMBER($G116),$G116,$F116)&gt;=DATE(PlanYear,1,1)),1,0))</f>
        <v>0</v>
      </c>
      <c r="P116">
        <f>IF($N116=0,0,IF(AND($F116&lt;=EOMONTH(DATE(PlanYear,2,1),0),IF(ISNUMBER($G116),$G116,$F116)&gt;=DATE(PlanYear,2,1)),1,0))</f>
        <v>0</v>
      </c>
      <c r="Q116">
        <f>IF($N116=0,0,IF(AND($F116&lt;=EOMONTH(DATE(PlanYear,3,1),0),IF(ISNUMBER($G116),$G116,$F116)&gt;=DATE(PlanYear,3,1)),1,0))</f>
        <v>0</v>
      </c>
      <c r="R116">
        <f>IF($N116=0,0,IF(AND($F116&lt;=EOMONTH(DATE(PlanYear,4,1),0),IF(ISNUMBER($G116),$G116,$F116)&gt;=DATE(PlanYear,4,1)),1,0))</f>
        <v>0</v>
      </c>
      <c r="S116">
        <f>IF($N116=0,0,IF(AND($F116&lt;=EOMONTH(DATE(PlanYear,5,1),0),IF(ISNUMBER($G116),$G116,$F116)&gt;=DATE(PlanYear,5,1)),1,0))</f>
        <v>0</v>
      </c>
      <c r="T116">
        <f>IF($N116=0,0,IF(AND($F116&lt;=EOMONTH(DATE(PlanYear,6,1),0),IF(ISNUMBER($G116),$G116,$F116)&gt;=DATE(PlanYear,6,1)),1,0))</f>
        <v>0</v>
      </c>
      <c r="U116">
        <f>IF($N116=0,0,IF(AND($F116&lt;=EOMONTH(DATE(PlanYear,7,1),0),IF(ISNUMBER($G116),$G116,$F116)&gt;=DATE(PlanYear,7,1)),1,0))</f>
        <v>0</v>
      </c>
      <c r="V116">
        <f>IF($N116=0,0,IF(AND($F116&lt;=EOMONTH(DATE(PlanYear,8,1),0),IF(ISNUMBER($G116),$G116,$F116)&gt;=DATE(PlanYear,8,1)),1,0))</f>
        <v>0</v>
      </c>
      <c r="W116">
        <f>IF($N116=0,0,IF(AND($F116&lt;=EOMONTH(DATE(PlanYear,9,1),0),IF(ISNUMBER($G116),$G116,$F116)&gt;=DATE(PlanYear,9,1)),1,0))</f>
        <v>0</v>
      </c>
      <c r="X116">
        <f>IF($N116=0,0,IF(AND($F116&lt;=EOMONTH(DATE(PlanYear,10,1),0),IF(ISNUMBER($G116),$G116,$F116)&gt;=DATE(PlanYear,10,1)),1,0))</f>
        <v>0</v>
      </c>
      <c r="Y116">
        <f>IF($N116=0,0,IF(AND($F116&lt;=EOMONTH(DATE(PlanYear,11,1),0),IF(ISNUMBER($G116),$G116,$F116)&gt;=DATE(PlanYear,11,1)),1,0))</f>
        <v>0</v>
      </c>
      <c r="Z116">
        <f>IF($N116=0,0,IF(AND($F116&lt;=EOMONTH(DATE(PlanYear,12,1),0),IF(ISNUMBER($G116),$G116,$F116)&gt;=DATE(PlanYear,12,1)),1,0))</f>
        <v>0</v>
      </c>
      <c r="AA116">
        <f>SUM($O116:$Z116)</f>
        <v>0</v>
      </c>
    </row>
    <row r="117" spans="1:27">
      <c r="A117" s="42">
        <f>IF($B117="","","ACT-"&amp;TEXT(ROW()-4,"000"))</f>
        <v>0</v>
      </c>
      <c r="M117" s="43">
        <f>IF(COUNTA($B117:$K117)=0,"",IF($B117="","Missing activity name",IF($C117="","Missing practice",IF(COUNTIF(PracticeNames,$C117)=0,"Practice not in Lists",IF($D117="","Missing motion",IF(NOT(ISNUMBER($F117)),"Missing or invalid start date",IF(AND(ISNUMBER($G117),$G117&lt;$F117),"End date before start",IF(AND($N117=1,$AA117=0),"Outside planning year","OK"))))))))</f>
        <v>0</v>
      </c>
      <c r="N117">
        <f>IF(AND($B117&lt;&gt;"",$C117&lt;&gt;"",$D117&lt;&gt;"",ISNUMBER($F117),COUNTIF(PracticeNames,$C117)&gt;0,COUNTIF(MotionNames,$D117)&gt;0,NOT(AND(ISNUMBER($G117),$G117&lt;$F117))),IF(StatusFilter="All (excl. Cancelled)",IF($H117="Cancelled",0,1),IF(StatusFilter="All",1,IF($H117=StatusFilter,1,0))),0)</f>
        <v>0</v>
      </c>
      <c r="O117">
        <f>IF($N117=0,0,IF(AND($F117&lt;=EOMONTH(DATE(PlanYear,1,1),0),IF(ISNUMBER($G117),$G117,$F117)&gt;=DATE(PlanYear,1,1)),1,0))</f>
        <v>0</v>
      </c>
      <c r="P117">
        <f>IF($N117=0,0,IF(AND($F117&lt;=EOMONTH(DATE(PlanYear,2,1),0),IF(ISNUMBER($G117),$G117,$F117)&gt;=DATE(PlanYear,2,1)),1,0))</f>
        <v>0</v>
      </c>
      <c r="Q117">
        <f>IF($N117=0,0,IF(AND($F117&lt;=EOMONTH(DATE(PlanYear,3,1),0),IF(ISNUMBER($G117),$G117,$F117)&gt;=DATE(PlanYear,3,1)),1,0))</f>
        <v>0</v>
      </c>
      <c r="R117">
        <f>IF($N117=0,0,IF(AND($F117&lt;=EOMONTH(DATE(PlanYear,4,1),0),IF(ISNUMBER($G117),$G117,$F117)&gt;=DATE(PlanYear,4,1)),1,0))</f>
        <v>0</v>
      </c>
      <c r="S117">
        <f>IF($N117=0,0,IF(AND($F117&lt;=EOMONTH(DATE(PlanYear,5,1),0),IF(ISNUMBER($G117),$G117,$F117)&gt;=DATE(PlanYear,5,1)),1,0))</f>
        <v>0</v>
      </c>
      <c r="T117">
        <f>IF($N117=0,0,IF(AND($F117&lt;=EOMONTH(DATE(PlanYear,6,1),0),IF(ISNUMBER($G117),$G117,$F117)&gt;=DATE(PlanYear,6,1)),1,0))</f>
        <v>0</v>
      </c>
      <c r="U117">
        <f>IF($N117=0,0,IF(AND($F117&lt;=EOMONTH(DATE(PlanYear,7,1),0),IF(ISNUMBER($G117),$G117,$F117)&gt;=DATE(PlanYear,7,1)),1,0))</f>
        <v>0</v>
      </c>
      <c r="V117">
        <f>IF($N117=0,0,IF(AND($F117&lt;=EOMONTH(DATE(PlanYear,8,1),0),IF(ISNUMBER($G117),$G117,$F117)&gt;=DATE(PlanYear,8,1)),1,0))</f>
        <v>0</v>
      </c>
      <c r="W117">
        <f>IF($N117=0,0,IF(AND($F117&lt;=EOMONTH(DATE(PlanYear,9,1),0),IF(ISNUMBER($G117),$G117,$F117)&gt;=DATE(PlanYear,9,1)),1,0))</f>
        <v>0</v>
      </c>
      <c r="X117">
        <f>IF($N117=0,0,IF(AND($F117&lt;=EOMONTH(DATE(PlanYear,10,1),0),IF(ISNUMBER($G117),$G117,$F117)&gt;=DATE(PlanYear,10,1)),1,0))</f>
        <v>0</v>
      </c>
      <c r="Y117">
        <f>IF($N117=0,0,IF(AND($F117&lt;=EOMONTH(DATE(PlanYear,11,1),0),IF(ISNUMBER($G117),$G117,$F117)&gt;=DATE(PlanYear,11,1)),1,0))</f>
        <v>0</v>
      </c>
      <c r="Z117">
        <f>IF($N117=0,0,IF(AND($F117&lt;=EOMONTH(DATE(PlanYear,12,1),0),IF(ISNUMBER($G117),$G117,$F117)&gt;=DATE(PlanYear,12,1)),1,0))</f>
        <v>0</v>
      </c>
      <c r="AA117">
        <f>SUM($O117:$Z117)</f>
        <v>0</v>
      </c>
    </row>
    <row r="118" spans="1:27">
      <c r="A118" s="42">
        <f>IF($B118="","","ACT-"&amp;TEXT(ROW()-4,"000"))</f>
        <v>0</v>
      </c>
      <c r="M118" s="43">
        <f>IF(COUNTA($B118:$K118)=0,"",IF($B118="","Missing activity name",IF($C118="","Missing practice",IF(COUNTIF(PracticeNames,$C118)=0,"Practice not in Lists",IF($D118="","Missing motion",IF(NOT(ISNUMBER($F118)),"Missing or invalid start date",IF(AND(ISNUMBER($G118),$G118&lt;$F118),"End date before start",IF(AND($N118=1,$AA118=0),"Outside planning year","OK"))))))))</f>
        <v>0</v>
      </c>
      <c r="N118">
        <f>IF(AND($B118&lt;&gt;"",$C118&lt;&gt;"",$D118&lt;&gt;"",ISNUMBER($F118),COUNTIF(PracticeNames,$C118)&gt;0,COUNTIF(MotionNames,$D118)&gt;0,NOT(AND(ISNUMBER($G118),$G118&lt;$F118))),IF(StatusFilter="All (excl. Cancelled)",IF($H118="Cancelled",0,1),IF(StatusFilter="All",1,IF($H118=StatusFilter,1,0))),0)</f>
        <v>0</v>
      </c>
      <c r="O118">
        <f>IF($N118=0,0,IF(AND($F118&lt;=EOMONTH(DATE(PlanYear,1,1),0),IF(ISNUMBER($G118),$G118,$F118)&gt;=DATE(PlanYear,1,1)),1,0))</f>
        <v>0</v>
      </c>
      <c r="P118">
        <f>IF($N118=0,0,IF(AND($F118&lt;=EOMONTH(DATE(PlanYear,2,1),0),IF(ISNUMBER($G118),$G118,$F118)&gt;=DATE(PlanYear,2,1)),1,0))</f>
        <v>0</v>
      </c>
      <c r="Q118">
        <f>IF($N118=0,0,IF(AND($F118&lt;=EOMONTH(DATE(PlanYear,3,1),0),IF(ISNUMBER($G118),$G118,$F118)&gt;=DATE(PlanYear,3,1)),1,0))</f>
        <v>0</v>
      </c>
      <c r="R118">
        <f>IF($N118=0,0,IF(AND($F118&lt;=EOMONTH(DATE(PlanYear,4,1),0),IF(ISNUMBER($G118),$G118,$F118)&gt;=DATE(PlanYear,4,1)),1,0))</f>
        <v>0</v>
      </c>
      <c r="S118">
        <f>IF($N118=0,0,IF(AND($F118&lt;=EOMONTH(DATE(PlanYear,5,1),0),IF(ISNUMBER($G118),$G118,$F118)&gt;=DATE(PlanYear,5,1)),1,0))</f>
        <v>0</v>
      </c>
      <c r="T118">
        <f>IF($N118=0,0,IF(AND($F118&lt;=EOMONTH(DATE(PlanYear,6,1),0),IF(ISNUMBER($G118),$G118,$F118)&gt;=DATE(PlanYear,6,1)),1,0))</f>
        <v>0</v>
      </c>
      <c r="U118">
        <f>IF($N118=0,0,IF(AND($F118&lt;=EOMONTH(DATE(PlanYear,7,1),0),IF(ISNUMBER($G118),$G118,$F118)&gt;=DATE(PlanYear,7,1)),1,0))</f>
        <v>0</v>
      </c>
      <c r="V118">
        <f>IF($N118=0,0,IF(AND($F118&lt;=EOMONTH(DATE(PlanYear,8,1),0),IF(ISNUMBER($G118),$G118,$F118)&gt;=DATE(PlanYear,8,1)),1,0))</f>
        <v>0</v>
      </c>
      <c r="W118">
        <f>IF($N118=0,0,IF(AND($F118&lt;=EOMONTH(DATE(PlanYear,9,1),0),IF(ISNUMBER($G118),$G118,$F118)&gt;=DATE(PlanYear,9,1)),1,0))</f>
        <v>0</v>
      </c>
      <c r="X118">
        <f>IF($N118=0,0,IF(AND($F118&lt;=EOMONTH(DATE(PlanYear,10,1),0),IF(ISNUMBER($G118),$G118,$F118)&gt;=DATE(PlanYear,10,1)),1,0))</f>
        <v>0</v>
      </c>
      <c r="Y118">
        <f>IF($N118=0,0,IF(AND($F118&lt;=EOMONTH(DATE(PlanYear,11,1),0),IF(ISNUMBER($G118),$G118,$F118)&gt;=DATE(PlanYear,11,1)),1,0))</f>
        <v>0</v>
      </c>
      <c r="Z118">
        <f>IF($N118=0,0,IF(AND($F118&lt;=EOMONTH(DATE(PlanYear,12,1),0),IF(ISNUMBER($G118),$G118,$F118)&gt;=DATE(PlanYear,12,1)),1,0))</f>
        <v>0</v>
      </c>
      <c r="AA118">
        <f>SUM($O118:$Z118)</f>
        <v>0</v>
      </c>
    </row>
    <row r="119" spans="1:27">
      <c r="A119" s="42">
        <f>IF($B119="","","ACT-"&amp;TEXT(ROW()-4,"000"))</f>
        <v>0</v>
      </c>
      <c r="M119" s="43">
        <f>IF(COUNTA($B119:$K119)=0,"",IF($B119="","Missing activity name",IF($C119="","Missing practice",IF(COUNTIF(PracticeNames,$C119)=0,"Practice not in Lists",IF($D119="","Missing motion",IF(NOT(ISNUMBER($F119)),"Missing or invalid start date",IF(AND(ISNUMBER($G119),$G119&lt;$F119),"End date before start",IF(AND($N119=1,$AA119=0),"Outside planning year","OK"))))))))</f>
        <v>0</v>
      </c>
      <c r="N119">
        <f>IF(AND($B119&lt;&gt;"",$C119&lt;&gt;"",$D119&lt;&gt;"",ISNUMBER($F119),COUNTIF(PracticeNames,$C119)&gt;0,COUNTIF(MotionNames,$D119)&gt;0,NOT(AND(ISNUMBER($G119),$G119&lt;$F119))),IF(StatusFilter="All (excl. Cancelled)",IF($H119="Cancelled",0,1),IF(StatusFilter="All",1,IF($H119=StatusFilter,1,0))),0)</f>
        <v>0</v>
      </c>
      <c r="O119">
        <f>IF($N119=0,0,IF(AND($F119&lt;=EOMONTH(DATE(PlanYear,1,1),0),IF(ISNUMBER($G119),$G119,$F119)&gt;=DATE(PlanYear,1,1)),1,0))</f>
        <v>0</v>
      </c>
      <c r="P119">
        <f>IF($N119=0,0,IF(AND($F119&lt;=EOMONTH(DATE(PlanYear,2,1),0),IF(ISNUMBER($G119),$G119,$F119)&gt;=DATE(PlanYear,2,1)),1,0))</f>
        <v>0</v>
      </c>
      <c r="Q119">
        <f>IF($N119=0,0,IF(AND($F119&lt;=EOMONTH(DATE(PlanYear,3,1),0),IF(ISNUMBER($G119),$G119,$F119)&gt;=DATE(PlanYear,3,1)),1,0))</f>
        <v>0</v>
      </c>
      <c r="R119">
        <f>IF($N119=0,0,IF(AND($F119&lt;=EOMONTH(DATE(PlanYear,4,1),0),IF(ISNUMBER($G119),$G119,$F119)&gt;=DATE(PlanYear,4,1)),1,0))</f>
        <v>0</v>
      </c>
      <c r="S119">
        <f>IF($N119=0,0,IF(AND($F119&lt;=EOMONTH(DATE(PlanYear,5,1),0),IF(ISNUMBER($G119),$G119,$F119)&gt;=DATE(PlanYear,5,1)),1,0))</f>
        <v>0</v>
      </c>
      <c r="T119">
        <f>IF($N119=0,0,IF(AND($F119&lt;=EOMONTH(DATE(PlanYear,6,1),0),IF(ISNUMBER($G119),$G119,$F119)&gt;=DATE(PlanYear,6,1)),1,0))</f>
        <v>0</v>
      </c>
      <c r="U119">
        <f>IF($N119=0,0,IF(AND($F119&lt;=EOMONTH(DATE(PlanYear,7,1),0),IF(ISNUMBER($G119),$G119,$F119)&gt;=DATE(PlanYear,7,1)),1,0))</f>
        <v>0</v>
      </c>
      <c r="V119">
        <f>IF($N119=0,0,IF(AND($F119&lt;=EOMONTH(DATE(PlanYear,8,1),0),IF(ISNUMBER($G119),$G119,$F119)&gt;=DATE(PlanYear,8,1)),1,0))</f>
        <v>0</v>
      </c>
      <c r="W119">
        <f>IF($N119=0,0,IF(AND($F119&lt;=EOMONTH(DATE(PlanYear,9,1),0),IF(ISNUMBER($G119),$G119,$F119)&gt;=DATE(PlanYear,9,1)),1,0))</f>
        <v>0</v>
      </c>
      <c r="X119">
        <f>IF($N119=0,0,IF(AND($F119&lt;=EOMONTH(DATE(PlanYear,10,1),0),IF(ISNUMBER($G119),$G119,$F119)&gt;=DATE(PlanYear,10,1)),1,0))</f>
        <v>0</v>
      </c>
      <c r="Y119">
        <f>IF($N119=0,0,IF(AND($F119&lt;=EOMONTH(DATE(PlanYear,11,1),0),IF(ISNUMBER($G119),$G119,$F119)&gt;=DATE(PlanYear,11,1)),1,0))</f>
        <v>0</v>
      </c>
      <c r="Z119">
        <f>IF($N119=0,0,IF(AND($F119&lt;=EOMONTH(DATE(PlanYear,12,1),0),IF(ISNUMBER($G119),$G119,$F119)&gt;=DATE(PlanYear,12,1)),1,0))</f>
        <v>0</v>
      </c>
      <c r="AA119">
        <f>SUM($O119:$Z119)</f>
        <v>0</v>
      </c>
    </row>
    <row r="120" spans="1:27">
      <c r="A120" s="42">
        <f>IF($B120="","","ACT-"&amp;TEXT(ROW()-4,"000"))</f>
        <v>0</v>
      </c>
      <c r="M120" s="43">
        <f>IF(COUNTA($B120:$K120)=0,"",IF($B120="","Missing activity name",IF($C120="","Missing practice",IF(COUNTIF(PracticeNames,$C120)=0,"Practice not in Lists",IF($D120="","Missing motion",IF(NOT(ISNUMBER($F120)),"Missing or invalid start date",IF(AND(ISNUMBER($G120),$G120&lt;$F120),"End date before start",IF(AND($N120=1,$AA120=0),"Outside planning year","OK"))))))))</f>
        <v>0</v>
      </c>
      <c r="N120">
        <f>IF(AND($B120&lt;&gt;"",$C120&lt;&gt;"",$D120&lt;&gt;"",ISNUMBER($F120),COUNTIF(PracticeNames,$C120)&gt;0,COUNTIF(MotionNames,$D120)&gt;0,NOT(AND(ISNUMBER($G120),$G120&lt;$F120))),IF(StatusFilter="All (excl. Cancelled)",IF($H120="Cancelled",0,1),IF(StatusFilter="All",1,IF($H120=StatusFilter,1,0))),0)</f>
        <v>0</v>
      </c>
      <c r="O120">
        <f>IF($N120=0,0,IF(AND($F120&lt;=EOMONTH(DATE(PlanYear,1,1),0),IF(ISNUMBER($G120),$G120,$F120)&gt;=DATE(PlanYear,1,1)),1,0))</f>
        <v>0</v>
      </c>
      <c r="P120">
        <f>IF($N120=0,0,IF(AND($F120&lt;=EOMONTH(DATE(PlanYear,2,1),0),IF(ISNUMBER($G120),$G120,$F120)&gt;=DATE(PlanYear,2,1)),1,0))</f>
        <v>0</v>
      </c>
      <c r="Q120">
        <f>IF($N120=0,0,IF(AND($F120&lt;=EOMONTH(DATE(PlanYear,3,1),0),IF(ISNUMBER($G120),$G120,$F120)&gt;=DATE(PlanYear,3,1)),1,0))</f>
        <v>0</v>
      </c>
      <c r="R120">
        <f>IF($N120=0,0,IF(AND($F120&lt;=EOMONTH(DATE(PlanYear,4,1),0),IF(ISNUMBER($G120),$G120,$F120)&gt;=DATE(PlanYear,4,1)),1,0))</f>
        <v>0</v>
      </c>
      <c r="S120">
        <f>IF($N120=0,0,IF(AND($F120&lt;=EOMONTH(DATE(PlanYear,5,1),0),IF(ISNUMBER($G120),$G120,$F120)&gt;=DATE(PlanYear,5,1)),1,0))</f>
        <v>0</v>
      </c>
      <c r="T120">
        <f>IF($N120=0,0,IF(AND($F120&lt;=EOMONTH(DATE(PlanYear,6,1),0),IF(ISNUMBER($G120),$G120,$F120)&gt;=DATE(PlanYear,6,1)),1,0))</f>
        <v>0</v>
      </c>
      <c r="U120">
        <f>IF($N120=0,0,IF(AND($F120&lt;=EOMONTH(DATE(PlanYear,7,1),0),IF(ISNUMBER($G120),$G120,$F120)&gt;=DATE(PlanYear,7,1)),1,0))</f>
        <v>0</v>
      </c>
      <c r="V120">
        <f>IF($N120=0,0,IF(AND($F120&lt;=EOMONTH(DATE(PlanYear,8,1),0),IF(ISNUMBER($G120),$G120,$F120)&gt;=DATE(PlanYear,8,1)),1,0))</f>
        <v>0</v>
      </c>
      <c r="W120">
        <f>IF($N120=0,0,IF(AND($F120&lt;=EOMONTH(DATE(PlanYear,9,1),0),IF(ISNUMBER($G120),$G120,$F120)&gt;=DATE(PlanYear,9,1)),1,0))</f>
        <v>0</v>
      </c>
      <c r="X120">
        <f>IF($N120=0,0,IF(AND($F120&lt;=EOMONTH(DATE(PlanYear,10,1),0),IF(ISNUMBER($G120),$G120,$F120)&gt;=DATE(PlanYear,10,1)),1,0))</f>
        <v>0</v>
      </c>
      <c r="Y120">
        <f>IF($N120=0,0,IF(AND($F120&lt;=EOMONTH(DATE(PlanYear,11,1),0),IF(ISNUMBER($G120),$G120,$F120)&gt;=DATE(PlanYear,11,1)),1,0))</f>
        <v>0</v>
      </c>
      <c r="Z120">
        <f>IF($N120=0,0,IF(AND($F120&lt;=EOMONTH(DATE(PlanYear,12,1),0),IF(ISNUMBER($G120),$G120,$F120)&gt;=DATE(PlanYear,12,1)),1,0))</f>
        <v>0</v>
      </c>
      <c r="AA120">
        <f>SUM($O120:$Z120)</f>
        <v>0</v>
      </c>
    </row>
    <row r="121" spans="1:27">
      <c r="A121" s="42">
        <f>IF($B121="","","ACT-"&amp;TEXT(ROW()-4,"000"))</f>
        <v>0</v>
      </c>
      <c r="M121" s="43">
        <f>IF(COUNTA($B121:$K121)=0,"",IF($B121="","Missing activity name",IF($C121="","Missing practice",IF(COUNTIF(PracticeNames,$C121)=0,"Practice not in Lists",IF($D121="","Missing motion",IF(NOT(ISNUMBER($F121)),"Missing or invalid start date",IF(AND(ISNUMBER($G121),$G121&lt;$F121),"End date before start",IF(AND($N121=1,$AA121=0),"Outside planning year","OK"))))))))</f>
        <v>0</v>
      </c>
      <c r="N121">
        <f>IF(AND($B121&lt;&gt;"",$C121&lt;&gt;"",$D121&lt;&gt;"",ISNUMBER($F121),COUNTIF(PracticeNames,$C121)&gt;0,COUNTIF(MotionNames,$D121)&gt;0,NOT(AND(ISNUMBER($G121),$G121&lt;$F121))),IF(StatusFilter="All (excl. Cancelled)",IF($H121="Cancelled",0,1),IF(StatusFilter="All",1,IF($H121=StatusFilter,1,0))),0)</f>
        <v>0</v>
      </c>
      <c r="O121">
        <f>IF($N121=0,0,IF(AND($F121&lt;=EOMONTH(DATE(PlanYear,1,1),0),IF(ISNUMBER($G121),$G121,$F121)&gt;=DATE(PlanYear,1,1)),1,0))</f>
        <v>0</v>
      </c>
      <c r="P121">
        <f>IF($N121=0,0,IF(AND($F121&lt;=EOMONTH(DATE(PlanYear,2,1),0),IF(ISNUMBER($G121),$G121,$F121)&gt;=DATE(PlanYear,2,1)),1,0))</f>
        <v>0</v>
      </c>
      <c r="Q121">
        <f>IF($N121=0,0,IF(AND($F121&lt;=EOMONTH(DATE(PlanYear,3,1),0),IF(ISNUMBER($G121),$G121,$F121)&gt;=DATE(PlanYear,3,1)),1,0))</f>
        <v>0</v>
      </c>
      <c r="R121">
        <f>IF($N121=0,0,IF(AND($F121&lt;=EOMONTH(DATE(PlanYear,4,1),0),IF(ISNUMBER($G121),$G121,$F121)&gt;=DATE(PlanYear,4,1)),1,0))</f>
        <v>0</v>
      </c>
      <c r="S121">
        <f>IF($N121=0,0,IF(AND($F121&lt;=EOMONTH(DATE(PlanYear,5,1),0),IF(ISNUMBER($G121),$G121,$F121)&gt;=DATE(PlanYear,5,1)),1,0))</f>
        <v>0</v>
      </c>
      <c r="T121">
        <f>IF($N121=0,0,IF(AND($F121&lt;=EOMONTH(DATE(PlanYear,6,1),0),IF(ISNUMBER($G121),$G121,$F121)&gt;=DATE(PlanYear,6,1)),1,0))</f>
        <v>0</v>
      </c>
      <c r="U121">
        <f>IF($N121=0,0,IF(AND($F121&lt;=EOMONTH(DATE(PlanYear,7,1),0),IF(ISNUMBER($G121),$G121,$F121)&gt;=DATE(PlanYear,7,1)),1,0))</f>
        <v>0</v>
      </c>
      <c r="V121">
        <f>IF($N121=0,0,IF(AND($F121&lt;=EOMONTH(DATE(PlanYear,8,1),0),IF(ISNUMBER($G121),$G121,$F121)&gt;=DATE(PlanYear,8,1)),1,0))</f>
        <v>0</v>
      </c>
      <c r="W121">
        <f>IF($N121=0,0,IF(AND($F121&lt;=EOMONTH(DATE(PlanYear,9,1),0),IF(ISNUMBER($G121),$G121,$F121)&gt;=DATE(PlanYear,9,1)),1,0))</f>
        <v>0</v>
      </c>
      <c r="X121">
        <f>IF($N121=0,0,IF(AND($F121&lt;=EOMONTH(DATE(PlanYear,10,1),0),IF(ISNUMBER($G121),$G121,$F121)&gt;=DATE(PlanYear,10,1)),1,0))</f>
        <v>0</v>
      </c>
      <c r="Y121">
        <f>IF($N121=0,0,IF(AND($F121&lt;=EOMONTH(DATE(PlanYear,11,1),0),IF(ISNUMBER($G121),$G121,$F121)&gt;=DATE(PlanYear,11,1)),1,0))</f>
        <v>0</v>
      </c>
      <c r="Z121">
        <f>IF($N121=0,0,IF(AND($F121&lt;=EOMONTH(DATE(PlanYear,12,1),0),IF(ISNUMBER($G121),$G121,$F121)&gt;=DATE(PlanYear,12,1)),1,0))</f>
        <v>0</v>
      </c>
      <c r="AA121">
        <f>SUM($O121:$Z121)</f>
        <v>0</v>
      </c>
    </row>
    <row r="122" spans="1:27">
      <c r="A122" s="42">
        <f>IF($B122="","","ACT-"&amp;TEXT(ROW()-4,"000"))</f>
        <v>0</v>
      </c>
      <c r="M122" s="43">
        <f>IF(COUNTA($B122:$K122)=0,"",IF($B122="","Missing activity name",IF($C122="","Missing practice",IF(COUNTIF(PracticeNames,$C122)=0,"Practice not in Lists",IF($D122="","Missing motion",IF(NOT(ISNUMBER($F122)),"Missing or invalid start date",IF(AND(ISNUMBER($G122),$G122&lt;$F122),"End date before start",IF(AND($N122=1,$AA122=0),"Outside planning year","OK"))))))))</f>
        <v>0</v>
      </c>
      <c r="N122">
        <f>IF(AND($B122&lt;&gt;"",$C122&lt;&gt;"",$D122&lt;&gt;"",ISNUMBER($F122),COUNTIF(PracticeNames,$C122)&gt;0,COUNTIF(MotionNames,$D122)&gt;0,NOT(AND(ISNUMBER($G122),$G122&lt;$F122))),IF(StatusFilter="All (excl. Cancelled)",IF($H122="Cancelled",0,1),IF(StatusFilter="All",1,IF($H122=StatusFilter,1,0))),0)</f>
        <v>0</v>
      </c>
      <c r="O122">
        <f>IF($N122=0,0,IF(AND($F122&lt;=EOMONTH(DATE(PlanYear,1,1),0),IF(ISNUMBER($G122),$G122,$F122)&gt;=DATE(PlanYear,1,1)),1,0))</f>
        <v>0</v>
      </c>
      <c r="P122">
        <f>IF($N122=0,0,IF(AND($F122&lt;=EOMONTH(DATE(PlanYear,2,1),0),IF(ISNUMBER($G122),$G122,$F122)&gt;=DATE(PlanYear,2,1)),1,0))</f>
        <v>0</v>
      </c>
      <c r="Q122">
        <f>IF($N122=0,0,IF(AND($F122&lt;=EOMONTH(DATE(PlanYear,3,1),0),IF(ISNUMBER($G122),$G122,$F122)&gt;=DATE(PlanYear,3,1)),1,0))</f>
        <v>0</v>
      </c>
      <c r="R122">
        <f>IF($N122=0,0,IF(AND($F122&lt;=EOMONTH(DATE(PlanYear,4,1),0),IF(ISNUMBER($G122),$G122,$F122)&gt;=DATE(PlanYear,4,1)),1,0))</f>
        <v>0</v>
      </c>
      <c r="S122">
        <f>IF($N122=0,0,IF(AND($F122&lt;=EOMONTH(DATE(PlanYear,5,1),0),IF(ISNUMBER($G122),$G122,$F122)&gt;=DATE(PlanYear,5,1)),1,0))</f>
        <v>0</v>
      </c>
      <c r="T122">
        <f>IF($N122=0,0,IF(AND($F122&lt;=EOMONTH(DATE(PlanYear,6,1),0),IF(ISNUMBER($G122),$G122,$F122)&gt;=DATE(PlanYear,6,1)),1,0))</f>
        <v>0</v>
      </c>
      <c r="U122">
        <f>IF($N122=0,0,IF(AND($F122&lt;=EOMONTH(DATE(PlanYear,7,1),0),IF(ISNUMBER($G122),$G122,$F122)&gt;=DATE(PlanYear,7,1)),1,0))</f>
        <v>0</v>
      </c>
      <c r="V122">
        <f>IF($N122=0,0,IF(AND($F122&lt;=EOMONTH(DATE(PlanYear,8,1),0),IF(ISNUMBER($G122),$G122,$F122)&gt;=DATE(PlanYear,8,1)),1,0))</f>
        <v>0</v>
      </c>
      <c r="W122">
        <f>IF($N122=0,0,IF(AND($F122&lt;=EOMONTH(DATE(PlanYear,9,1),0),IF(ISNUMBER($G122),$G122,$F122)&gt;=DATE(PlanYear,9,1)),1,0))</f>
        <v>0</v>
      </c>
      <c r="X122">
        <f>IF($N122=0,0,IF(AND($F122&lt;=EOMONTH(DATE(PlanYear,10,1),0),IF(ISNUMBER($G122),$G122,$F122)&gt;=DATE(PlanYear,10,1)),1,0))</f>
        <v>0</v>
      </c>
      <c r="Y122">
        <f>IF($N122=0,0,IF(AND($F122&lt;=EOMONTH(DATE(PlanYear,11,1),0),IF(ISNUMBER($G122),$G122,$F122)&gt;=DATE(PlanYear,11,1)),1,0))</f>
        <v>0</v>
      </c>
      <c r="Z122">
        <f>IF($N122=0,0,IF(AND($F122&lt;=EOMONTH(DATE(PlanYear,12,1),0),IF(ISNUMBER($G122),$G122,$F122)&gt;=DATE(PlanYear,12,1)),1,0))</f>
        <v>0</v>
      </c>
      <c r="AA122">
        <f>SUM($O122:$Z122)</f>
        <v>0</v>
      </c>
    </row>
    <row r="123" spans="1:27">
      <c r="A123" s="42">
        <f>IF($B123="","","ACT-"&amp;TEXT(ROW()-4,"000"))</f>
        <v>0</v>
      </c>
      <c r="M123" s="43">
        <f>IF(COUNTA($B123:$K123)=0,"",IF($B123="","Missing activity name",IF($C123="","Missing practice",IF(COUNTIF(PracticeNames,$C123)=0,"Practice not in Lists",IF($D123="","Missing motion",IF(NOT(ISNUMBER($F123)),"Missing or invalid start date",IF(AND(ISNUMBER($G123),$G123&lt;$F123),"End date before start",IF(AND($N123=1,$AA123=0),"Outside planning year","OK"))))))))</f>
        <v>0</v>
      </c>
      <c r="N123">
        <f>IF(AND($B123&lt;&gt;"",$C123&lt;&gt;"",$D123&lt;&gt;"",ISNUMBER($F123),COUNTIF(PracticeNames,$C123)&gt;0,COUNTIF(MotionNames,$D123)&gt;0,NOT(AND(ISNUMBER($G123),$G123&lt;$F123))),IF(StatusFilter="All (excl. Cancelled)",IF($H123="Cancelled",0,1),IF(StatusFilter="All",1,IF($H123=StatusFilter,1,0))),0)</f>
        <v>0</v>
      </c>
      <c r="O123">
        <f>IF($N123=0,0,IF(AND($F123&lt;=EOMONTH(DATE(PlanYear,1,1),0),IF(ISNUMBER($G123),$G123,$F123)&gt;=DATE(PlanYear,1,1)),1,0))</f>
        <v>0</v>
      </c>
      <c r="P123">
        <f>IF($N123=0,0,IF(AND($F123&lt;=EOMONTH(DATE(PlanYear,2,1),0),IF(ISNUMBER($G123),$G123,$F123)&gt;=DATE(PlanYear,2,1)),1,0))</f>
        <v>0</v>
      </c>
      <c r="Q123">
        <f>IF($N123=0,0,IF(AND($F123&lt;=EOMONTH(DATE(PlanYear,3,1),0),IF(ISNUMBER($G123),$G123,$F123)&gt;=DATE(PlanYear,3,1)),1,0))</f>
        <v>0</v>
      </c>
      <c r="R123">
        <f>IF($N123=0,0,IF(AND($F123&lt;=EOMONTH(DATE(PlanYear,4,1),0),IF(ISNUMBER($G123),$G123,$F123)&gt;=DATE(PlanYear,4,1)),1,0))</f>
        <v>0</v>
      </c>
      <c r="S123">
        <f>IF($N123=0,0,IF(AND($F123&lt;=EOMONTH(DATE(PlanYear,5,1),0),IF(ISNUMBER($G123),$G123,$F123)&gt;=DATE(PlanYear,5,1)),1,0))</f>
        <v>0</v>
      </c>
      <c r="T123">
        <f>IF($N123=0,0,IF(AND($F123&lt;=EOMONTH(DATE(PlanYear,6,1),0),IF(ISNUMBER($G123),$G123,$F123)&gt;=DATE(PlanYear,6,1)),1,0))</f>
        <v>0</v>
      </c>
      <c r="U123">
        <f>IF($N123=0,0,IF(AND($F123&lt;=EOMONTH(DATE(PlanYear,7,1),0),IF(ISNUMBER($G123),$G123,$F123)&gt;=DATE(PlanYear,7,1)),1,0))</f>
        <v>0</v>
      </c>
      <c r="V123">
        <f>IF($N123=0,0,IF(AND($F123&lt;=EOMONTH(DATE(PlanYear,8,1),0),IF(ISNUMBER($G123),$G123,$F123)&gt;=DATE(PlanYear,8,1)),1,0))</f>
        <v>0</v>
      </c>
      <c r="W123">
        <f>IF($N123=0,0,IF(AND($F123&lt;=EOMONTH(DATE(PlanYear,9,1),0),IF(ISNUMBER($G123),$G123,$F123)&gt;=DATE(PlanYear,9,1)),1,0))</f>
        <v>0</v>
      </c>
      <c r="X123">
        <f>IF($N123=0,0,IF(AND($F123&lt;=EOMONTH(DATE(PlanYear,10,1),0),IF(ISNUMBER($G123),$G123,$F123)&gt;=DATE(PlanYear,10,1)),1,0))</f>
        <v>0</v>
      </c>
      <c r="Y123">
        <f>IF($N123=0,0,IF(AND($F123&lt;=EOMONTH(DATE(PlanYear,11,1),0),IF(ISNUMBER($G123),$G123,$F123)&gt;=DATE(PlanYear,11,1)),1,0))</f>
        <v>0</v>
      </c>
      <c r="Z123">
        <f>IF($N123=0,0,IF(AND($F123&lt;=EOMONTH(DATE(PlanYear,12,1),0),IF(ISNUMBER($G123),$G123,$F123)&gt;=DATE(PlanYear,12,1)),1,0))</f>
        <v>0</v>
      </c>
      <c r="AA123">
        <f>SUM($O123:$Z123)</f>
        <v>0</v>
      </c>
    </row>
    <row r="124" spans="1:27">
      <c r="A124" s="42">
        <f>IF($B124="","","ACT-"&amp;TEXT(ROW()-4,"000"))</f>
        <v>0</v>
      </c>
      <c r="M124" s="43">
        <f>IF(COUNTA($B124:$K124)=0,"",IF($B124="","Missing activity name",IF($C124="","Missing practice",IF(COUNTIF(PracticeNames,$C124)=0,"Practice not in Lists",IF($D124="","Missing motion",IF(NOT(ISNUMBER($F124)),"Missing or invalid start date",IF(AND(ISNUMBER($G124),$G124&lt;$F124),"End date before start",IF(AND($N124=1,$AA124=0),"Outside planning year","OK"))))))))</f>
        <v>0</v>
      </c>
      <c r="N124">
        <f>IF(AND($B124&lt;&gt;"",$C124&lt;&gt;"",$D124&lt;&gt;"",ISNUMBER($F124),COUNTIF(PracticeNames,$C124)&gt;0,COUNTIF(MotionNames,$D124)&gt;0,NOT(AND(ISNUMBER($G124),$G124&lt;$F124))),IF(StatusFilter="All (excl. Cancelled)",IF($H124="Cancelled",0,1),IF(StatusFilter="All",1,IF($H124=StatusFilter,1,0))),0)</f>
        <v>0</v>
      </c>
      <c r="O124">
        <f>IF($N124=0,0,IF(AND($F124&lt;=EOMONTH(DATE(PlanYear,1,1),0),IF(ISNUMBER($G124),$G124,$F124)&gt;=DATE(PlanYear,1,1)),1,0))</f>
        <v>0</v>
      </c>
      <c r="P124">
        <f>IF($N124=0,0,IF(AND($F124&lt;=EOMONTH(DATE(PlanYear,2,1),0),IF(ISNUMBER($G124),$G124,$F124)&gt;=DATE(PlanYear,2,1)),1,0))</f>
        <v>0</v>
      </c>
      <c r="Q124">
        <f>IF($N124=0,0,IF(AND($F124&lt;=EOMONTH(DATE(PlanYear,3,1),0),IF(ISNUMBER($G124),$G124,$F124)&gt;=DATE(PlanYear,3,1)),1,0))</f>
        <v>0</v>
      </c>
      <c r="R124">
        <f>IF($N124=0,0,IF(AND($F124&lt;=EOMONTH(DATE(PlanYear,4,1),0),IF(ISNUMBER($G124),$G124,$F124)&gt;=DATE(PlanYear,4,1)),1,0))</f>
        <v>0</v>
      </c>
      <c r="S124">
        <f>IF($N124=0,0,IF(AND($F124&lt;=EOMONTH(DATE(PlanYear,5,1),0),IF(ISNUMBER($G124),$G124,$F124)&gt;=DATE(PlanYear,5,1)),1,0))</f>
        <v>0</v>
      </c>
      <c r="T124">
        <f>IF($N124=0,0,IF(AND($F124&lt;=EOMONTH(DATE(PlanYear,6,1),0),IF(ISNUMBER($G124),$G124,$F124)&gt;=DATE(PlanYear,6,1)),1,0))</f>
        <v>0</v>
      </c>
      <c r="U124">
        <f>IF($N124=0,0,IF(AND($F124&lt;=EOMONTH(DATE(PlanYear,7,1),0),IF(ISNUMBER($G124),$G124,$F124)&gt;=DATE(PlanYear,7,1)),1,0))</f>
        <v>0</v>
      </c>
      <c r="V124">
        <f>IF($N124=0,0,IF(AND($F124&lt;=EOMONTH(DATE(PlanYear,8,1),0),IF(ISNUMBER($G124),$G124,$F124)&gt;=DATE(PlanYear,8,1)),1,0))</f>
        <v>0</v>
      </c>
      <c r="W124">
        <f>IF($N124=0,0,IF(AND($F124&lt;=EOMONTH(DATE(PlanYear,9,1),0),IF(ISNUMBER($G124),$G124,$F124)&gt;=DATE(PlanYear,9,1)),1,0))</f>
        <v>0</v>
      </c>
      <c r="X124">
        <f>IF($N124=0,0,IF(AND($F124&lt;=EOMONTH(DATE(PlanYear,10,1),0),IF(ISNUMBER($G124),$G124,$F124)&gt;=DATE(PlanYear,10,1)),1,0))</f>
        <v>0</v>
      </c>
      <c r="Y124">
        <f>IF($N124=0,0,IF(AND($F124&lt;=EOMONTH(DATE(PlanYear,11,1),0),IF(ISNUMBER($G124),$G124,$F124)&gt;=DATE(PlanYear,11,1)),1,0))</f>
        <v>0</v>
      </c>
      <c r="Z124">
        <f>IF($N124=0,0,IF(AND($F124&lt;=EOMONTH(DATE(PlanYear,12,1),0),IF(ISNUMBER($G124),$G124,$F124)&gt;=DATE(PlanYear,12,1)),1,0))</f>
        <v>0</v>
      </c>
      <c r="AA124">
        <f>SUM($O124:$Z124)</f>
        <v>0</v>
      </c>
    </row>
    <row r="125" spans="1:27">
      <c r="A125" s="42">
        <f>IF($B125="","","ACT-"&amp;TEXT(ROW()-4,"000"))</f>
        <v>0</v>
      </c>
      <c r="M125" s="43">
        <f>IF(COUNTA($B125:$K125)=0,"",IF($B125="","Missing activity name",IF($C125="","Missing practice",IF(COUNTIF(PracticeNames,$C125)=0,"Practice not in Lists",IF($D125="","Missing motion",IF(NOT(ISNUMBER($F125)),"Missing or invalid start date",IF(AND(ISNUMBER($G125),$G125&lt;$F125),"End date before start",IF(AND($N125=1,$AA125=0),"Outside planning year","OK"))))))))</f>
        <v>0</v>
      </c>
      <c r="N125">
        <f>IF(AND($B125&lt;&gt;"",$C125&lt;&gt;"",$D125&lt;&gt;"",ISNUMBER($F125),COUNTIF(PracticeNames,$C125)&gt;0,COUNTIF(MotionNames,$D125)&gt;0,NOT(AND(ISNUMBER($G125),$G125&lt;$F125))),IF(StatusFilter="All (excl. Cancelled)",IF($H125="Cancelled",0,1),IF(StatusFilter="All",1,IF($H125=StatusFilter,1,0))),0)</f>
        <v>0</v>
      </c>
      <c r="O125">
        <f>IF($N125=0,0,IF(AND($F125&lt;=EOMONTH(DATE(PlanYear,1,1),0),IF(ISNUMBER($G125),$G125,$F125)&gt;=DATE(PlanYear,1,1)),1,0))</f>
        <v>0</v>
      </c>
      <c r="P125">
        <f>IF($N125=0,0,IF(AND($F125&lt;=EOMONTH(DATE(PlanYear,2,1),0),IF(ISNUMBER($G125),$G125,$F125)&gt;=DATE(PlanYear,2,1)),1,0))</f>
        <v>0</v>
      </c>
      <c r="Q125">
        <f>IF($N125=0,0,IF(AND($F125&lt;=EOMONTH(DATE(PlanYear,3,1),0),IF(ISNUMBER($G125),$G125,$F125)&gt;=DATE(PlanYear,3,1)),1,0))</f>
        <v>0</v>
      </c>
      <c r="R125">
        <f>IF($N125=0,0,IF(AND($F125&lt;=EOMONTH(DATE(PlanYear,4,1),0),IF(ISNUMBER($G125),$G125,$F125)&gt;=DATE(PlanYear,4,1)),1,0))</f>
        <v>0</v>
      </c>
      <c r="S125">
        <f>IF($N125=0,0,IF(AND($F125&lt;=EOMONTH(DATE(PlanYear,5,1),0),IF(ISNUMBER($G125),$G125,$F125)&gt;=DATE(PlanYear,5,1)),1,0))</f>
        <v>0</v>
      </c>
      <c r="T125">
        <f>IF($N125=0,0,IF(AND($F125&lt;=EOMONTH(DATE(PlanYear,6,1),0),IF(ISNUMBER($G125),$G125,$F125)&gt;=DATE(PlanYear,6,1)),1,0))</f>
        <v>0</v>
      </c>
      <c r="U125">
        <f>IF($N125=0,0,IF(AND($F125&lt;=EOMONTH(DATE(PlanYear,7,1),0),IF(ISNUMBER($G125),$G125,$F125)&gt;=DATE(PlanYear,7,1)),1,0))</f>
        <v>0</v>
      </c>
      <c r="V125">
        <f>IF($N125=0,0,IF(AND($F125&lt;=EOMONTH(DATE(PlanYear,8,1),0),IF(ISNUMBER($G125),$G125,$F125)&gt;=DATE(PlanYear,8,1)),1,0))</f>
        <v>0</v>
      </c>
      <c r="W125">
        <f>IF($N125=0,0,IF(AND($F125&lt;=EOMONTH(DATE(PlanYear,9,1),0),IF(ISNUMBER($G125),$G125,$F125)&gt;=DATE(PlanYear,9,1)),1,0))</f>
        <v>0</v>
      </c>
      <c r="X125">
        <f>IF($N125=0,0,IF(AND($F125&lt;=EOMONTH(DATE(PlanYear,10,1),0),IF(ISNUMBER($G125),$G125,$F125)&gt;=DATE(PlanYear,10,1)),1,0))</f>
        <v>0</v>
      </c>
      <c r="Y125">
        <f>IF($N125=0,0,IF(AND($F125&lt;=EOMONTH(DATE(PlanYear,11,1),0),IF(ISNUMBER($G125),$G125,$F125)&gt;=DATE(PlanYear,11,1)),1,0))</f>
        <v>0</v>
      </c>
      <c r="Z125">
        <f>IF($N125=0,0,IF(AND($F125&lt;=EOMONTH(DATE(PlanYear,12,1),0),IF(ISNUMBER($G125),$G125,$F125)&gt;=DATE(PlanYear,12,1)),1,0))</f>
        <v>0</v>
      </c>
      <c r="AA125">
        <f>SUM($O125:$Z125)</f>
        <v>0</v>
      </c>
    </row>
    <row r="126" spans="1:27">
      <c r="A126" s="42">
        <f>IF($B126="","","ACT-"&amp;TEXT(ROW()-4,"000"))</f>
        <v>0</v>
      </c>
      <c r="M126" s="43">
        <f>IF(COUNTA($B126:$K126)=0,"",IF($B126="","Missing activity name",IF($C126="","Missing practice",IF(COUNTIF(PracticeNames,$C126)=0,"Practice not in Lists",IF($D126="","Missing motion",IF(NOT(ISNUMBER($F126)),"Missing or invalid start date",IF(AND(ISNUMBER($G126),$G126&lt;$F126),"End date before start",IF(AND($N126=1,$AA126=0),"Outside planning year","OK"))))))))</f>
        <v>0</v>
      </c>
      <c r="N126">
        <f>IF(AND($B126&lt;&gt;"",$C126&lt;&gt;"",$D126&lt;&gt;"",ISNUMBER($F126),COUNTIF(PracticeNames,$C126)&gt;0,COUNTIF(MotionNames,$D126)&gt;0,NOT(AND(ISNUMBER($G126),$G126&lt;$F126))),IF(StatusFilter="All (excl. Cancelled)",IF($H126="Cancelled",0,1),IF(StatusFilter="All",1,IF($H126=StatusFilter,1,0))),0)</f>
        <v>0</v>
      </c>
      <c r="O126">
        <f>IF($N126=0,0,IF(AND($F126&lt;=EOMONTH(DATE(PlanYear,1,1),0),IF(ISNUMBER($G126),$G126,$F126)&gt;=DATE(PlanYear,1,1)),1,0))</f>
        <v>0</v>
      </c>
      <c r="P126">
        <f>IF($N126=0,0,IF(AND($F126&lt;=EOMONTH(DATE(PlanYear,2,1),0),IF(ISNUMBER($G126),$G126,$F126)&gt;=DATE(PlanYear,2,1)),1,0))</f>
        <v>0</v>
      </c>
      <c r="Q126">
        <f>IF($N126=0,0,IF(AND($F126&lt;=EOMONTH(DATE(PlanYear,3,1),0),IF(ISNUMBER($G126),$G126,$F126)&gt;=DATE(PlanYear,3,1)),1,0))</f>
        <v>0</v>
      </c>
      <c r="R126">
        <f>IF($N126=0,0,IF(AND($F126&lt;=EOMONTH(DATE(PlanYear,4,1),0),IF(ISNUMBER($G126),$G126,$F126)&gt;=DATE(PlanYear,4,1)),1,0))</f>
        <v>0</v>
      </c>
      <c r="S126">
        <f>IF($N126=0,0,IF(AND($F126&lt;=EOMONTH(DATE(PlanYear,5,1),0),IF(ISNUMBER($G126),$G126,$F126)&gt;=DATE(PlanYear,5,1)),1,0))</f>
        <v>0</v>
      </c>
      <c r="T126">
        <f>IF($N126=0,0,IF(AND($F126&lt;=EOMONTH(DATE(PlanYear,6,1),0),IF(ISNUMBER($G126),$G126,$F126)&gt;=DATE(PlanYear,6,1)),1,0))</f>
        <v>0</v>
      </c>
      <c r="U126">
        <f>IF($N126=0,0,IF(AND($F126&lt;=EOMONTH(DATE(PlanYear,7,1),0),IF(ISNUMBER($G126),$G126,$F126)&gt;=DATE(PlanYear,7,1)),1,0))</f>
        <v>0</v>
      </c>
      <c r="V126">
        <f>IF($N126=0,0,IF(AND($F126&lt;=EOMONTH(DATE(PlanYear,8,1),0),IF(ISNUMBER($G126),$G126,$F126)&gt;=DATE(PlanYear,8,1)),1,0))</f>
        <v>0</v>
      </c>
      <c r="W126">
        <f>IF($N126=0,0,IF(AND($F126&lt;=EOMONTH(DATE(PlanYear,9,1),0),IF(ISNUMBER($G126),$G126,$F126)&gt;=DATE(PlanYear,9,1)),1,0))</f>
        <v>0</v>
      </c>
      <c r="X126">
        <f>IF($N126=0,0,IF(AND($F126&lt;=EOMONTH(DATE(PlanYear,10,1),0),IF(ISNUMBER($G126),$G126,$F126)&gt;=DATE(PlanYear,10,1)),1,0))</f>
        <v>0</v>
      </c>
      <c r="Y126">
        <f>IF($N126=0,0,IF(AND($F126&lt;=EOMONTH(DATE(PlanYear,11,1),0),IF(ISNUMBER($G126),$G126,$F126)&gt;=DATE(PlanYear,11,1)),1,0))</f>
        <v>0</v>
      </c>
      <c r="Z126">
        <f>IF($N126=0,0,IF(AND($F126&lt;=EOMONTH(DATE(PlanYear,12,1),0),IF(ISNUMBER($G126),$G126,$F126)&gt;=DATE(PlanYear,12,1)),1,0))</f>
        <v>0</v>
      </c>
      <c r="AA126">
        <f>SUM($O126:$Z126)</f>
        <v>0</v>
      </c>
    </row>
    <row r="127" spans="1:27">
      <c r="A127" s="42">
        <f>IF($B127="","","ACT-"&amp;TEXT(ROW()-4,"000"))</f>
        <v>0</v>
      </c>
      <c r="M127" s="43">
        <f>IF(COUNTA($B127:$K127)=0,"",IF($B127="","Missing activity name",IF($C127="","Missing practice",IF(COUNTIF(PracticeNames,$C127)=0,"Practice not in Lists",IF($D127="","Missing motion",IF(NOT(ISNUMBER($F127)),"Missing or invalid start date",IF(AND(ISNUMBER($G127),$G127&lt;$F127),"End date before start",IF(AND($N127=1,$AA127=0),"Outside planning year","OK"))))))))</f>
        <v>0</v>
      </c>
      <c r="N127">
        <f>IF(AND($B127&lt;&gt;"",$C127&lt;&gt;"",$D127&lt;&gt;"",ISNUMBER($F127),COUNTIF(PracticeNames,$C127)&gt;0,COUNTIF(MotionNames,$D127)&gt;0,NOT(AND(ISNUMBER($G127),$G127&lt;$F127))),IF(StatusFilter="All (excl. Cancelled)",IF($H127="Cancelled",0,1),IF(StatusFilter="All",1,IF($H127=StatusFilter,1,0))),0)</f>
        <v>0</v>
      </c>
      <c r="O127">
        <f>IF($N127=0,0,IF(AND($F127&lt;=EOMONTH(DATE(PlanYear,1,1),0),IF(ISNUMBER($G127),$G127,$F127)&gt;=DATE(PlanYear,1,1)),1,0))</f>
        <v>0</v>
      </c>
      <c r="P127">
        <f>IF($N127=0,0,IF(AND($F127&lt;=EOMONTH(DATE(PlanYear,2,1),0),IF(ISNUMBER($G127),$G127,$F127)&gt;=DATE(PlanYear,2,1)),1,0))</f>
        <v>0</v>
      </c>
      <c r="Q127">
        <f>IF($N127=0,0,IF(AND($F127&lt;=EOMONTH(DATE(PlanYear,3,1),0),IF(ISNUMBER($G127),$G127,$F127)&gt;=DATE(PlanYear,3,1)),1,0))</f>
        <v>0</v>
      </c>
      <c r="R127">
        <f>IF($N127=0,0,IF(AND($F127&lt;=EOMONTH(DATE(PlanYear,4,1),0),IF(ISNUMBER($G127),$G127,$F127)&gt;=DATE(PlanYear,4,1)),1,0))</f>
        <v>0</v>
      </c>
      <c r="S127">
        <f>IF($N127=0,0,IF(AND($F127&lt;=EOMONTH(DATE(PlanYear,5,1),0),IF(ISNUMBER($G127),$G127,$F127)&gt;=DATE(PlanYear,5,1)),1,0))</f>
        <v>0</v>
      </c>
      <c r="T127">
        <f>IF($N127=0,0,IF(AND($F127&lt;=EOMONTH(DATE(PlanYear,6,1),0),IF(ISNUMBER($G127),$G127,$F127)&gt;=DATE(PlanYear,6,1)),1,0))</f>
        <v>0</v>
      </c>
      <c r="U127">
        <f>IF($N127=0,0,IF(AND($F127&lt;=EOMONTH(DATE(PlanYear,7,1),0),IF(ISNUMBER($G127),$G127,$F127)&gt;=DATE(PlanYear,7,1)),1,0))</f>
        <v>0</v>
      </c>
      <c r="V127">
        <f>IF($N127=0,0,IF(AND($F127&lt;=EOMONTH(DATE(PlanYear,8,1),0),IF(ISNUMBER($G127),$G127,$F127)&gt;=DATE(PlanYear,8,1)),1,0))</f>
        <v>0</v>
      </c>
      <c r="W127">
        <f>IF($N127=0,0,IF(AND($F127&lt;=EOMONTH(DATE(PlanYear,9,1),0),IF(ISNUMBER($G127),$G127,$F127)&gt;=DATE(PlanYear,9,1)),1,0))</f>
        <v>0</v>
      </c>
      <c r="X127">
        <f>IF($N127=0,0,IF(AND($F127&lt;=EOMONTH(DATE(PlanYear,10,1),0),IF(ISNUMBER($G127),$G127,$F127)&gt;=DATE(PlanYear,10,1)),1,0))</f>
        <v>0</v>
      </c>
      <c r="Y127">
        <f>IF($N127=0,0,IF(AND($F127&lt;=EOMONTH(DATE(PlanYear,11,1),0),IF(ISNUMBER($G127),$G127,$F127)&gt;=DATE(PlanYear,11,1)),1,0))</f>
        <v>0</v>
      </c>
      <c r="Z127">
        <f>IF($N127=0,0,IF(AND($F127&lt;=EOMONTH(DATE(PlanYear,12,1),0),IF(ISNUMBER($G127),$G127,$F127)&gt;=DATE(PlanYear,12,1)),1,0))</f>
        <v>0</v>
      </c>
      <c r="AA127">
        <f>SUM($O127:$Z127)</f>
        <v>0</v>
      </c>
    </row>
    <row r="128" spans="1:27">
      <c r="A128" s="42">
        <f>IF($B128="","","ACT-"&amp;TEXT(ROW()-4,"000"))</f>
        <v>0</v>
      </c>
      <c r="M128" s="43">
        <f>IF(COUNTA($B128:$K128)=0,"",IF($B128="","Missing activity name",IF($C128="","Missing practice",IF(COUNTIF(PracticeNames,$C128)=0,"Practice not in Lists",IF($D128="","Missing motion",IF(NOT(ISNUMBER($F128)),"Missing or invalid start date",IF(AND(ISNUMBER($G128),$G128&lt;$F128),"End date before start",IF(AND($N128=1,$AA128=0),"Outside planning year","OK"))))))))</f>
        <v>0</v>
      </c>
      <c r="N128">
        <f>IF(AND($B128&lt;&gt;"",$C128&lt;&gt;"",$D128&lt;&gt;"",ISNUMBER($F128),COUNTIF(PracticeNames,$C128)&gt;0,COUNTIF(MotionNames,$D128)&gt;0,NOT(AND(ISNUMBER($G128),$G128&lt;$F128))),IF(StatusFilter="All (excl. Cancelled)",IF($H128="Cancelled",0,1),IF(StatusFilter="All",1,IF($H128=StatusFilter,1,0))),0)</f>
        <v>0</v>
      </c>
      <c r="O128">
        <f>IF($N128=0,0,IF(AND($F128&lt;=EOMONTH(DATE(PlanYear,1,1),0),IF(ISNUMBER($G128),$G128,$F128)&gt;=DATE(PlanYear,1,1)),1,0))</f>
        <v>0</v>
      </c>
      <c r="P128">
        <f>IF($N128=0,0,IF(AND($F128&lt;=EOMONTH(DATE(PlanYear,2,1),0),IF(ISNUMBER($G128),$G128,$F128)&gt;=DATE(PlanYear,2,1)),1,0))</f>
        <v>0</v>
      </c>
      <c r="Q128">
        <f>IF($N128=0,0,IF(AND($F128&lt;=EOMONTH(DATE(PlanYear,3,1),0),IF(ISNUMBER($G128),$G128,$F128)&gt;=DATE(PlanYear,3,1)),1,0))</f>
        <v>0</v>
      </c>
      <c r="R128">
        <f>IF($N128=0,0,IF(AND($F128&lt;=EOMONTH(DATE(PlanYear,4,1),0),IF(ISNUMBER($G128),$G128,$F128)&gt;=DATE(PlanYear,4,1)),1,0))</f>
        <v>0</v>
      </c>
      <c r="S128">
        <f>IF($N128=0,0,IF(AND($F128&lt;=EOMONTH(DATE(PlanYear,5,1),0),IF(ISNUMBER($G128),$G128,$F128)&gt;=DATE(PlanYear,5,1)),1,0))</f>
        <v>0</v>
      </c>
      <c r="T128">
        <f>IF($N128=0,0,IF(AND($F128&lt;=EOMONTH(DATE(PlanYear,6,1),0),IF(ISNUMBER($G128),$G128,$F128)&gt;=DATE(PlanYear,6,1)),1,0))</f>
        <v>0</v>
      </c>
      <c r="U128">
        <f>IF($N128=0,0,IF(AND($F128&lt;=EOMONTH(DATE(PlanYear,7,1),0),IF(ISNUMBER($G128),$G128,$F128)&gt;=DATE(PlanYear,7,1)),1,0))</f>
        <v>0</v>
      </c>
      <c r="V128">
        <f>IF($N128=0,0,IF(AND($F128&lt;=EOMONTH(DATE(PlanYear,8,1),0),IF(ISNUMBER($G128),$G128,$F128)&gt;=DATE(PlanYear,8,1)),1,0))</f>
        <v>0</v>
      </c>
      <c r="W128">
        <f>IF($N128=0,0,IF(AND($F128&lt;=EOMONTH(DATE(PlanYear,9,1),0),IF(ISNUMBER($G128),$G128,$F128)&gt;=DATE(PlanYear,9,1)),1,0))</f>
        <v>0</v>
      </c>
      <c r="X128">
        <f>IF($N128=0,0,IF(AND($F128&lt;=EOMONTH(DATE(PlanYear,10,1),0),IF(ISNUMBER($G128),$G128,$F128)&gt;=DATE(PlanYear,10,1)),1,0))</f>
        <v>0</v>
      </c>
      <c r="Y128">
        <f>IF($N128=0,0,IF(AND($F128&lt;=EOMONTH(DATE(PlanYear,11,1),0),IF(ISNUMBER($G128),$G128,$F128)&gt;=DATE(PlanYear,11,1)),1,0))</f>
        <v>0</v>
      </c>
      <c r="Z128">
        <f>IF($N128=0,0,IF(AND($F128&lt;=EOMONTH(DATE(PlanYear,12,1),0),IF(ISNUMBER($G128),$G128,$F128)&gt;=DATE(PlanYear,12,1)),1,0))</f>
        <v>0</v>
      </c>
      <c r="AA128">
        <f>SUM($O128:$Z128)</f>
        <v>0</v>
      </c>
    </row>
    <row r="129" spans="1:27">
      <c r="A129" s="42">
        <f>IF($B129="","","ACT-"&amp;TEXT(ROW()-4,"000"))</f>
        <v>0</v>
      </c>
      <c r="M129" s="43">
        <f>IF(COUNTA($B129:$K129)=0,"",IF($B129="","Missing activity name",IF($C129="","Missing practice",IF(COUNTIF(PracticeNames,$C129)=0,"Practice not in Lists",IF($D129="","Missing motion",IF(NOT(ISNUMBER($F129)),"Missing or invalid start date",IF(AND(ISNUMBER($G129),$G129&lt;$F129),"End date before start",IF(AND($N129=1,$AA129=0),"Outside planning year","OK"))))))))</f>
        <v>0</v>
      </c>
      <c r="N129">
        <f>IF(AND($B129&lt;&gt;"",$C129&lt;&gt;"",$D129&lt;&gt;"",ISNUMBER($F129),COUNTIF(PracticeNames,$C129)&gt;0,COUNTIF(MotionNames,$D129)&gt;0,NOT(AND(ISNUMBER($G129),$G129&lt;$F129))),IF(StatusFilter="All (excl. Cancelled)",IF($H129="Cancelled",0,1),IF(StatusFilter="All",1,IF($H129=StatusFilter,1,0))),0)</f>
        <v>0</v>
      </c>
      <c r="O129">
        <f>IF($N129=0,0,IF(AND($F129&lt;=EOMONTH(DATE(PlanYear,1,1),0),IF(ISNUMBER($G129),$G129,$F129)&gt;=DATE(PlanYear,1,1)),1,0))</f>
        <v>0</v>
      </c>
      <c r="P129">
        <f>IF($N129=0,0,IF(AND($F129&lt;=EOMONTH(DATE(PlanYear,2,1),0),IF(ISNUMBER($G129),$G129,$F129)&gt;=DATE(PlanYear,2,1)),1,0))</f>
        <v>0</v>
      </c>
      <c r="Q129">
        <f>IF($N129=0,0,IF(AND($F129&lt;=EOMONTH(DATE(PlanYear,3,1),0),IF(ISNUMBER($G129),$G129,$F129)&gt;=DATE(PlanYear,3,1)),1,0))</f>
        <v>0</v>
      </c>
      <c r="R129">
        <f>IF($N129=0,0,IF(AND($F129&lt;=EOMONTH(DATE(PlanYear,4,1),0),IF(ISNUMBER($G129),$G129,$F129)&gt;=DATE(PlanYear,4,1)),1,0))</f>
        <v>0</v>
      </c>
      <c r="S129">
        <f>IF($N129=0,0,IF(AND($F129&lt;=EOMONTH(DATE(PlanYear,5,1),0),IF(ISNUMBER($G129),$G129,$F129)&gt;=DATE(PlanYear,5,1)),1,0))</f>
        <v>0</v>
      </c>
      <c r="T129">
        <f>IF($N129=0,0,IF(AND($F129&lt;=EOMONTH(DATE(PlanYear,6,1),0),IF(ISNUMBER($G129),$G129,$F129)&gt;=DATE(PlanYear,6,1)),1,0))</f>
        <v>0</v>
      </c>
      <c r="U129">
        <f>IF($N129=0,0,IF(AND($F129&lt;=EOMONTH(DATE(PlanYear,7,1),0),IF(ISNUMBER($G129),$G129,$F129)&gt;=DATE(PlanYear,7,1)),1,0))</f>
        <v>0</v>
      </c>
      <c r="V129">
        <f>IF($N129=0,0,IF(AND($F129&lt;=EOMONTH(DATE(PlanYear,8,1),0),IF(ISNUMBER($G129),$G129,$F129)&gt;=DATE(PlanYear,8,1)),1,0))</f>
        <v>0</v>
      </c>
      <c r="W129">
        <f>IF($N129=0,0,IF(AND($F129&lt;=EOMONTH(DATE(PlanYear,9,1),0),IF(ISNUMBER($G129),$G129,$F129)&gt;=DATE(PlanYear,9,1)),1,0))</f>
        <v>0</v>
      </c>
      <c r="X129">
        <f>IF($N129=0,0,IF(AND($F129&lt;=EOMONTH(DATE(PlanYear,10,1),0),IF(ISNUMBER($G129),$G129,$F129)&gt;=DATE(PlanYear,10,1)),1,0))</f>
        <v>0</v>
      </c>
      <c r="Y129">
        <f>IF($N129=0,0,IF(AND($F129&lt;=EOMONTH(DATE(PlanYear,11,1),0),IF(ISNUMBER($G129),$G129,$F129)&gt;=DATE(PlanYear,11,1)),1,0))</f>
        <v>0</v>
      </c>
      <c r="Z129">
        <f>IF($N129=0,0,IF(AND($F129&lt;=EOMONTH(DATE(PlanYear,12,1),0),IF(ISNUMBER($G129),$G129,$F129)&gt;=DATE(PlanYear,12,1)),1,0))</f>
        <v>0</v>
      </c>
      <c r="AA129">
        <f>SUM($O129:$Z129)</f>
        <v>0</v>
      </c>
    </row>
    <row r="130" spans="1:27">
      <c r="A130" s="42">
        <f>IF($B130="","","ACT-"&amp;TEXT(ROW()-4,"000"))</f>
        <v>0</v>
      </c>
      <c r="M130" s="43">
        <f>IF(COUNTA($B130:$K130)=0,"",IF($B130="","Missing activity name",IF($C130="","Missing practice",IF(COUNTIF(PracticeNames,$C130)=0,"Practice not in Lists",IF($D130="","Missing motion",IF(NOT(ISNUMBER($F130)),"Missing or invalid start date",IF(AND(ISNUMBER($G130),$G130&lt;$F130),"End date before start",IF(AND($N130=1,$AA130=0),"Outside planning year","OK"))))))))</f>
        <v>0</v>
      </c>
      <c r="N130">
        <f>IF(AND($B130&lt;&gt;"",$C130&lt;&gt;"",$D130&lt;&gt;"",ISNUMBER($F130),COUNTIF(PracticeNames,$C130)&gt;0,COUNTIF(MotionNames,$D130)&gt;0,NOT(AND(ISNUMBER($G130),$G130&lt;$F130))),IF(StatusFilter="All (excl. Cancelled)",IF($H130="Cancelled",0,1),IF(StatusFilter="All",1,IF($H130=StatusFilter,1,0))),0)</f>
        <v>0</v>
      </c>
      <c r="O130">
        <f>IF($N130=0,0,IF(AND($F130&lt;=EOMONTH(DATE(PlanYear,1,1),0),IF(ISNUMBER($G130),$G130,$F130)&gt;=DATE(PlanYear,1,1)),1,0))</f>
        <v>0</v>
      </c>
      <c r="P130">
        <f>IF($N130=0,0,IF(AND($F130&lt;=EOMONTH(DATE(PlanYear,2,1),0),IF(ISNUMBER($G130),$G130,$F130)&gt;=DATE(PlanYear,2,1)),1,0))</f>
        <v>0</v>
      </c>
      <c r="Q130">
        <f>IF($N130=0,0,IF(AND($F130&lt;=EOMONTH(DATE(PlanYear,3,1),0),IF(ISNUMBER($G130),$G130,$F130)&gt;=DATE(PlanYear,3,1)),1,0))</f>
        <v>0</v>
      </c>
      <c r="R130">
        <f>IF($N130=0,0,IF(AND($F130&lt;=EOMONTH(DATE(PlanYear,4,1),0),IF(ISNUMBER($G130),$G130,$F130)&gt;=DATE(PlanYear,4,1)),1,0))</f>
        <v>0</v>
      </c>
      <c r="S130">
        <f>IF($N130=0,0,IF(AND($F130&lt;=EOMONTH(DATE(PlanYear,5,1),0),IF(ISNUMBER($G130),$G130,$F130)&gt;=DATE(PlanYear,5,1)),1,0))</f>
        <v>0</v>
      </c>
      <c r="T130">
        <f>IF($N130=0,0,IF(AND($F130&lt;=EOMONTH(DATE(PlanYear,6,1),0),IF(ISNUMBER($G130),$G130,$F130)&gt;=DATE(PlanYear,6,1)),1,0))</f>
        <v>0</v>
      </c>
      <c r="U130">
        <f>IF($N130=0,0,IF(AND($F130&lt;=EOMONTH(DATE(PlanYear,7,1),0),IF(ISNUMBER($G130),$G130,$F130)&gt;=DATE(PlanYear,7,1)),1,0))</f>
        <v>0</v>
      </c>
      <c r="V130">
        <f>IF($N130=0,0,IF(AND($F130&lt;=EOMONTH(DATE(PlanYear,8,1),0),IF(ISNUMBER($G130),$G130,$F130)&gt;=DATE(PlanYear,8,1)),1,0))</f>
        <v>0</v>
      </c>
      <c r="W130">
        <f>IF($N130=0,0,IF(AND($F130&lt;=EOMONTH(DATE(PlanYear,9,1),0),IF(ISNUMBER($G130),$G130,$F130)&gt;=DATE(PlanYear,9,1)),1,0))</f>
        <v>0</v>
      </c>
      <c r="X130">
        <f>IF($N130=0,0,IF(AND($F130&lt;=EOMONTH(DATE(PlanYear,10,1),0),IF(ISNUMBER($G130),$G130,$F130)&gt;=DATE(PlanYear,10,1)),1,0))</f>
        <v>0</v>
      </c>
      <c r="Y130">
        <f>IF($N130=0,0,IF(AND($F130&lt;=EOMONTH(DATE(PlanYear,11,1),0),IF(ISNUMBER($G130),$G130,$F130)&gt;=DATE(PlanYear,11,1)),1,0))</f>
        <v>0</v>
      </c>
      <c r="Z130">
        <f>IF($N130=0,0,IF(AND($F130&lt;=EOMONTH(DATE(PlanYear,12,1),0),IF(ISNUMBER($G130),$G130,$F130)&gt;=DATE(PlanYear,12,1)),1,0))</f>
        <v>0</v>
      </c>
      <c r="AA130">
        <f>SUM($O130:$Z130)</f>
        <v>0</v>
      </c>
    </row>
    <row r="131" spans="1:27">
      <c r="A131" s="42">
        <f>IF($B131="","","ACT-"&amp;TEXT(ROW()-4,"000"))</f>
        <v>0</v>
      </c>
      <c r="M131" s="43">
        <f>IF(COUNTA($B131:$K131)=0,"",IF($B131="","Missing activity name",IF($C131="","Missing practice",IF(COUNTIF(PracticeNames,$C131)=0,"Practice not in Lists",IF($D131="","Missing motion",IF(NOT(ISNUMBER($F131)),"Missing or invalid start date",IF(AND(ISNUMBER($G131),$G131&lt;$F131),"End date before start",IF(AND($N131=1,$AA131=0),"Outside planning year","OK"))))))))</f>
        <v>0</v>
      </c>
      <c r="N131">
        <f>IF(AND($B131&lt;&gt;"",$C131&lt;&gt;"",$D131&lt;&gt;"",ISNUMBER($F131),COUNTIF(PracticeNames,$C131)&gt;0,COUNTIF(MotionNames,$D131)&gt;0,NOT(AND(ISNUMBER($G131),$G131&lt;$F131))),IF(StatusFilter="All (excl. Cancelled)",IF($H131="Cancelled",0,1),IF(StatusFilter="All",1,IF($H131=StatusFilter,1,0))),0)</f>
        <v>0</v>
      </c>
      <c r="O131">
        <f>IF($N131=0,0,IF(AND($F131&lt;=EOMONTH(DATE(PlanYear,1,1),0),IF(ISNUMBER($G131),$G131,$F131)&gt;=DATE(PlanYear,1,1)),1,0))</f>
        <v>0</v>
      </c>
      <c r="P131">
        <f>IF($N131=0,0,IF(AND($F131&lt;=EOMONTH(DATE(PlanYear,2,1),0),IF(ISNUMBER($G131),$G131,$F131)&gt;=DATE(PlanYear,2,1)),1,0))</f>
        <v>0</v>
      </c>
      <c r="Q131">
        <f>IF($N131=0,0,IF(AND($F131&lt;=EOMONTH(DATE(PlanYear,3,1),0),IF(ISNUMBER($G131),$G131,$F131)&gt;=DATE(PlanYear,3,1)),1,0))</f>
        <v>0</v>
      </c>
      <c r="R131">
        <f>IF($N131=0,0,IF(AND($F131&lt;=EOMONTH(DATE(PlanYear,4,1),0),IF(ISNUMBER($G131),$G131,$F131)&gt;=DATE(PlanYear,4,1)),1,0))</f>
        <v>0</v>
      </c>
      <c r="S131">
        <f>IF($N131=0,0,IF(AND($F131&lt;=EOMONTH(DATE(PlanYear,5,1),0),IF(ISNUMBER($G131),$G131,$F131)&gt;=DATE(PlanYear,5,1)),1,0))</f>
        <v>0</v>
      </c>
      <c r="T131">
        <f>IF($N131=0,0,IF(AND($F131&lt;=EOMONTH(DATE(PlanYear,6,1),0),IF(ISNUMBER($G131),$G131,$F131)&gt;=DATE(PlanYear,6,1)),1,0))</f>
        <v>0</v>
      </c>
      <c r="U131">
        <f>IF($N131=0,0,IF(AND($F131&lt;=EOMONTH(DATE(PlanYear,7,1),0),IF(ISNUMBER($G131),$G131,$F131)&gt;=DATE(PlanYear,7,1)),1,0))</f>
        <v>0</v>
      </c>
      <c r="V131">
        <f>IF($N131=0,0,IF(AND($F131&lt;=EOMONTH(DATE(PlanYear,8,1),0),IF(ISNUMBER($G131),$G131,$F131)&gt;=DATE(PlanYear,8,1)),1,0))</f>
        <v>0</v>
      </c>
      <c r="W131">
        <f>IF($N131=0,0,IF(AND($F131&lt;=EOMONTH(DATE(PlanYear,9,1),0),IF(ISNUMBER($G131),$G131,$F131)&gt;=DATE(PlanYear,9,1)),1,0))</f>
        <v>0</v>
      </c>
      <c r="X131">
        <f>IF($N131=0,0,IF(AND($F131&lt;=EOMONTH(DATE(PlanYear,10,1),0),IF(ISNUMBER($G131),$G131,$F131)&gt;=DATE(PlanYear,10,1)),1,0))</f>
        <v>0</v>
      </c>
      <c r="Y131">
        <f>IF($N131=0,0,IF(AND($F131&lt;=EOMONTH(DATE(PlanYear,11,1),0),IF(ISNUMBER($G131),$G131,$F131)&gt;=DATE(PlanYear,11,1)),1,0))</f>
        <v>0</v>
      </c>
      <c r="Z131">
        <f>IF($N131=0,0,IF(AND($F131&lt;=EOMONTH(DATE(PlanYear,12,1),0),IF(ISNUMBER($G131),$G131,$F131)&gt;=DATE(PlanYear,12,1)),1,0))</f>
        <v>0</v>
      </c>
      <c r="AA131">
        <f>SUM($O131:$Z131)</f>
        <v>0</v>
      </c>
    </row>
    <row r="132" spans="1:27">
      <c r="A132" s="42">
        <f>IF($B132="","","ACT-"&amp;TEXT(ROW()-4,"000"))</f>
        <v>0</v>
      </c>
      <c r="M132" s="43">
        <f>IF(COUNTA($B132:$K132)=0,"",IF($B132="","Missing activity name",IF($C132="","Missing practice",IF(COUNTIF(PracticeNames,$C132)=0,"Practice not in Lists",IF($D132="","Missing motion",IF(NOT(ISNUMBER($F132)),"Missing or invalid start date",IF(AND(ISNUMBER($G132),$G132&lt;$F132),"End date before start",IF(AND($N132=1,$AA132=0),"Outside planning year","OK"))))))))</f>
        <v>0</v>
      </c>
      <c r="N132">
        <f>IF(AND($B132&lt;&gt;"",$C132&lt;&gt;"",$D132&lt;&gt;"",ISNUMBER($F132),COUNTIF(PracticeNames,$C132)&gt;0,COUNTIF(MotionNames,$D132)&gt;0,NOT(AND(ISNUMBER($G132),$G132&lt;$F132))),IF(StatusFilter="All (excl. Cancelled)",IF($H132="Cancelled",0,1),IF(StatusFilter="All",1,IF($H132=StatusFilter,1,0))),0)</f>
        <v>0</v>
      </c>
      <c r="O132">
        <f>IF($N132=0,0,IF(AND($F132&lt;=EOMONTH(DATE(PlanYear,1,1),0),IF(ISNUMBER($G132),$G132,$F132)&gt;=DATE(PlanYear,1,1)),1,0))</f>
        <v>0</v>
      </c>
      <c r="P132">
        <f>IF($N132=0,0,IF(AND($F132&lt;=EOMONTH(DATE(PlanYear,2,1),0),IF(ISNUMBER($G132),$G132,$F132)&gt;=DATE(PlanYear,2,1)),1,0))</f>
        <v>0</v>
      </c>
      <c r="Q132">
        <f>IF($N132=0,0,IF(AND($F132&lt;=EOMONTH(DATE(PlanYear,3,1),0),IF(ISNUMBER($G132),$G132,$F132)&gt;=DATE(PlanYear,3,1)),1,0))</f>
        <v>0</v>
      </c>
      <c r="R132">
        <f>IF($N132=0,0,IF(AND($F132&lt;=EOMONTH(DATE(PlanYear,4,1),0),IF(ISNUMBER($G132),$G132,$F132)&gt;=DATE(PlanYear,4,1)),1,0))</f>
        <v>0</v>
      </c>
      <c r="S132">
        <f>IF($N132=0,0,IF(AND($F132&lt;=EOMONTH(DATE(PlanYear,5,1),0),IF(ISNUMBER($G132),$G132,$F132)&gt;=DATE(PlanYear,5,1)),1,0))</f>
        <v>0</v>
      </c>
      <c r="T132">
        <f>IF($N132=0,0,IF(AND($F132&lt;=EOMONTH(DATE(PlanYear,6,1),0),IF(ISNUMBER($G132),$G132,$F132)&gt;=DATE(PlanYear,6,1)),1,0))</f>
        <v>0</v>
      </c>
      <c r="U132">
        <f>IF($N132=0,0,IF(AND($F132&lt;=EOMONTH(DATE(PlanYear,7,1),0),IF(ISNUMBER($G132),$G132,$F132)&gt;=DATE(PlanYear,7,1)),1,0))</f>
        <v>0</v>
      </c>
      <c r="V132">
        <f>IF($N132=0,0,IF(AND($F132&lt;=EOMONTH(DATE(PlanYear,8,1),0),IF(ISNUMBER($G132),$G132,$F132)&gt;=DATE(PlanYear,8,1)),1,0))</f>
        <v>0</v>
      </c>
      <c r="W132">
        <f>IF($N132=0,0,IF(AND($F132&lt;=EOMONTH(DATE(PlanYear,9,1),0),IF(ISNUMBER($G132),$G132,$F132)&gt;=DATE(PlanYear,9,1)),1,0))</f>
        <v>0</v>
      </c>
      <c r="X132">
        <f>IF($N132=0,0,IF(AND($F132&lt;=EOMONTH(DATE(PlanYear,10,1),0),IF(ISNUMBER($G132),$G132,$F132)&gt;=DATE(PlanYear,10,1)),1,0))</f>
        <v>0</v>
      </c>
      <c r="Y132">
        <f>IF($N132=0,0,IF(AND($F132&lt;=EOMONTH(DATE(PlanYear,11,1),0),IF(ISNUMBER($G132),$G132,$F132)&gt;=DATE(PlanYear,11,1)),1,0))</f>
        <v>0</v>
      </c>
      <c r="Z132">
        <f>IF($N132=0,0,IF(AND($F132&lt;=EOMONTH(DATE(PlanYear,12,1),0),IF(ISNUMBER($G132),$G132,$F132)&gt;=DATE(PlanYear,12,1)),1,0))</f>
        <v>0</v>
      </c>
      <c r="AA132">
        <f>SUM($O132:$Z132)</f>
        <v>0</v>
      </c>
    </row>
    <row r="133" spans="1:27">
      <c r="A133" s="42">
        <f>IF($B133="","","ACT-"&amp;TEXT(ROW()-4,"000"))</f>
        <v>0</v>
      </c>
      <c r="M133" s="43">
        <f>IF(COUNTA($B133:$K133)=0,"",IF($B133="","Missing activity name",IF($C133="","Missing practice",IF(COUNTIF(PracticeNames,$C133)=0,"Practice not in Lists",IF($D133="","Missing motion",IF(NOT(ISNUMBER($F133)),"Missing or invalid start date",IF(AND(ISNUMBER($G133),$G133&lt;$F133),"End date before start",IF(AND($N133=1,$AA133=0),"Outside planning year","OK"))))))))</f>
        <v>0</v>
      </c>
      <c r="N133">
        <f>IF(AND($B133&lt;&gt;"",$C133&lt;&gt;"",$D133&lt;&gt;"",ISNUMBER($F133),COUNTIF(PracticeNames,$C133)&gt;0,COUNTIF(MotionNames,$D133)&gt;0,NOT(AND(ISNUMBER($G133),$G133&lt;$F133))),IF(StatusFilter="All (excl. Cancelled)",IF($H133="Cancelled",0,1),IF(StatusFilter="All",1,IF($H133=StatusFilter,1,0))),0)</f>
        <v>0</v>
      </c>
      <c r="O133">
        <f>IF($N133=0,0,IF(AND($F133&lt;=EOMONTH(DATE(PlanYear,1,1),0),IF(ISNUMBER($G133),$G133,$F133)&gt;=DATE(PlanYear,1,1)),1,0))</f>
        <v>0</v>
      </c>
      <c r="P133">
        <f>IF($N133=0,0,IF(AND($F133&lt;=EOMONTH(DATE(PlanYear,2,1),0),IF(ISNUMBER($G133),$G133,$F133)&gt;=DATE(PlanYear,2,1)),1,0))</f>
        <v>0</v>
      </c>
      <c r="Q133">
        <f>IF($N133=0,0,IF(AND($F133&lt;=EOMONTH(DATE(PlanYear,3,1),0),IF(ISNUMBER($G133),$G133,$F133)&gt;=DATE(PlanYear,3,1)),1,0))</f>
        <v>0</v>
      </c>
      <c r="R133">
        <f>IF($N133=0,0,IF(AND($F133&lt;=EOMONTH(DATE(PlanYear,4,1),0),IF(ISNUMBER($G133),$G133,$F133)&gt;=DATE(PlanYear,4,1)),1,0))</f>
        <v>0</v>
      </c>
      <c r="S133">
        <f>IF($N133=0,0,IF(AND($F133&lt;=EOMONTH(DATE(PlanYear,5,1),0),IF(ISNUMBER($G133),$G133,$F133)&gt;=DATE(PlanYear,5,1)),1,0))</f>
        <v>0</v>
      </c>
      <c r="T133">
        <f>IF($N133=0,0,IF(AND($F133&lt;=EOMONTH(DATE(PlanYear,6,1),0),IF(ISNUMBER($G133),$G133,$F133)&gt;=DATE(PlanYear,6,1)),1,0))</f>
        <v>0</v>
      </c>
      <c r="U133">
        <f>IF($N133=0,0,IF(AND($F133&lt;=EOMONTH(DATE(PlanYear,7,1),0),IF(ISNUMBER($G133),$G133,$F133)&gt;=DATE(PlanYear,7,1)),1,0))</f>
        <v>0</v>
      </c>
      <c r="V133">
        <f>IF($N133=0,0,IF(AND($F133&lt;=EOMONTH(DATE(PlanYear,8,1),0),IF(ISNUMBER($G133),$G133,$F133)&gt;=DATE(PlanYear,8,1)),1,0))</f>
        <v>0</v>
      </c>
      <c r="W133">
        <f>IF($N133=0,0,IF(AND($F133&lt;=EOMONTH(DATE(PlanYear,9,1),0),IF(ISNUMBER($G133),$G133,$F133)&gt;=DATE(PlanYear,9,1)),1,0))</f>
        <v>0</v>
      </c>
      <c r="X133">
        <f>IF($N133=0,0,IF(AND($F133&lt;=EOMONTH(DATE(PlanYear,10,1),0),IF(ISNUMBER($G133),$G133,$F133)&gt;=DATE(PlanYear,10,1)),1,0))</f>
        <v>0</v>
      </c>
      <c r="Y133">
        <f>IF($N133=0,0,IF(AND($F133&lt;=EOMONTH(DATE(PlanYear,11,1),0),IF(ISNUMBER($G133),$G133,$F133)&gt;=DATE(PlanYear,11,1)),1,0))</f>
        <v>0</v>
      </c>
      <c r="Z133">
        <f>IF($N133=0,0,IF(AND($F133&lt;=EOMONTH(DATE(PlanYear,12,1),0),IF(ISNUMBER($G133),$G133,$F133)&gt;=DATE(PlanYear,12,1)),1,0))</f>
        <v>0</v>
      </c>
      <c r="AA133">
        <f>SUM($O133:$Z133)</f>
        <v>0</v>
      </c>
    </row>
    <row r="134" spans="1:27">
      <c r="A134" s="42">
        <f>IF($B134="","","ACT-"&amp;TEXT(ROW()-4,"000"))</f>
        <v>0</v>
      </c>
      <c r="M134" s="43">
        <f>IF(COUNTA($B134:$K134)=0,"",IF($B134="","Missing activity name",IF($C134="","Missing practice",IF(COUNTIF(PracticeNames,$C134)=0,"Practice not in Lists",IF($D134="","Missing motion",IF(NOT(ISNUMBER($F134)),"Missing or invalid start date",IF(AND(ISNUMBER($G134),$G134&lt;$F134),"End date before start",IF(AND($N134=1,$AA134=0),"Outside planning year","OK"))))))))</f>
        <v>0</v>
      </c>
      <c r="N134">
        <f>IF(AND($B134&lt;&gt;"",$C134&lt;&gt;"",$D134&lt;&gt;"",ISNUMBER($F134),COUNTIF(PracticeNames,$C134)&gt;0,COUNTIF(MotionNames,$D134)&gt;0,NOT(AND(ISNUMBER($G134),$G134&lt;$F134))),IF(StatusFilter="All (excl. Cancelled)",IF($H134="Cancelled",0,1),IF(StatusFilter="All",1,IF($H134=StatusFilter,1,0))),0)</f>
        <v>0</v>
      </c>
      <c r="O134">
        <f>IF($N134=0,0,IF(AND($F134&lt;=EOMONTH(DATE(PlanYear,1,1),0),IF(ISNUMBER($G134),$G134,$F134)&gt;=DATE(PlanYear,1,1)),1,0))</f>
        <v>0</v>
      </c>
      <c r="P134">
        <f>IF($N134=0,0,IF(AND($F134&lt;=EOMONTH(DATE(PlanYear,2,1),0),IF(ISNUMBER($G134),$G134,$F134)&gt;=DATE(PlanYear,2,1)),1,0))</f>
        <v>0</v>
      </c>
      <c r="Q134">
        <f>IF($N134=0,0,IF(AND($F134&lt;=EOMONTH(DATE(PlanYear,3,1),0),IF(ISNUMBER($G134),$G134,$F134)&gt;=DATE(PlanYear,3,1)),1,0))</f>
        <v>0</v>
      </c>
      <c r="R134">
        <f>IF($N134=0,0,IF(AND($F134&lt;=EOMONTH(DATE(PlanYear,4,1),0),IF(ISNUMBER($G134),$G134,$F134)&gt;=DATE(PlanYear,4,1)),1,0))</f>
        <v>0</v>
      </c>
      <c r="S134">
        <f>IF($N134=0,0,IF(AND($F134&lt;=EOMONTH(DATE(PlanYear,5,1),0),IF(ISNUMBER($G134),$G134,$F134)&gt;=DATE(PlanYear,5,1)),1,0))</f>
        <v>0</v>
      </c>
      <c r="T134">
        <f>IF($N134=0,0,IF(AND($F134&lt;=EOMONTH(DATE(PlanYear,6,1),0),IF(ISNUMBER($G134),$G134,$F134)&gt;=DATE(PlanYear,6,1)),1,0))</f>
        <v>0</v>
      </c>
      <c r="U134">
        <f>IF($N134=0,0,IF(AND($F134&lt;=EOMONTH(DATE(PlanYear,7,1),0),IF(ISNUMBER($G134),$G134,$F134)&gt;=DATE(PlanYear,7,1)),1,0))</f>
        <v>0</v>
      </c>
      <c r="V134">
        <f>IF($N134=0,0,IF(AND($F134&lt;=EOMONTH(DATE(PlanYear,8,1),0),IF(ISNUMBER($G134),$G134,$F134)&gt;=DATE(PlanYear,8,1)),1,0))</f>
        <v>0</v>
      </c>
      <c r="W134">
        <f>IF($N134=0,0,IF(AND($F134&lt;=EOMONTH(DATE(PlanYear,9,1),0),IF(ISNUMBER($G134),$G134,$F134)&gt;=DATE(PlanYear,9,1)),1,0))</f>
        <v>0</v>
      </c>
      <c r="X134">
        <f>IF($N134=0,0,IF(AND($F134&lt;=EOMONTH(DATE(PlanYear,10,1),0),IF(ISNUMBER($G134),$G134,$F134)&gt;=DATE(PlanYear,10,1)),1,0))</f>
        <v>0</v>
      </c>
      <c r="Y134">
        <f>IF($N134=0,0,IF(AND($F134&lt;=EOMONTH(DATE(PlanYear,11,1),0),IF(ISNUMBER($G134),$G134,$F134)&gt;=DATE(PlanYear,11,1)),1,0))</f>
        <v>0</v>
      </c>
      <c r="Z134">
        <f>IF($N134=0,0,IF(AND($F134&lt;=EOMONTH(DATE(PlanYear,12,1),0),IF(ISNUMBER($G134),$G134,$F134)&gt;=DATE(PlanYear,12,1)),1,0))</f>
        <v>0</v>
      </c>
      <c r="AA134">
        <f>SUM($O134:$Z134)</f>
        <v>0</v>
      </c>
    </row>
    <row r="135" spans="1:27">
      <c r="A135" s="42">
        <f>IF($B135="","","ACT-"&amp;TEXT(ROW()-4,"000"))</f>
        <v>0</v>
      </c>
      <c r="M135" s="43">
        <f>IF(COUNTA($B135:$K135)=0,"",IF($B135="","Missing activity name",IF($C135="","Missing practice",IF(COUNTIF(PracticeNames,$C135)=0,"Practice not in Lists",IF($D135="","Missing motion",IF(NOT(ISNUMBER($F135)),"Missing or invalid start date",IF(AND(ISNUMBER($G135),$G135&lt;$F135),"End date before start",IF(AND($N135=1,$AA135=0),"Outside planning year","OK"))))))))</f>
        <v>0</v>
      </c>
      <c r="N135">
        <f>IF(AND($B135&lt;&gt;"",$C135&lt;&gt;"",$D135&lt;&gt;"",ISNUMBER($F135),COUNTIF(PracticeNames,$C135)&gt;0,COUNTIF(MotionNames,$D135)&gt;0,NOT(AND(ISNUMBER($G135),$G135&lt;$F135))),IF(StatusFilter="All (excl. Cancelled)",IF($H135="Cancelled",0,1),IF(StatusFilter="All",1,IF($H135=StatusFilter,1,0))),0)</f>
        <v>0</v>
      </c>
      <c r="O135">
        <f>IF($N135=0,0,IF(AND($F135&lt;=EOMONTH(DATE(PlanYear,1,1),0),IF(ISNUMBER($G135),$G135,$F135)&gt;=DATE(PlanYear,1,1)),1,0))</f>
        <v>0</v>
      </c>
      <c r="P135">
        <f>IF($N135=0,0,IF(AND($F135&lt;=EOMONTH(DATE(PlanYear,2,1),0),IF(ISNUMBER($G135),$G135,$F135)&gt;=DATE(PlanYear,2,1)),1,0))</f>
        <v>0</v>
      </c>
      <c r="Q135">
        <f>IF($N135=0,0,IF(AND($F135&lt;=EOMONTH(DATE(PlanYear,3,1),0),IF(ISNUMBER($G135),$G135,$F135)&gt;=DATE(PlanYear,3,1)),1,0))</f>
        <v>0</v>
      </c>
      <c r="R135">
        <f>IF($N135=0,0,IF(AND($F135&lt;=EOMONTH(DATE(PlanYear,4,1),0),IF(ISNUMBER($G135),$G135,$F135)&gt;=DATE(PlanYear,4,1)),1,0))</f>
        <v>0</v>
      </c>
      <c r="S135">
        <f>IF($N135=0,0,IF(AND($F135&lt;=EOMONTH(DATE(PlanYear,5,1),0),IF(ISNUMBER($G135),$G135,$F135)&gt;=DATE(PlanYear,5,1)),1,0))</f>
        <v>0</v>
      </c>
      <c r="T135">
        <f>IF($N135=0,0,IF(AND($F135&lt;=EOMONTH(DATE(PlanYear,6,1),0),IF(ISNUMBER($G135),$G135,$F135)&gt;=DATE(PlanYear,6,1)),1,0))</f>
        <v>0</v>
      </c>
      <c r="U135">
        <f>IF($N135=0,0,IF(AND($F135&lt;=EOMONTH(DATE(PlanYear,7,1),0),IF(ISNUMBER($G135),$G135,$F135)&gt;=DATE(PlanYear,7,1)),1,0))</f>
        <v>0</v>
      </c>
      <c r="V135">
        <f>IF($N135=0,0,IF(AND($F135&lt;=EOMONTH(DATE(PlanYear,8,1),0),IF(ISNUMBER($G135),$G135,$F135)&gt;=DATE(PlanYear,8,1)),1,0))</f>
        <v>0</v>
      </c>
      <c r="W135">
        <f>IF($N135=0,0,IF(AND($F135&lt;=EOMONTH(DATE(PlanYear,9,1),0),IF(ISNUMBER($G135),$G135,$F135)&gt;=DATE(PlanYear,9,1)),1,0))</f>
        <v>0</v>
      </c>
      <c r="X135">
        <f>IF($N135=0,0,IF(AND($F135&lt;=EOMONTH(DATE(PlanYear,10,1),0),IF(ISNUMBER($G135),$G135,$F135)&gt;=DATE(PlanYear,10,1)),1,0))</f>
        <v>0</v>
      </c>
      <c r="Y135">
        <f>IF($N135=0,0,IF(AND($F135&lt;=EOMONTH(DATE(PlanYear,11,1),0),IF(ISNUMBER($G135),$G135,$F135)&gt;=DATE(PlanYear,11,1)),1,0))</f>
        <v>0</v>
      </c>
      <c r="Z135">
        <f>IF($N135=0,0,IF(AND($F135&lt;=EOMONTH(DATE(PlanYear,12,1),0),IF(ISNUMBER($G135),$G135,$F135)&gt;=DATE(PlanYear,12,1)),1,0))</f>
        <v>0</v>
      </c>
      <c r="AA135">
        <f>SUM($O135:$Z135)</f>
        <v>0</v>
      </c>
    </row>
    <row r="136" spans="1:27">
      <c r="A136" s="42">
        <f>IF($B136="","","ACT-"&amp;TEXT(ROW()-4,"000"))</f>
        <v>0</v>
      </c>
      <c r="M136" s="43">
        <f>IF(COUNTA($B136:$K136)=0,"",IF($B136="","Missing activity name",IF($C136="","Missing practice",IF(COUNTIF(PracticeNames,$C136)=0,"Practice not in Lists",IF($D136="","Missing motion",IF(NOT(ISNUMBER($F136)),"Missing or invalid start date",IF(AND(ISNUMBER($G136),$G136&lt;$F136),"End date before start",IF(AND($N136=1,$AA136=0),"Outside planning year","OK"))))))))</f>
        <v>0</v>
      </c>
      <c r="N136">
        <f>IF(AND($B136&lt;&gt;"",$C136&lt;&gt;"",$D136&lt;&gt;"",ISNUMBER($F136),COUNTIF(PracticeNames,$C136)&gt;0,COUNTIF(MotionNames,$D136)&gt;0,NOT(AND(ISNUMBER($G136),$G136&lt;$F136))),IF(StatusFilter="All (excl. Cancelled)",IF($H136="Cancelled",0,1),IF(StatusFilter="All",1,IF($H136=StatusFilter,1,0))),0)</f>
        <v>0</v>
      </c>
      <c r="O136">
        <f>IF($N136=0,0,IF(AND($F136&lt;=EOMONTH(DATE(PlanYear,1,1),0),IF(ISNUMBER($G136),$G136,$F136)&gt;=DATE(PlanYear,1,1)),1,0))</f>
        <v>0</v>
      </c>
      <c r="P136">
        <f>IF($N136=0,0,IF(AND($F136&lt;=EOMONTH(DATE(PlanYear,2,1),0),IF(ISNUMBER($G136),$G136,$F136)&gt;=DATE(PlanYear,2,1)),1,0))</f>
        <v>0</v>
      </c>
      <c r="Q136">
        <f>IF($N136=0,0,IF(AND($F136&lt;=EOMONTH(DATE(PlanYear,3,1),0),IF(ISNUMBER($G136),$G136,$F136)&gt;=DATE(PlanYear,3,1)),1,0))</f>
        <v>0</v>
      </c>
      <c r="R136">
        <f>IF($N136=0,0,IF(AND($F136&lt;=EOMONTH(DATE(PlanYear,4,1),0),IF(ISNUMBER($G136),$G136,$F136)&gt;=DATE(PlanYear,4,1)),1,0))</f>
        <v>0</v>
      </c>
      <c r="S136">
        <f>IF($N136=0,0,IF(AND($F136&lt;=EOMONTH(DATE(PlanYear,5,1),0),IF(ISNUMBER($G136),$G136,$F136)&gt;=DATE(PlanYear,5,1)),1,0))</f>
        <v>0</v>
      </c>
      <c r="T136">
        <f>IF($N136=0,0,IF(AND($F136&lt;=EOMONTH(DATE(PlanYear,6,1),0),IF(ISNUMBER($G136),$G136,$F136)&gt;=DATE(PlanYear,6,1)),1,0))</f>
        <v>0</v>
      </c>
      <c r="U136">
        <f>IF($N136=0,0,IF(AND($F136&lt;=EOMONTH(DATE(PlanYear,7,1),0),IF(ISNUMBER($G136),$G136,$F136)&gt;=DATE(PlanYear,7,1)),1,0))</f>
        <v>0</v>
      </c>
      <c r="V136">
        <f>IF($N136=0,0,IF(AND($F136&lt;=EOMONTH(DATE(PlanYear,8,1),0),IF(ISNUMBER($G136),$G136,$F136)&gt;=DATE(PlanYear,8,1)),1,0))</f>
        <v>0</v>
      </c>
      <c r="W136">
        <f>IF($N136=0,0,IF(AND($F136&lt;=EOMONTH(DATE(PlanYear,9,1),0),IF(ISNUMBER($G136),$G136,$F136)&gt;=DATE(PlanYear,9,1)),1,0))</f>
        <v>0</v>
      </c>
      <c r="X136">
        <f>IF($N136=0,0,IF(AND($F136&lt;=EOMONTH(DATE(PlanYear,10,1),0),IF(ISNUMBER($G136),$G136,$F136)&gt;=DATE(PlanYear,10,1)),1,0))</f>
        <v>0</v>
      </c>
      <c r="Y136">
        <f>IF($N136=0,0,IF(AND($F136&lt;=EOMONTH(DATE(PlanYear,11,1),0),IF(ISNUMBER($G136),$G136,$F136)&gt;=DATE(PlanYear,11,1)),1,0))</f>
        <v>0</v>
      </c>
      <c r="Z136">
        <f>IF($N136=0,0,IF(AND($F136&lt;=EOMONTH(DATE(PlanYear,12,1),0),IF(ISNUMBER($G136),$G136,$F136)&gt;=DATE(PlanYear,12,1)),1,0))</f>
        <v>0</v>
      </c>
      <c r="AA136">
        <f>SUM($O136:$Z136)</f>
        <v>0</v>
      </c>
    </row>
    <row r="137" spans="1:27">
      <c r="A137" s="42">
        <f>IF($B137="","","ACT-"&amp;TEXT(ROW()-4,"000"))</f>
        <v>0</v>
      </c>
      <c r="M137" s="43">
        <f>IF(COUNTA($B137:$K137)=0,"",IF($B137="","Missing activity name",IF($C137="","Missing practice",IF(COUNTIF(PracticeNames,$C137)=0,"Practice not in Lists",IF($D137="","Missing motion",IF(NOT(ISNUMBER($F137)),"Missing or invalid start date",IF(AND(ISNUMBER($G137),$G137&lt;$F137),"End date before start",IF(AND($N137=1,$AA137=0),"Outside planning year","OK"))))))))</f>
        <v>0</v>
      </c>
      <c r="N137">
        <f>IF(AND($B137&lt;&gt;"",$C137&lt;&gt;"",$D137&lt;&gt;"",ISNUMBER($F137),COUNTIF(PracticeNames,$C137)&gt;0,COUNTIF(MotionNames,$D137)&gt;0,NOT(AND(ISNUMBER($G137),$G137&lt;$F137))),IF(StatusFilter="All (excl. Cancelled)",IF($H137="Cancelled",0,1),IF(StatusFilter="All",1,IF($H137=StatusFilter,1,0))),0)</f>
        <v>0</v>
      </c>
      <c r="O137">
        <f>IF($N137=0,0,IF(AND($F137&lt;=EOMONTH(DATE(PlanYear,1,1),0),IF(ISNUMBER($G137),$G137,$F137)&gt;=DATE(PlanYear,1,1)),1,0))</f>
        <v>0</v>
      </c>
      <c r="P137">
        <f>IF($N137=0,0,IF(AND($F137&lt;=EOMONTH(DATE(PlanYear,2,1),0),IF(ISNUMBER($G137),$G137,$F137)&gt;=DATE(PlanYear,2,1)),1,0))</f>
        <v>0</v>
      </c>
      <c r="Q137">
        <f>IF($N137=0,0,IF(AND($F137&lt;=EOMONTH(DATE(PlanYear,3,1),0),IF(ISNUMBER($G137),$G137,$F137)&gt;=DATE(PlanYear,3,1)),1,0))</f>
        <v>0</v>
      </c>
      <c r="R137">
        <f>IF($N137=0,0,IF(AND($F137&lt;=EOMONTH(DATE(PlanYear,4,1),0),IF(ISNUMBER($G137),$G137,$F137)&gt;=DATE(PlanYear,4,1)),1,0))</f>
        <v>0</v>
      </c>
      <c r="S137">
        <f>IF($N137=0,0,IF(AND($F137&lt;=EOMONTH(DATE(PlanYear,5,1),0),IF(ISNUMBER($G137),$G137,$F137)&gt;=DATE(PlanYear,5,1)),1,0))</f>
        <v>0</v>
      </c>
      <c r="T137">
        <f>IF($N137=0,0,IF(AND($F137&lt;=EOMONTH(DATE(PlanYear,6,1),0),IF(ISNUMBER($G137),$G137,$F137)&gt;=DATE(PlanYear,6,1)),1,0))</f>
        <v>0</v>
      </c>
      <c r="U137">
        <f>IF($N137=0,0,IF(AND($F137&lt;=EOMONTH(DATE(PlanYear,7,1),0),IF(ISNUMBER($G137),$G137,$F137)&gt;=DATE(PlanYear,7,1)),1,0))</f>
        <v>0</v>
      </c>
      <c r="V137">
        <f>IF($N137=0,0,IF(AND($F137&lt;=EOMONTH(DATE(PlanYear,8,1),0),IF(ISNUMBER($G137),$G137,$F137)&gt;=DATE(PlanYear,8,1)),1,0))</f>
        <v>0</v>
      </c>
      <c r="W137">
        <f>IF($N137=0,0,IF(AND($F137&lt;=EOMONTH(DATE(PlanYear,9,1),0),IF(ISNUMBER($G137),$G137,$F137)&gt;=DATE(PlanYear,9,1)),1,0))</f>
        <v>0</v>
      </c>
      <c r="X137">
        <f>IF($N137=0,0,IF(AND($F137&lt;=EOMONTH(DATE(PlanYear,10,1),0),IF(ISNUMBER($G137),$G137,$F137)&gt;=DATE(PlanYear,10,1)),1,0))</f>
        <v>0</v>
      </c>
      <c r="Y137">
        <f>IF($N137=0,0,IF(AND($F137&lt;=EOMONTH(DATE(PlanYear,11,1),0),IF(ISNUMBER($G137),$G137,$F137)&gt;=DATE(PlanYear,11,1)),1,0))</f>
        <v>0</v>
      </c>
      <c r="Z137">
        <f>IF($N137=0,0,IF(AND($F137&lt;=EOMONTH(DATE(PlanYear,12,1),0),IF(ISNUMBER($G137),$G137,$F137)&gt;=DATE(PlanYear,12,1)),1,0))</f>
        <v>0</v>
      </c>
      <c r="AA137">
        <f>SUM($O137:$Z137)</f>
        <v>0</v>
      </c>
    </row>
    <row r="138" spans="1:27">
      <c r="A138" s="42">
        <f>IF($B138="","","ACT-"&amp;TEXT(ROW()-4,"000"))</f>
        <v>0</v>
      </c>
      <c r="M138" s="43">
        <f>IF(COUNTA($B138:$K138)=0,"",IF($B138="","Missing activity name",IF($C138="","Missing practice",IF(COUNTIF(PracticeNames,$C138)=0,"Practice not in Lists",IF($D138="","Missing motion",IF(NOT(ISNUMBER($F138)),"Missing or invalid start date",IF(AND(ISNUMBER($G138),$G138&lt;$F138),"End date before start",IF(AND($N138=1,$AA138=0),"Outside planning year","OK"))))))))</f>
        <v>0</v>
      </c>
      <c r="N138">
        <f>IF(AND($B138&lt;&gt;"",$C138&lt;&gt;"",$D138&lt;&gt;"",ISNUMBER($F138),COUNTIF(PracticeNames,$C138)&gt;0,COUNTIF(MotionNames,$D138)&gt;0,NOT(AND(ISNUMBER($G138),$G138&lt;$F138))),IF(StatusFilter="All (excl. Cancelled)",IF($H138="Cancelled",0,1),IF(StatusFilter="All",1,IF($H138=StatusFilter,1,0))),0)</f>
        <v>0</v>
      </c>
      <c r="O138">
        <f>IF($N138=0,0,IF(AND($F138&lt;=EOMONTH(DATE(PlanYear,1,1),0),IF(ISNUMBER($G138),$G138,$F138)&gt;=DATE(PlanYear,1,1)),1,0))</f>
        <v>0</v>
      </c>
      <c r="P138">
        <f>IF($N138=0,0,IF(AND($F138&lt;=EOMONTH(DATE(PlanYear,2,1),0),IF(ISNUMBER($G138),$G138,$F138)&gt;=DATE(PlanYear,2,1)),1,0))</f>
        <v>0</v>
      </c>
      <c r="Q138">
        <f>IF($N138=0,0,IF(AND($F138&lt;=EOMONTH(DATE(PlanYear,3,1),0),IF(ISNUMBER($G138),$G138,$F138)&gt;=DATE(PlanYear,3,1)),1,0))</f>
        <v>0</v>
      </c>
      <c r="R138">
        <f>IF($N138=0,0,IF(AND($F138&lt;=EOMONTH(DATE(PlanYear,4,1),0),IF(ISNUMBER($G138),$G138,$F138)&gt;=DATE(PlanYear,4,1)),1,0))</f>
        <v>0</v>
      </c>
      <c r="S138">
        <f>IF($N138=0,0,IF(AND($F138&lt;=EOMONTH(DATE(PlanYear,5,1),0),IF(ISNUMBER($G138),$G138,$F138)&gt;=DATE(PlanYear,5,1)),1,0))</f>
        <v>0</v>
      </c>
      <c r="T138">
        <f>IF($N138=0,0,IF(AND($F138&lt;=EOMONTH(DATE(PlanYear,6,1),0),IF(ISNUMBER($G138),$G138,$F138)&gt;=DATE(PlanYear,6,1)),1,0))</f>
        <v>0</v>
      </c>
      <c r="U138">
        <f>IF($N138=0,0,IF(AND($F138&lt;=EOMONTH(DATE(PlanYear,7,1),0),IF(ISNUMBER($G138),$G138,$F138)&gt;=DATE(PlanYear,7,1)),1,0))</f>
        <v>0</v>
      </c>
      <c r="V138">
        <f>IF($N138=0,0,IF(AND($F138&lt;=EOMONTH(DATE(PlanYear,8,1),0),IF(ISNUMBER($G138),$G138,$F138)&gt;=DATE(PlanYear,8,1)),1,0))</f>
        <v>0</v>
      </c>
      <c r="W138">
        <f>IF($N138=0,0,IF(AND($F138&lt;=EOMONTH(DATE(PlanYear,9,1),0),IF(ISNUMBER($G138),$G138,$F138)&gt;=DATE(PlanYear,9,1)),1,0))</f>
        <v>0</v>
      </c>
      <c r="X138">
        <f>IF($N138=0,0,IF(AND($F138&lt;=EOMONTH(DATE(PlanYear,10,1),0),IF(ISNUMBER($G138),$G138,$F138)&gt;=DATE(PlanYear,10,1)),1,0))</f>
        <v>0</v>
      </c>
      <c r="Y138">
        <f>IF($N138=0,0,IF(AND($F138&lt;=EOMONTH(DATE(PlanYear,11,1),0),IF(ISNUMBER($G138),$G138,$F138)&gt;=DATE(PlanYear,11,1)),1,0))</f>
        <v>0</v>
      </c>
      <c r="Z138">
        <f>IF($N138=0,0,IF(AND($F138&lt;=EOMONTH(DATE(PlanYear,12,1),0),IF(ISNUMBER($G138),$G138,$F138)&gt;=DATE(PlanYear,12,1)),1,0))</f>
        <v>0</v>
      </c>
      <c r="AA138">
        <f>SUM($O138:$Z138)</f>
        <v>0</v>
      </c>
    </row>
    <row r="139" spans="1:27">
      <c r="A139" s="42">
        <f>IF($B139="","","ACT-"&amp;TEXT(ROW()-4,"000"))</f>
        <v>0</v>
      </c>
      <c r="M139" s="43">
        <f>IF(COUNTA($B139:$K139)=0,"",IF($B139="","Missing activity name",IF($C139="","Missing practice",IF(COUNTIF(PracticeNames,$C139)=0,"Practice not in Lists",IF($D139="","Missing motion",IF(NOT(ISNUMBER($F139)),"Missing or invalid start date",IF(AND(ISNUMBER($G139),$G139&lt;$F139),"End date before start",IF(AND($N139=1,$AA139=0),"Outside planning year","OK"))))))))</f>
        <v>0</v>
      </c>
      <c r="N139">
        <f>IF(AND($B139&lt;&gt;"",$C139&lt;&gt;"",$D139&lt;&gt;"",ISNUMBER($F139),COUNTIF(PracticeNames,$C139)&gt;0,COUNTIF(MotionNames,$D139)&gt;0,NOT(AND(ISNUMBER($G139),$G139&lt;$F139))),IF(StatusFilter="All (excl. Cancelled)",IF($H139="Cancelled",0,1),IF(StatusFilter="All",1,IF($H139=StatusFilter,1,0))),0)</f>
        <v>0</v>
      </c>
      <c r="O139">
        <f>IF($N139=0,0,IF(AND($F139&lt;=EOMONTH(DATE(PlanYear,1,1),0),IF(ISNUMBER($G139),$G139,$F139)&gt;=DATE(PlanYear,1,1)),1,0))</f>
        <v>0</v>
      </c>
      <c r="P139">
        <f>IF($N139=0,0,IF(AND($F139&lt;=EOMONTH(DATE(PlanYear,2,1),0),IF(ISNUMBER($G139),$G139,$F139)&gt;=DATE(PlanYear,2,1)),1,0))</f>
        <v>0</v>
      </c>
      <c r="Q139">
        <f>IF($N139=0,0,IF(AND($F139&lt;=EOMONTH(DATE(PlanYear,3,1),0),IF(ISNUMBER($G139),$G139,$F139)&gt;=DATE(PlanYear,3,1)),1,0))</f>
        <v>0</v>
      </c>
      <c r="R139">
        <f>IF($N139=0,0,IF(AND($F139&lt;=EOMONTH(DATE(PlanYear,4,1),0),IF(ISNUMBER($G139),$G139,$F139)&gt;=DATE(PlanYear,4,1)),1,0))</f>
        <v>0</v>
      </c>
      <c r="S139">
        <f>IF($N139=0,0,IF(AND($F139&lt;=EOMONTH(DATE(PlanYear,5,1),0),IF(ISNUMBER($G139),$G139,$F139)&gt;=DATE(PlanYear,5,1)),1,0))</f>
        <v>0</v>
      </c>
      <c r="T139">
        <f>IF($N139=0,0,IF(AND($F139&lt;=EOMONTH(DATE(PlanYear,6,1),0),IF(ISNUMBER($G139),$G139,$F139)&gt;=DATE(PlanYear,6,1)),1,0))</f>
        <v>0</v>
      </c>
      <c r="U139">
        <f>IF($N139=0,0,IF(AND($F139&lt;=EOMONTH(DATE(PlanYear,7,1),0),IF(ISNUMBER($G139),$G139,$F139)&gt;=DATE(PlanYear,7,1)),1,0))</f>
        <v>0</v>
      </c>
      <c r="V139">
        <f>IF($N139=0,0,IF(AND($F139&lt;=EOMONTH(DATE(PlanYear,8,1),0),IF(ISNUMBER($G139),$G139,$F139)&gt;=DATE(PlanYear,8,1)),1,0))</f>
        <v>0</v>
      </c>
      <c r="W139">
        <f>IF($N139=0,0,IF(AND($F139&lt;=EOMONTH(DATE(PlanYear,9,1),0),IF(ISNUMBER($G139),$G139,$F139)&gt;=DATE(PlanYear,9,1)),1,0))</f>
        <v>0</v>
      </c>
      <c r="X139">
        <f>IF($N139=0,0,IF(AND($F139&lt;=EOMONTH(DATE(PlanYear,10,1),0),IF(ISNUMBER($G139),$G139,$F139)&gt;=DATE(PlanYear,10,1)),1,0))</f>
        <v>0</v>
      </c>
      <c r="Y139">
        <f>IF($N139=0,0,IF(AND($F139&lt;=EOMONTH(DATE(PlanYear,11,1),0),IF(ISNUMBER($G139),$G139,$F139)&gt;=DATE(PlanYear,11,1)),1,0))</f>
        <v>0</v>
      </c>
      <c r="Z139">
        <f>IF($N139=0,0,IF(AND($F139&lt;=EOMONTH(DATE(PlanYear,12,1),0),IF(ISNUMBER($G139),$G139,$F139)&gt;=DATE(PlanYear,12,1)),1,0))</f>
        <v>0</v>
      </c>
      <c r="AA139">
        <f>SUM($O139:$Z139)</f>
        <v>0</v>
      </c>
    </row>
    <row r="140" spans="1:27">
      <c r="A140" s="42">
        <f>IF($B140="","","ACT-"&amp;TEXT(ROW()-4,"000"))</f>
        <v>0</v>
      </c>
      <c r="M140" s="43">
        <f>IF(COUNTA($B140:$K140)=0,"",IF($B140="","Missing activity name",IF($C140="","Missing practice",IF(COUNTIF(PracticeNames,$C140)=0,"Practice not in Lists",IF($D140="","Missing motion",IF(NOT(ISNUMBER($F140)),"Missing or invalid start date",IF(AND(ISNUMBER($G140),$G140&lt;$F140),"End date before start",IF(AND($N140=1,$AA140=0),"Outside planning year","OK"))))))))</f>
        <v>0</v>
      </c>
      <c r="N140">
        <f>IF(AND($B140&lt;&gt;"",$C140&lt;&gt;"",$D140&lt;&gt;"",ISNUMBER($F140),COUNTIF(PracticeNames,$C140)&gt;0,COUNTIF(MotionNames,$D140)&gt;0,NOT(AND(ISNUMBER($G140),$G140&lt;$F140))),IF(StatusFilter="All (excl. Cancelled)",IF($H140="Cancelled",0,1),IF(StatusFilter="All",1,IF($H140=StatusFilter,1,0))),0)</f>
        <v>0</v>
      </c>
      <c r="O140">
        <f>IF($N140=0,0,IF(AND($F140&lt;=EOMONTH(DATE(PlanYear,1,1),0),IF(ISNUMBER($G140),$G140,$F140)&gt;=DATE(PlanYear,1,1)),1,0))</f>
        <v>0</v>
      </c>
      <c r="P140">
        <f>IF($N140=0,0,IF(AND($F140&lt;=EOMONTH(DATE(PlanYear,2,1),0),IF(ISNUMBER($G140),$G140,$F140)&gt;=DATE(PlanYear,2,1)),1,0))</f>
        <v>0</v>
      </c>
      <c r="Q140">
        <f>IF($N140=0,0,IF(AND($F140&lt;=EOMONTH(DATE(PlanYear,3,1),0),IF(ISNUMBER($G140),$G140,$F140)&gt;=DATE(PlanYear,3,1)),1,0))</f>
        <v>0</v>
      </c>
      <c r="R140">
        <f>IF($N140=0,0,IF(AND($F140&lt;=EOMONTH(DATE(PlanYear,4,1),0),IF(ISNUMBER($G140),$G140,$F140)&gt;=DATE(PlanYear,4,1)),1,0))</f>
        <v>0</v>
      </c>
      <c r="S140">
        <f>IF($N140=0,0,IF(AND($F140&lt;=EOMONTH(DATE(PlanYear,5,1),0),IF(ISNUMBER($G140),$G140,$F140)&gt;=DATE(PlanYear,5,1)),1,0))</f>
        <v>0</v>
      </c>
      <c r="T140">
        <f>IF($N140=0,0,IF(AND($F140&lt;=EOMONTH(DATE(PlanYear,6,1),0),IF(ISNUMBER($G140),$G140,$F140)&gt;=DATE(PlanYear,6,1)),1,0))</f>
        <v>0</v>
      </c>
      <c r="U140">
        <f>IF($N140=0,0,IF(AND($F140&lt;=EOMONTH(DATE(PlanYear,7,1),0),IF(ISNUMBER($G140),$G140,$F140)&gt;=DATE(PlanYear,7,1)),1,0))</f>
        <v>0</v>
      </c>
      <c r="V140">
        <f>IF($N140=0,0,IF(AND($F140&lt;=EOMONTH(DATE(PlanYear,8,1),0),IF(ISNUMBER($G140),$G140,$F140)&gt;=DATE(PlanYear,8,1)),1,0))</f>
        <v>0</v>
      </c>
      <c r="W140">
        <f>IF($N140=0,0,IF(AND($F140&lt;=EOMONTH(DATE(PlanYear,9,1),0),IF(ISNUMBER($G140),$G140,$F140)&gt;=DATE(PlanYear,9,1)),1,0))</f>
        <v>0</v>
      </c>
      <c r="X140">
        <f>IF($N140=0,0,IF(AND($F140&lt;=EOMONTH(DATE(PlanYear,10,1),0),IF(ISNUMBER($G140),$G140,$F140)&gt;=DATE(PlanYear,10,1)),1,0))</f>
        <v>0</v>
      </c>
      <c r="Y140">
        <f>IF($N140=0,0,IF(AND($F140&lt;=EOMONTH(DATE(PlanYear,11,1),0),IF(ISNUMBER($G140),$G140,$F140)&gt;=DATE(PlanYear,11,1)),1,0))</f>
        <v>0</v>
      </c>
      <c r="Z140">
        <f>IF($N140=0,0,IF(AND($F140&lt;=EOMONTH(DATE(PlanYear,12,1),0),IF(ISNUMBER($G140),$G140,$F140)&gt;=DATE(PlanYear,12,1)),1,0))</f>
        <v>0</v>
      </c>
      <c r="AA140">
        <f>SUM($O140:$Z140)</f>
        <v>0</v>
      </c>
    </row>
    <row r="141" spans="1:27">
      <c r="A141" s="42">
        <f>IF($B141="","","ACT-"&amp;TEXT(ROW()-4,"000"))</f>
        <v>0</v>
      </c>
      <c r="M141" s="43">
        <f>IF(COUNTA($B141:$K141)=0,"",IF($B141="","Missing activity name",IF($C141="","Missing practice",IF(COUNTIF(PracticeNames,$C141)=0,"Practice not in Lists",IF($D141="","Missing motion",IF(NOT(ISNUMBER($F141)),"Missing or invalid start date",IF(AND(ISNUMBER($G141),$G141&lt;$F141),"End date before start",IF(AND($N141=1,$AA141=0),"Outside planning year","OK"))))))))</f>
        <v>0</v>
      </c>
      <c r="N141">
        <f>IF(AND($B141&lt;&gt;"",$C141&lt;&gt;"",$D141&lt;&gt;"",ISNUMBER($F141),COUNTIF(PracticeNames,$C141)&gt;0,COUNTIF(MotionNames,$D141)&gt;0,NOT(AND(ISNUMBER($G141),$G141&lt;$F141))),IF(StatusFilter="All (excl. Cancelled)",IF($H141="Cancelled",0,1),IF(StatusFilter="All",1,IF($H141=StatusFilter,1,0))),0)</f>
        <v>0</v>
      </c>
      <c r="O141">
        <f>IF($N141=0,0,IF(AND($F141&lt;=EOMONTH(DATE(PlanYear,1,1),0),IF(ISNUMBER($G141),$G141,$F141)&gt;=DATE(PlanYear,1,1)),1,0))</f>
        <v>0</v>
      </c>
      <c r="P141">
        <f>IF($N141=0,0,IF(AND($F141&lt;=EOMONTH(DATE(PlanYear,2,1),0),IF(ISNUMBER($G141),$G141,$F141)&gt;=DATE(PlanYear,2,1)),1,0))</f>
        <v>0</v>
      </c>
      <c r="Q141">
        <f>IF($N141=0,0,IF(AND($F141&lt;=EOMONTH(DATE(PlanYear,3,1),0),IF(ISNUMBER($G141),$G141,$F141)&gt;=DATE(PlanYear,3,1)),1,0))</f>
        <v>0</v>
      </c>
      <c r="R141">
        <f>IF($N141=0,0,IF(AND($F141&lt;=EOMONTH(DATE(PlanYear,4,1),0),IF(ISNUMBER($G141),$G141,$F141)&gt;=DATE(PlanYear,4,1)),1,0))</f>
        <v>0</v>
      </c>
      <c r="S141">
        <f>IF($N141=0,0,IF(AND($F141&lt;=EOMONTH(DATE(PlanYear,5,1),0),IF(ISNUMBER($G141),$G141,$F141)&gt;=DATE(PlanYear,5,1)),1,0))</f>
        <v>0</v>
      </c>
      <c r="T141">
        <f>IF($N141=0,0,IF(AND($F141&lt;=EOMONTH(DATE(PlanYear,6,1),0),IF(ISNUMBER($G141),$G141,$F141)&gt;=DATE(PlanYear,6,1)),1,0))</f>
        <v>0</v>
      </c>
      <c r="U141">
        <f>IF($N141=0,0,IF(AND($F141&lt;=EOMONTH(DATE(PlanYear,7,1),0),IF(ISNUMBER($G141),$G141,$F141)&gt;=DATE(PlanYear,7,1)),1,0))</f>
        <v>0</v>
      </c>
      <c r="V141">
        <f>IF($N141=0,0,IF(AND($F141&lt;=EOMONTH(DATE(PlanYear,8,1),0),IF(ISNUMBER($G141),$G141,$F141)&gt;=DATE(PlanYear,8,1)),1,0))</f>
        <v>0</v>
      </c>
      <c r="W141">
        <f>IF($N141=0,0,IF(AND($F141&lt;=EOMONTH(DATE(PlanYear,9,1),0),IF(ISNUMBER($G141),$G141,$F141)&gt;=DATE(PlanYear,9,1)),1,0))</f>
        <v>0</v>
      </c>
      <c r="X141">
        <f>IF($N141=0,0,IF(AND($F141&lt;=EOMONTH(DATE(PlanYear,10,1),0),IF(ISNUMBER($G141),$G141,$F141)&gt;=DATE(PlanYear,10,1)),1,0))</f>
        <v>0</v>
      </c>
      <c r="Y141">
        <f>IF($N141=0,0,IF(AND($F141&lt;=EOMONTH(DATE(PlanYear,11,1),0),IF(ISNUMBER($G141),$G141,$F141)&gt;=DATE(PlanYear,11,1)),1,0))</f>
        <v>0</v>
      </c>
      <c r="Z141">
        <f>IF($N141=0,0,IF(AND($F141&lt;=EOMONTH(DATE(PlanYear,12,1),0),IF(ISNUMBER($G141),$G141,$F141)&gt;=DATE(PlanYear,12,1)),1,0))</f>
        <v>0</v>
      </c>
      <c r="AA141">
        <f>SUM($O141:$Z141)</f>
        <v>0</v>
      </c>
    </row>
    <row r="142" spans="1:27">
      <c r="A142" s="42">
        <f>IF($B142="","","ACT-"&amp;TEXT(ROW()-4,"000"))</f>
        <v>0</v>
      </c>
      <c r="M142" s="43">
        <f>IF(COUNTA($B142:$K142)=0,"",IF($B142="","Missing activity name",IF($C142="","Missing practice",IF(COUNTIF(PracticeNames,$C142)=0,"Practice not in Lists",IF($D142="","Missing motion",IF(NOT(ISNUMBER($F142)),"Missing or invalid start date",IF(AND(ISNUMBER($G142),$G142&lt;$F142),"End date before start",IF(AND($N142=1,$AA142=0),"Outside planning year","OK"))))))))</f>
        <v>0</v>
      </c>
      <c r="N142">
        <f>IF(AND($B142&lt;&gt;"",$C142&lt;&gt;"",$D142&lt;&gt;"",ISNUMBER($F142),COUNTIF(PracticeNames,$C142)&gt;0,COUNTIF(MotionNames,$D142)&gt;0,NOT(AND(ISNUMBER($G142),$G142&lt;$F142))),IF(StatusFilter="All (excl. Cancelled)",IF($H142="Cancelled",0,1),IF(StatusFilter="All",1,IF($H142=StatusFilter,1,0))),0)</f>
        <v>0</v>
      </c>
      <c r="O142">
        <f>IF($N142=0,0,IF(AND($F142&lt;=EOMONTH(DATE(PlanYear,1,1),0),IF(ISNUMBER($G142),$G142,$F142)&gt;=DATE(PlanYear,1,1)),1,0))</f>
        <v>0</v>
      </c>
      <c r="P142">
        <f>IF($N142=0,0,IF(AND($F142&lt;=EOMONTH(DATE(PlanYear,2,1),0),IF(ISNUMBER($G142),$G142,$F142)&gt;=DATE(PlanYear,2,1)),1,0))</f>
        <v>0</v>
      </c>
      <c r="Q142">
        <f>IF($N142=0,0,IF(AND($F142&lt;=EOMONTH(DATE(PlanYear,3,1),0),IF(ISNUMBER($G142),$G142,$F142)&gt;=DATE(PlanYear,3,1)),1,0))</f>
        <v>0</v>
      </c>
      <c r="R142">
        <f>IF($N142=0,0,IF(AND($F142&lt;=EOMONTH(DATE(PlanYear,4,1),0),IF(ISNUMBER($G142),$G142,$F142)&gt;=DATE(PlanYear,4,1)),1,0))</f>
        <v>0</v>
      </c>
      <c r="S142">
        <f>IF($N142=0,0,IF(AND($F142&lt;=EOMONTH(DATE(PlanYear,5,1),0),IF(ISNUMBER($G142),$G142,$F142)&gt;=DATE(PlanYear,5,1)),1,0))</f>
        <v>0</v>
      </c>
      <c r="T142">
        <f>IF($N142=0,0,IF(AND($F142&lt;=EOMONTH(DATE(PlanYear,6,1),0),IF(ISNUMBER($G142),$G142,$F142)&gt;=DATE(PlanYear,6,1)),1,0))</f>
        <v>0</v>
      </c>
      <c r="U142">
        <f>IF($N142=0,0,IF(AND($F142&lt;=EOMONTH(DATE(PlanYear,7,1),0),IF(ISNUMBER($G142),$G142,$F142)&gt;=DATE(PlanYear,7,1)),1,0))</f>
        <v>0</v>
      </c>
      <c r="V142">
        <f>IF($N142=0,0,IF(AND($F142&lt;=EOMONTH(DATE(PlanYear,8,1),0),IF(ISNUMBER($G142),$G142,$F142)&gt;=DATE(PlanYear,8,1)),1,0))</f>
        <v>0</v>
      </c>
      <c r="W142">
        <f>IF($N142=0,0,IF(AND($F142&lt;=EOMONTH(DATE(PlanYear,9,1),0),IF(ISNUMBER($G142),$G142,$F142)&gt;=DATE(PlanYear,9,1)),1,0))</f>
        <v>0</v>
      </c>
      <c r="X142">
        <f>IF($N142=0,0,IF(AND($F142&lt;=EOMONTH(DATE(PlanYear,10,1),0),IF(ISNUMBER($G142),$G142,$F142)&gt;=DATE(PlanYear,10,1)),1,0))</f>
        <v>0</v>
      </c>
      <c r="Y142">
        <f>IF($N142=0,0,IF(AND($F142&lt;=EOMONTH(DATE(PlanYear,11,1),0),IF(ISNUMBER($G142),$G142,$F142)&gt;=DATE(PlanYear,11,1)),1,0))</f>
        <v>0</v>
      </c>
      <c r="Z142">
        <f>IF($N142=0,0,IF(AND($F142&lt;=EOMONTH(DATE(PlanYear,12,1),0),IF(ISNUMBER($G142),$G142,$F142)&gt;=DATE(PlanYear,12,1)),1,0))</f>
        <v>0</v>
      </c>
      <c r="AA142">
        <f>SUM($O142:$Z142)</f>
        <v>0</v>
      </c>
    </row>
    <row r="143" spans="1:27">
      <c r="A143" s="42">
        <f>IF($B143="","","ACT-"&amp;TEXT(ROW()-4,"000"))</f>
        <v>0</v>
      </c>
      <c r="M143" s="43">
        <f>IF(COUNTA($B143:$K143)=0,"",IF($B143="","Missing activity name",IF($C143="","Missing practice",IF(COUNTIF(PracticeNames,$C143)=0,"Practice not in Lists",IF($D143="","Missing motion",IF(NOT(ISNUMBER($F143)),"Missing or invalid start date",IF(AND(ISNUMBER($G143),$G143&lt;$F143),"End date before start",IF(AND($N143=1,$AA143=0),"Outside planning year","OK"))))))))</f>
        <v>0</v>
      </c>
      <c r="N143">
        <f>IF(AND($B143&lt;&gt;"",$C143&lt;&gt;"",$D143&lt;&gt;"",ISNUMBER($F143),COUNTIF(PracticeNames,$C143)&gt;0,COUNTIF(MotionNames,$D143)&gt;0,NOT(AND(ISNUMBER($G143),$G143&lt;$F143))),IF(StatusFilter="All (excl. Cancelled)",IF($H143="Cancelled",0,1),IF(StatusFilter="All",1,IF($H143=StatusFilter,1,0))),0)</f>
        <v>0</v>
      </c>
      <c r="O143">
        <f>IF($N143=0,0,IF(AND($F143&lt;=EOMONTH(DATE(PlanYear,1,1),0),IF(ISNUMBER($G143),$G143,$F143)&gt;=DATE(PlanYear,1,1)),1,0))</f>
        <v>0</v>
      </c>
      <c r="P143">
        <f>IF($N143=0,0,IF(AND($F143&lt;=EOMONTH(DATE(PlanYear,2,1),0),IF(ISNUMBER($G143),$G143,$F143)&gt;=DATE(PlanYear,2,1)),1,0))</f>
        <v>0</v>
      </c>
      <c r="Q143">
        <f>IF($N143=0,0,IF(AND($F143&lt;=EOMONTH(DATE(PlanYear,3,1),0),IF(ISNUMBER($G143),$G143,$F143)&gt;=DATE(PlanYear,3,1)),1,0))</f>
        <v>0</v>
      </c>
      <c r="R143">
        <f>IF($N143=0,0,IF(AND($F143&lt;=EOMONTH(DATE(PlanYear,4,1),0),IF(ISNUMBER($G143),$G143,$F143)&gt;=DATE(PlanYear,4,1)),1,0))</f>
        <v>0</v>
      </c>
      <c r="S143">
        <f>IF($N143=0,0,IF(AND($F143&lt;=EOMONTH(DATE(PlanYear,5,1),0),IF(ISNUMBER($G143),$G143,$F143)&gt;=DATE(PlanYear,5,1)),1,0))</f>
        <v>0</v>
      </c>
      <c r="T143">
        <f>IF($N143=0,0,IF(AND($F143&lt;=EOMONTH(DATE(PlanYear,6,1),0),IF(ISNUMBER($G143),$G143,$F143)&gt;=DATE(PlanYear,6,1)),1,0))</f>
        <v>0</v>
      </c>
      <c r="U143">
        <f>IF($N143=0,0,IF(AND($F143&lt;=EOMONTH(DATE(PlanYear,7,1),0),IF(ISNUMBER($G143),$G143,$F143)&gt;=DATE(PlanYear,7,1)),1,0))</f>
        <v>0</v>
      </c>
      <c r="V143">
        <f>IF($N143=0,0,IF(AND($F143&lt;=EOMONTH(DATE(PlanYear,8,1),0),IF(ISNUMBER($G143),$G143,$F143)&gt;=DATE(PlanYear,8,1)),1,0))</f>
        <v>0</v>
      </c>
      <c r="W143">
        <f>IF($N143=0,0,IF(AND($F143&lt;=EOMONTH(DATE(PlanYear,9,1),0),IF(ISNUMBER($G143),$G143,$F143)&gt;=DATE(PlanYear,9,1)),1,0))</f>
        <v>0</v>
      </c>
      <c r="X143">
        <f>IF($N143=0,0,IF(AND($F143&lt;=EOMONTH(DATE(PlanYear,10,1),0),IF(ISNUMBER($G143),$G143,$F143)&gt;=DATE(PlanYear,10,1)),1,0))</f>
        <v>0</v>
      </c>
      <c r="Y143">
        <f>IF($N143=0,0,IF(AND($F143&lt;=EOMONTH(DATE(PlanYear,11,1),0),IF(ISNUMBER($G143),$G143,$F143)&gt;=DATE(PlanYear,11,1)),1,0))</f>
        <v>0</v>
      </c>
      <c r="Z143">
        <f>IF($N143=0,0,IF(AND($F143&lt;=EOMONTH(DATE(PlanYear,12,1),0),IF(ISNUMBER($G143),$G143,$F143)&gt;=DATE(PlanYear,12,1)),1,0))</f>
        <v>0</v>
      </c>
      <c r="AA143">
        <f>SUM($O143:$Z143)</f>
        <v>0</v>
      </c>
    </row>
    <row r="144" spans="1:27">
      <c r="A144" s="42">
        <f>IF($B144="","","ACT-"&amp;TEXT(ROW()-4,"000"))</f>
        <v>0</v>
      </c>
      <c r="M144" s="43">
        <f>IF(COUNTA($B144:$K144)=0,"",IF($B144="","Missing activity name",IF($C144="","Missing practice",IF(COUNTIF(PracticeNames,$C144)=0,"Practice not in Lists",IF($D144="","Missing motion",IF(NOT(ISNUMBER($F144)),"Missing or invalid start date",IF(AND(ISNUMBER($G144),$G144&lt;$F144),"End date before start",IF(AND($N144=1,$AA144=0),"Outside planning year","OK"))))))))</f>
        <v>0</v>
      </c>
      <c r="N144">
        <f>IF(AND($B144&lt;&gt;"",$C144&lt;&gt;"",$D144&lt;&gt;"",ISNUMBER($F144),COUNTIF(PracticeNames,$C144)&gt;0,COUNTIF(MotionNames,$D144)&gt;0,NOT(AND(ISNUMBER($G144),$G144&lt;$F144))),IF(StatusFilter="All (excl. Cancelled)",IF($H144="Cancelled",0,1),IF(StatusFilter="All",1,IF($H144=StatusFilter,1,0))),0)</f>
        <v>0</v>
      </c>
      <c r="O144">
        <f>IF($N144=0,0,IF(AND($F144&lt;=EOMONTH(DATE(PlanYear,1,1),0),IF(ISNUMBER($G144),$G144,$F144)&gt;=DATE(PlanYear,1,1)),1,0))</f>
        <v>0</v>
      </c>
      <c r="P144">
        <f>IF($N144=0,0,IF(AND($F144&lt;=EOMONTH(DATE(PlanYear,2,1),0),IF(ISNUMBER($G144),$G144,$F144)&gt;=DATE(PlanYear,2,1)),1,0))</f>
        <v>0</v>
      </c>
      <c r="Q144">
        <f>IF($N144=0,0,IF(AND($F144&lt;=EOMONTH(DATE(PlanYear,3,1),0),IF(ISNUMBER($G144),$G144,$F144)&gt;=DATE(PlanYear,3,1)),1,0))</f>
        <v>0</v>
      </c>
      <c r="R144">
        <f>IF($N144=0,0,IF(AND($F144&lt;=EOMONTH(DATE(PlanYear,4,1),0),IF(ISNUMBER($G144),$G144,$F144)&gt;=DATE(PlanYear,4,1)),1,0))</f>
        <v>0</v>
      </c>
      <c r="S144">
        <f>IF($N144=0,0,IF(AND($F144&lt;=EOMONTH(DATE(PlanYear,5,1),0),IF(ISNUMBER($G144),$G144,$F144)&gt;=DATE(PlanYear,5,1)),1,0))</f>
        <v>0</v>
      </c>
      <c r="T144">
        <f>IF($N144=0,0,IF(AND($F144&lt;=EOMONTH(DATE(PlanYear,6,1),0),IF(ISNUMBER($G144),$G144,$F144)&gt;=DATE(PlanYear,6,1)),1,0))</f>
        <v>0</v>
      </c>
      <c r="U144">
        <f>IF($N144=0,0,IF(AND($F144&lt;=EOMONTH(DATE(PlanYear,7,1),0),IF(ISNUMBER($G144),$G144,$F144)&gt;=DATE(PlanYear,7,1)),1,0))</f>
        <v>0</v>
      </c>
      <c r="V144">
        <f>IF($N144=0,0,IF(AND($F144&lt;=EOMONTH(DATE(PlanYear,8,1),0),IF(ISNUMBER($G144),$G144,$F144)&gt;=DATE(PlanYear,8,1)),1,0))</f>
        <v>0</v>
      </c>
      <c r="W144">
        <f>IF($N144=0,0,IF(AND($F144&lt;=EOMONTH(DATE(PlanYear,9,1),0),IF(ISNUMBER($G144),$G144,$F144)&gt;=DATE(PlanYear,9,1)),1,0))</f>
        <v>0</v>
      </c>
      <c r="X144">
        <f>IF($N144=0,0,IF(AND($F144&lt;=EOMONTH(DATE(PlanYear,10,1),0),IF(ISNUMBER($G144),$G144,$F144)&gt;=DATE(PlanYear,10,1)),1,0))</f>
        <v>0</v>
      </c>
      <c r="Y144">
        <f>IF($N144=0,0,IF(AND($F144&lt;=EOMONTH(DATE(PlanYear,11,1),0),IF(ISNUMBER($G144),$G144,$F144)&gt;=DATE(PlanYear,11,1)),1,0))</f>
        <v>0</v>
      </c>
      <c r="Z144">
        <f>IF($N144=0,0,IF(AND($F144&lt;=EOMONTH(DATE(PlanYear,12,1),0),IF(ISNUMBER($G144),$G144,$F144)&gt;=DATE(PlanYear,12,1)),1,0))</f>
        <v>0</v>
      </c>
      <c r="AA144">
        <f>SUM($O144:$Z144)</f>
        <v>0</v>
      </c>
    </row>
    <row r="145" spans="1:27">
      <c r="A145" s="42">
        <f>IF($B145="","","ACT-"&amp;TEXT(ROW()-4,"000"))</f>
        <v>0</v>
      </c>
      <c r="M145" s="43">
        <f>IF(COUNTA($B145:$K145)=0,"",IF($B145="","Missing activity name",IF($C145="","Missing practice",IF(COUNTIF(PracticeNames,$C145)=0,"Practice not in Lists",IF($D145="","Missing motion",IF(NOT(ISNUMBER($F145)),"Missing or invalid start date",IF(AND(ISNUMBER($G145),$G145&lt;$F145),"End date before start",IF(AND($N145=1,$AA145=0),"Outside planning year","OK"))))))))</f>
        <v>0</v>
      </c>
      <c r="N145">
        <f>IF(AND($B145&lt;&gt;"",$C145&lt;&gt;"",$D145&lt;&gt;"",ISNUMBER($F145),COUNTIF(PracticeNames,$C145)&gt;0,COUNTIF(MotionNames,$D145)&gt;0,NOT(AND(ISNUMBER($G145),$G145&lt;$F145))),IF(StatusFilter="All (excl. Cancelled)",IF($H145="Cancelled",0,1),IF(StatusFilter="All",1,IF($H145=StatusFilter,1,0))),0)</f>
        <v>0</v>
      </c>
      <c r="O145">
        <f>IF($N145=0,0,IF(AND($F145&lt;=EOMONTH(DATE(PlanYear,1,1),0),IF(ISNUMBER($G145),$G145,$F145)&gt;=DATE(PlanYear,1,1)),1,0))</f>
        <v>0</v>
      </c>
      <c r="P145">
        <f>IF($N145=0,0,IF(AND($F145&lt;=EOMONTH(DATE(PlanYear,2,1),0),IF(ISNUMBER($G145),$G145,$F145)&gt;=DATE(PlanYear,2,1)),1,0))</f>
        <v>0</v>
      </c>
      <c r="Q145">
        <f>IF($N145=0,0,IF(AND($F145&lt;=EOMONTH(DATE(PlanYear,3,1),0),IF(ISNUMBER($G145),$G145,$F145)&gt;=DATE(PlanYear,3,1)),1,0))</f>
        <v>0</v>
      </c>
      <c r="R145">
        <f>IF($N145=0,0,IF(AND($F145&lt;=EOMONTH(DATE(PlanYear,4,1),0),IF(ISNUMBER($G145),$G145,$F145)&gt;=DATE(PlanYear,4,1)),1,0))</f>
        <v>0</v>
      </c>
      <c r="S145">
        <f>IF($N145=0,0,IF(AND($F145&lt;=EOMONTH(DATE(PlanYear,5,1),0),IF(ISNUMBER($G145),$G145,$F145)&gt;=DATE(PlanYear,5,1)),1,0))</f>
        <v>0</v>
      </c>
      <c r="T145">
        <f>IF($N145=0,0,IF(AND($F145&lt;=EOMONTH(DATE(PlanYear,6,1),0),IF(ISNUMBER($G145),$G145,$F145)&gt;=DATE(PlanYear,6,1)),1,0))</f>
        <v>0</v>
      </c>
      <c r="U145">
        <f>IF($N145=0,0,IF(AND($F145&lt;=EOMONTH(DATE(PlanYear,7,1),0),IF(ISNUMBER($G145),$G145,$F145)&gt;=DATE(PlanYear,7,1)),1,0))</f>
        <v>0</v>
      </c>
      <c r="V145">
        <f>IF($N145=0,0,IF(AND($F145&lt;=EOMONTH(DATE(PlanYear,8,1),0),IF(ISNUMBER($G145),$G145,$F145)&gt;=DATE(PlanYear,8,1)),1,0))</f>
        <v>0</v>
      </c>
      <c r="W145">
        <f>IF($N145=0,0,IF(AND($F145&lt;=EOMONTH(DATE(PlanYear,9,1),0),IF(ISNUMBER($G145),$G145,$F145)&gt;=DATE(PlanYear,9,1)),1,0))</f>
        <v>0</v>
      </c>
      <c r="X145">
        <f>IF($N145=0,0,IF(AND($F145&lt;=EOMONTH(DATE(PlanYear,10,1),0),IF(ISNUMBER($G145),$G145,$F145)&gt;=DATE(PlanYear,10,1)),1,0))</f>
        <v>0</v>
      </c>
      <c r="Y145">
        <f>IF($N145=0,0,IF(AND($F145&lt;=EOMONTH(DATE(PlanYear,11,1),0),IF(ISNUMBER($G145),$G145,$F145)&gt;=DATE(PlanYear,11,1)),1,0))</f>
        <v>0</v>
      </c>
      <c r="Z145">
        <f>IF($N145=0,0,IF(AND($F145&lt;=EOMONTH(DATE(PlanYear,12,1),0),IF(ISNUMBER($G145),$G145,$F145)&gt;=DATE(PlanYear,12,1)),1,0))</f>
        <v>0</v>
      </c>
      <c r="AA145">
        <f>SUM($O145:$Z145)</f>
        <v>0</v>
      </c>
    </row>
    <row r="146" spans="1:27">
      <c r="A146" s="42">
        <f>IF($B146="","","ACT-"&amp;TEXT(ROW()-4,"000"))</f>
        <v>0</v>
      </c>
      <c r="M146" s="43">
        <f>IF(COUNTA($B146:$K146)=0,"",IF($B146="","Missing activity name",IF($C146="","Missing practice",IF(COUNTIF(PracticeNames,$C146)=0,"Practice not in Lists",IF($D146="","Missing motion",IF(NOT(ISNUMBER($F146)),"Missing or invalid start date",IF(AND(ISNUMBER($G146),$G146&lt;$F146),"End date before start",IF(AND($N146=1,$AA146=0),"Outside planning year","OK"))))))))</f>
        <v>0</v>
      </c>
      <c r="N146">
        <f>IF(AND($B146&lt;&gt;"",$C146&lt;&gt;"",$D146&lt;&gt;"",ISNUMBER($F146),COUNTIF(PracticeNames,$C146)&gt;0,COUNTIF(MotionNames,$D146)&gt;0,NOT(AND(ISNUMBER($G146),$G146&lt;$F146))),IF(StatusFilter="All (excl. Cancelled)",IF($H146="Cancelled",0,1),IF(StatusFilter="All",1,IF($H146=StatusFilter,1,0))),0)</f>
        <v>0</v>
      </c>
      <c r="O146">
        <f>IF($N146=0,0,IF(AND($F146&lt;=EOMONTH(DATE(PlanYear,1,1),0),IF(ISNUMBER($G146),$G146,$F146)&gt;=DATE(PlanYear,1,1)),1,0))</f>
        <v>0</v>
      </c>
      <c r="P146">
        <f>IF($N146=0,0,IF(AND($F146&lt;=EOMONTH(DATE(PlanYear,2,1),0),IF(ISNUMBER($G146),$G146,$F146)&gt;=DATE(PlanYear,2,1)),1,0))</f>
        <v>0</v>
      </c>
      <c r="Q146">
        <f>IF($N146=0,0,IF(AND($F146&lt;=EOMONTH(DATE(PlanYear,3,1),0),IF(ISNUMBER($G146),$G146,$F146)&gt;=DATE(PlanYear,3,1)),1,0))</f>
        <v>0</v>
      </c>
      <c r="R146">
        <f>IF($N146=0,0,IF(AND($F146&lt;=EOMONTH(DATE(PlanYear,4,1),0),IF(ISNUMBER($G146),$G146,$F146)&gt;=DATE(PlanYear,4,1)),1,0))</f>
        <v>0</v>
      </c>
      <c r="S146">
        <f>IF($N146=0,0,IF(AND($F146&lt;=EOMONTH(DATE(PlanYear,5,1),0),IF(ISNUMBER($G146),$G146,$F146)&gt;=DATE(PlanYear,5,1)),1,0))</f>
        <v>0</v>
      </c>
      <c r="T146">
        <f>IF($N146=0,0,IF(AND($F146&lt;=EOMONTH(DATE(PlanYear,6,1),0),IF(ISNUMBER($G146),$G146,$F146)&gt;=DATE(PlanYear,6,1)),1,0))</f>
        <v>0</v>
      </c>
      <c r="U146">
        <f>IF($N146=0,0,IF(AND($F146&lt;=EOMONTH(DATE(PlanYear,7,1),0),IF(ISNUMBER($G146),$G146,$F146)&gt;=DATE(PlanYear,7,1)),1,0))</f>
        <v>0</v>
      </c>
      <c r="V146">
        <f>IF($N146=0,0,IF(AND($F146&lt;=EOMONTH(DATE(PlanYear,8,1),0),IF(ISNUMBER($G146),$G146,$F146)&gt;=DATE(PlanYear,8,1)),1,0))</f>
        <v>0</v>
      </c>
      <c r="W146">
        <f>IF($N146=0,0,IF(AND($F146&lt;=EOMONTH(DATE(PlanYear,9,1),0),IF(ISNUMBER($G146),$G146,$F146)&gt;=DATE(PlanYear,9,1)),1,0))</f>
        <v>0</v>
      </c>
      <c r="X146">
        <f>IF($N146=0,0,IF(AND($F146&lt;=EOMONTH(DATE(PlanYear,10,1),0),IF(ISNUMBER($G146),$G146,$F146)&gt;=DATE(PlanYear,10,1)),1,0))</f>
        <v>0</v>
      </c>
      <c r="Y146">
        <f>IF($N146=0,0,IF(AND($F146&lt;=EOMONTH(DATE(PlanYear,11,1),0),IF(ISNUMBER($G146),$G146,$F146)&gt;=DATE(PlanYear,11,1)),1,0))</f>
        <v>0</v>
      </c>
      <c r="Z146">
        <f>IF($N146=0,0,IF(AND($F146&lt;=EOMONTH(DATE(PlanYear,12,1),0),IF(ISNUMBER($G146),$G146,$F146)&gt;=DATE(PlanYear,12,1)),1,0))</f>
        <v>0</v>
      </c>
      <c r="AA146">
        <f>SUM($O146:$Z146)</f>
        <v>0</v>
      </c>
    </row>
    <row r="147" spans="1:27">
      <c r="A147" s="42">
        <f>IF($B147="","","ACT-"&amp;TEXT(ROW()-4,"000"))</f>
        <v>0</v>
      </c>
      <c r="M147" s="43">
        <f>IF(COUNTA($B147:$K147)=0,"",IF($B147="","Missing activity name",IF($C147="","Missing practice",IF(COUNTIF(PracticeNames,$C147)=0,"Practice not in Lists",IF($D147="","Missing motion",IF(NOT(ISNUMBER($F147)),"Missing or invalid start date",IF(AND(ISNUMBER($G147),$G147&lt;$F147),"End date before start",IF(AND($N147=1,$AA147=0),"Outside planning year","OK"))))))))</f>
        <v>0</v>
      </c>
      <c r="N147">
        <f>IF(AND($B147&lt;&gt;"",$C147&lt;&gt;"",$D147&lt;&gt;"",ISNUMBER($F147),COUNTIF(PracticeNames,$C147)&gt;0,COUNTIF(MotionNames,$D147)&gt;0,NOT(AND(ISNUMBER($G147),$G147&lt;$F147))),IF(StatusFilter="All (excl. Cancelled)",IF($H147="Cancelled",0,1),IF(StatusFilter="All",1,IF($H147=StatusFilter,1,0))),0)</f>
        <v>0</v>
      </c>
      <c r="O147">
        <f>IF($N147=0,0,IF(AND($F147&lt;=EOMONTH(DATE(PlanYear,1,1),0),IF(ISNUMBER($G147),$G147,$F147)&gt;=DATE(PlanYear,1,1)),1,0))</f>
        <v>0</v>
      </c>
      <c r="P147">
        <f>IF($N147=0,0,IF(AND($F147&lt;=EOMONTH(DATE(PlanYear,2,1),0),IF(ISNUMBER($G147),$G147,$F147)&gt;=DATE(PlanYear,2,1)),1,0))</f>
        <v>0</v>
      </c>
      <c r="Q147">
        <f>IF($N147=0,0,IF(AND($F147&lt;=EOMONTH(DATE(PlanYear,3,1),0),IF(ISNUMBER($G147),$G147,$F147)&gt;=DATE(PlanYear,3,1)),1,0))</f>
        <v>0</v>
      </c>
      <c r="R147">
        <f>IF($N147=0,0,IF(AND($F147&lt;=EOMONTH(DATE(PlanYear,4,1),0),IF(ISNUMBER($G147),$G147,$F147)&gt;=DATE(PlanYear,4,1)),1,0))</f>
        <v>0</v>
      </c>
      <c r="S147">
        <f>IF($N147=0,0,IF(AND($F147&lt;=EOMONTH(DATE(PlanYear,5,1),0),IF(ISNUMBER($G147),$G147,$F147)&gt;=DATE(PlanYear,5,1)),1,0))</f>
        <v>0</v>
      </c>
      <c r="T147">
        <f>IF($N147=0,0,IF(AND($F147&lt;=EOMONTH(DATE(PlanYear,6,1),0),IF(ISNUMBER($G147),$G147,$F147)&gt;=DATE(PlanYear,6,1)),1,0))</f>
        <v>0</v>
      </c>
      <c r="U147">
        <f>IF($N147=0,0,IF(AND($F147&lt;=EOMONTH(DATE(PlanYear,7,1),0),IF(ISNUMBER($G147),$G147,$F147)&gt;=DATE(PlanYear,7,1)),1,0))</f>
        <v>0</v>
      </c>
      <c r="V147">
        <f>IF($N147=0,0,IF(AND($F147&lt;=EOMONTH(DATE(PlanYear,8,1),0),IF(ISNUMBER($G147),$G147,$F147)&gt;=DATE(PlanYear,8,1)),1,0))</f>
        <v>0</v>
      </c>
      <c r="W147">
        <f>IF($N147=0,0,IF(AND($F147&lt;=EOMONTH(DATE(PlanYear,9,1),0),IF(ISNUMBER($G147),$G147,$F147)&gt;=DATE(PlanYear,9,1)),1,0))</f>
        <v>0</v>
      </c>
      <c r="X147">
        <f>IF($N147=0,0,IF(AND($F147&lt;=EOMONTH(DATE(PlanYear,10,1),0),IF(ISNUMBER($G147),$G147,$F147)&gt;=DATE(PlanYear,10,1)),1,0))</f>
        <v>0</v>
      </c>
      <c r="Y147">
        <f>IF($N147=0,0,IF(AND($F147&lt;=EOMONTH(DATE(PlanYear,11,1),0),IF(ISNUMBER($G147),$G147,$F147)&gt;=DATE(PlanYear,11,1)),1,0))</f>
        <v>0</v>
      </c>
      <c r="Z147">
        <f>IF($N147=0,0,IF(AND($F147&lt;=EOMONTH(DATE(PlanYear,12,1),0),IF(ISNUMBER($G147),$G147,$F147)&gt;=DATE(PlanYear,12,1)),1,0))</f>
        <v>0</v>
      </c>
      <c r="AA147">
        <f>SUM($O147:$Z147)</f>
        <v>0</v>
      </c>
    </row>
    <row r="148" spans="1:27">
      <c r="A148" s="42">
        <f>IF($B148="","","ACT-"&amp;TEXT(ROW()-4,"000"))</f>
        <v>0</v>
      </c>
      <c r="M148" s="43">
        <f>IF(COUNTA($B148:$K148)=0,"",IF($B148="","Missing activity name",IF($C148="","Missing practice",IF(COUNTIF(PracticeNames,$C148)=0,"Practice not in Lists",IF($D148="","Missing motion",IF(NOT(ISNUMBER($F148)),"Missing or invalid start date",IF(AND(ISNUMBER($G148),$G148&lt;$F148),"End date before start",IF(AND($N148=1,$AA148=0),"Outside planning year","OK"))))))))</f>
        <v>0</v>
      </c>
      <c r="N148">
        <f>IF(AND($B148&lt;&gt;"",$C148&lt;&gt;"",$D148&lt;&gt;"",ISNUMBER($F148),COUNTIF(PracticeNames,$C148)&gt;0,COUNTIF(MotionNames,$D148)&gt;0,NOT(AND(ISNUMBER($G148),$G148&lt;$F148))),IF(StatusFilter="All (excl. Cancelled)",IF($H148="Cancelled",0,1),IF(StatusFilter="All",1,IF($H148=StatusFilter,1,0))),0)</f>
        <v>0</v>
      </c>
      <c r="O148">
        <f>IF($N148=0,0,IF(AND($F148&lt;=EOMONTH(DATE(PlanYear,1,1),0),IF(ISNUMBER($G148),$G148,$F148)&gt;=DATE(PlanYear,1,1)),1,0))</f>
        <v>0</v>
      </c>
      <c r="P148">
        <f>IF($N148=0,0,IF(AND($F148&lt;=EOMONTH(DATE(PlanYear,2,1),0),IF(ISNUMBER($G148),$G148,$F148)&gt;=DATE(PlanYear,2,1)),1,0))</f>
        <v>0</v>
      </c>
      <c r="Q148">
        <f>IF($N148=0,0,IF(AND($F148&lt;=EOMONTH(DATE(PlanYear,3,1),0),IF(ISNUMBER($G148),$G148,$F148)&gt;=DATE(PlanYear,3,1)),1,0))</f>
        <v>0</v>
      </c>
      <c r="R148">
        <f>IF($N148=0,0,IF(AND($F148&lt;=EOMONTH(DATE(PlanYear,4,1),0),IF(ISNUMBER($G148),$G148,$F148)&gt;=DATE(PlanYear,4,1)),1,0))</f>
        <v>0</v>
      </c>
      <c r="S148">
        <f>IF($N148=0,0,IF(AND($F148&lt;=EOMONTH(DATE(PlanYear,5,1),0),IF(ISNUMBER($G148),$G148,$F148)&gt;=DATE(PlanYear,5,1)),1,0))</f>
        <v>0</v>
      </c>
      <c r="T148">
        <f>IF($N148=0,0,IF(AND($F148&lt;=EOMONTH(DATE(PlanYear,6,1),0),IF(ISNUMBER($G148),$G148,$F148)&gt;=DATE(PlanYear,6,1)),1,0))</f>
        <v>0</v>
      </c>
      <c r="U148">
        <f>IF($N148=0,0,IF(AND($F148&lt;=EOMONTH(DATE(PlanYear,7,1),0),IF(ISNUMBER($G148),$G148,$F148)&gt;=DATE(PlanYear,7,1)),1,0))</f>
        <v>0</v>
      </c>
      <c r="V148">
        <f>IF($N148=0,0,IF(AND($F148&lt;=EOMONTH(DATE(PlanYear,8,1),0),IF(ISNUMBER($G148),$G148,$F148)&gt;=DATE(PlanYear,8,1)),1,0))</f>
        <v>0</v>
      </c>
      <c r="W148">
        <f>IF($N148=0,0,IF(AND($F148&lt;=EOMONTH(DATE(PlanYear,9,1),0),IF(ISNUMBER($G148),$G148,$F148)&gt;=DATE(PlanYear,9,1)),1,0))</f>
        <v>0</v>
      </c>
      <c r="X148">
        <f>IF($N148=0,0,IF(AND($F148&lt;=EOMONTH(DATE(PlanYear,10,1),0),IF(ISNUMBER($G148),$G148,$F148)&gt;=DATE(PlanYear,10,1)),1,0))</f>
        <v>0</v>
      </c>
      <c r="Y148">
        <f>IF($N148=0,0,IF(AND($F148&lt;=EOMONTH(DATE(PlanYear,11,1),0),IF(ISNUMBER($G148),$G148,$F148)&gt;=DATE(PlanYear,11,1)),1,0))</f>
        <v>0</v>
      </c>
      <c r="Z148">
        <f>IF($N148=0,0,IF(AND($F148&lt;=EOMONTH(DATE(PlanYear,12,1),0),IF(ISNUMBER($G148),$G148,$F148)&gt;=DATE(PlanYear,12,1)),1,0))</f>
        <v>0</v>
      </c>
      <c r="AA148">
        <f>SUM($O148:$Z148)</f>
        <v>0</v>
      </c>
    </row>
    <row r="149" spans="1:27">
      <c r="A149" s="42">
        <f>IF($B149="","","ACT-"&amp;TEXT(ROW()-4,"000"))</f>
        <v>0</v>
      </c>
      <c r="M149" s="43">
        <f>IF(COUNTA($B149:$K149)=0,"",IF($B149="","Missing activity name",IF($C149="","Missing practice",IF(COUNTIF(PracticeNames,$C149)=0,"Practice not in Lists",IF($D149="","Missing motion",IF(NOT(ISNUMBER($F149)),"Missing or invalid start date",IF(AND(ISNUMBER($G149),$G149&lt;$F149),"End date before start",IF(AND($N149=1,$AA149=0),"Outside planning year","OK"))))))))</f>
        <v>0</v>
      </c>
      <c r="N149">
        <f>IF(AND($B149&lt;&gt;"",$C149&lt;&gt;"",$D149&lt;&gt;"",ISNUMBER($F149),COUNTIF(PracticeNames,$C149)&gt;0,COUNTIF(MotionNames,$D149)&gt;0,NOT(AND(ISNUMBER($G149),$G149&lt;$F149))),IF(StatusFilter="All (excl. Cancelled)",IF($H149="Cancelled",0,1),IF(StatusFilter="All",1,IF($H149=StatusFilter,1,0))),0)</f>
        <v>0</v>
      </c>
      <c r="O149">
        <f>IF($N149=0,0,IF(AND($F149&lt;=EOMONTH(DATE(PlanYear,1,1),0),IF(ISNUMBER($G149),$G149,$F149)&gt;=DATE(PlanYear,1,1)),1,0))</f>
        <v>0</v>
      </c>
      <c r="P149">
        <f>IF($N149=0,0,IF(AND($F149&lt;=EOMONTH(DATE(PlanYear,2,1),0),IF(ISNUMBER($G149),$G149,$F149)&gt;=DATE(PlanYear,2,1)),1,0))</f>
        <v>0</v>
      </c>
      <c r="Q149">
        <f>IF($N149=0,0,IF(AND($F149&lt;=EOMONTH(DATE(PlanYear,3,1),0),IF(ISNUMBER($G149),$G149,$F149)&gt;=DATE(PlanYear,3,1)),1,0))</f>
        <v>0</v>
      </c>
      <c r="R149">
        <f>IF($N149=0,0,IF(AND($F149&lt;=EOMONTH(DATE(PlanYear,4,1),0),IF(ISNUMBER($G149),$G149,$F149)&gt;=DATE(PlanYear,4,1)),1,0))</f>
        <v>0</v>
      </c>
      <c r="S149">
        <f>IF($N149=0,0,IF(AND($F149&lt;=EOMONTH(DATE(PlanYear,5,1),0),IF(ISNUMBER($G149),$G149,$F149)&gt;=DATE(PlanYear,5,1)),1,0))</f>
        <v>0</v>
      </c>
      <c r="T149">
        <f>IF($N149=0,0,IF(AND($F149&lt;=EOMONTH(DATE(PlanYear,6,1),0),IF(ISNUMBER($G149),$G149,$F149)&gt;=DATE(PlanYear,6,1)),1,0))</f>
        <v>0</v>
      </c>
      <c r="U149">
        <f>IF($N149=0,0,IF(AND($F149&lt;=EOMONTH(DATE(PlanYear,7,1),0),IF(ISNUMBER($G149),$G149,$F149)&gt;=DATE(PlanYear,7,1)),1,0))</f>
        <v>0</v>
      </c>
      <c r="V149">
        <f>IF($N149=0,0,IF(AND($F149&lt;=EOMONTH(DATE(PlanYear,8,1),0),IF(ISNUMBER($G149),$G149,$F149)&gt;=DATE(PlanYear,8,1)),1,0))</f>
        <v>0</v>
      </c>
      <c r="W149">
        <f>IF($N149=0,0,IF(AND($F149&lt;=EOMONTH(DATE(PlanYear,9,1),0),IF(ISNUMBER($G149),$G149,$F149)&gt;=DATE(PlanYear,9,1)),1,0))</f>
        <v>0</v>
      </c>
      <c r="X149">
        <f>IF($N149=0,0,IF(AND($F149&lt;=EOMONTH(DATE(PlanYear,10,1),0),IF(ISNUMBER($G149),$G149,$F149)&gt;=DATE(PlanYear,10,1)),1,0))</f>
        <v>0</v>
      </c>
      <c r="Y149">
        <f>IF($N149=0,0,IF(AND($F149&lt;=EOMONTH(DATE(PlanYear,11,1),0),IF(ISNUMBER($G149),$G149,$F149)&gt;=DATE(PlanYear,11,1)),1,0))</f>
        <v>0</v>
      </c>
      <c r="Z149">
        <f>IF($N149=0,0,IF(AND($F149&lt;=EOMONTH(DATE(PlanYear,12,1),0),IF(ISNUMBER($G149),$G149,$F149)&gt;=DATE(PlanYear,12,1)),1,0))</f>
        <v>0</v>
      </c>
      <c r="AA149">
        <f>SUM($O149:$Z149)</f>
        <v>0</v>
      </c>
    </row>
    <row r="150" spans="1:27">
      <c r="A150" s="42">
        <f>IF($B150="","","ACT-"&amp;TEXT(ROW()-4,"000"))</f>
        <v>0</v>
      </c>
      <c r="M150" s="43">
        <f>IF(COUNTA($B150:$K150)=0,"",IF($B150="","Missing activity name",IF($C150="","Missing practice",IF(COUNTIF(PracticeNames,$C150)=0,"Practice not in Lists",IF($D150="","Missing motion",IF(NOT(ISNUMBER($F150)),"Missing or invalid start date",IF(AND(ISNUMBER($G150),$G150&lt;$F150),"End date before start",IF(AND($N150=1,$AA150=0),"Outside planning year","OK"))))))))</f>
        <v>0</v>
      </c>
      <c r="N150">
        <f>IF(AND($B150&lt;&gt;"",$C150&lt;&gt;"",$D150&lt;&gt;"",ISNUMBER($F150),COUNTIF(PracticeNames,$C150)&gt;0,COUNTIF(MotionNames,$D150)&gt;0,NOT(AND(ISNUMBER($G150),$G150&lt;$F150))),IF(StatusFilter="All (excl. Cancelled)",IF($H150="Cancelled",0,1),IF(StatusFilter="All",1,IF($H150=StatusFilter,1,0))),0)</f>
        <v>0</v>
      </c>
      <c r="O150">
        <f>IF($N150=0,0,IF(AND($F150&lt;=EOMONTH(DATE(PlanYear,1,1),0),IF(ISNUMBER($G150),$G150,$F150)&gt;=DATE(PlanYear,1,1)),1,0))</f>
        <v>0</v>
      </c>
      <c r="P150">
        <f>IF($N150=0,0,IF(AND($F150&lt;=EOMONTH(DATE(PlanYear,2,1),0),IF(ISNUMBER($G150),$G150,$F150)&gt;=DATE(PlanYear,2,1)),1,0))</f>
        <v>0</v>
      </c>
      <c r="Q150">
        <f>IF($N150=0,0,IF(AND($F150&lt;=EOMONTH(DATE(PlanYear,3,1),0),IF(ISNUMBER($G150),$G150,$F150)&gt;=DATE(PlanYear,3,1)),1,0))</f>
        <v>0</v>
      </c>
      <c r="R150">
        <f>IF($N150=0,0,IF(AND($F150&lt;=EOMONTH(DATE(PlanYear,4,1),0),IF(ISNUMBER($G150),$G150,$F150)&gt;=DATE(PlanYear,4,1)),1,0))</f>
        <v>0</v>
      </c>
      <c r="S150">
        <f>IF($N150=0,0,IF(AND($F150&lt;=EOMONTH(DATE(PlanYear,5,1),0),IF(ISNUMBER($G150),$G150,$F150)&gt;=DATE(PlanYear,5,1)),1,0))</f>
        <v>0</v>
      </c>
      <c r="T150">
        <f>IF($N150=0,0,IF(AND($F150&lt;=EOMONTH(DATE(PlanYear,6,1),0),IF(ISNUMBER($G150),$G150,$F150)&gt;=DATE(PlanYear,6,1)),1,0))</f>
        <v>0</v>
      </c>
      <c r="U150">
        <f>IF($N150=0,0,IF(AND($F150&lt;=EOMONTH(DATE(PlanYear,7,1),0),IF(ISNUMBER($G150),$G150,$F150)&gt;=DATE(PlanYear,7,1)),1,0))</f>
        <v>0</v>
      </c>
      <c r="V150">
        <f>IF($N150=0,0,IF(AND($F150&lt;=EOMONTH(DATE(PlanYear,8,1),0),IF(ISNUMBER($G150),$G150,$F150)&gt;=DATE(PlanYear,8,1)),1,0))</f>
        <v>0</v>
      </c>
      <c r="W150">
        <f>IF($N150=0,0,IF(AND($F150&lt;=EOMONTH(DATE(PlanYear,9,1),0),IF(ISNUMBER($G150),$G150,$F150)&gt;=DATE(PlanYear,9,1)),1,0))</f>
        <v>0</v>
      </c>
      <c r="X150">
        <f>IF($N150=0,0,IF(AND($F150&lt;=EOMONTH(DATE(PlanYear,10,1),0),IF(ISNUMBER($G150),$G150,$F150)&gt;=DATE(PlanYear,10,1)),1,0))</f>
        <v>0</v>
      </c>
      <c r="Y150">
        <f>IF($N150=0,0,IF(AND($F150&lt;=EOMONTH(DATE(PlanYear,11,1),0),IF(ISNUMBER($G150),$G150,$F150)&gt;=DATE(PlanYear,11,1)),1,0))</f>
        <v>0</v>
      </c>
      <c r="Z150">
        <f>IF($N150=0,0,IF(AND($F150&lt;=EOMONTH(DATE(PlanYear,12,1),0),IF(ISNUMBER($G150),$G150,$F150)&gt;=DATE(PlanYear,12,1)),1,0))</f>
        <v>0</v>
      </c>
      <c r="AA150">
        <f>SUM($O150:$Z150)</f>
        <v>0</v>
      </c>
    </row>
    <row r="151" spans="1:27">
      <c r="A151" s="42">
        <f>IF($B151="","","ACT-"&amp;TEXT(ROW()-4,"000"))</f>
        <v>0</v>
      </c>
      <c r="M151" s="43">
        <f>IF(COUNTA($B151:$K151)=0,"",IF($B151="","Missing activity name",IF($C151="","Missing practice",IF(COUNTIF(PracticeNames,$C151)=0,"Practice not in Lists",IF($D151="","Missing motion",IF(NOT(ISNUMBER($F151)),"Missing or invalid start date",IF(AND(ISNUMBER($G151),$G151&lt;$F151),"End date before start",IF(AND($N151=1,$AA151=0),"Outside planning year","OK"))))))))</f>
        <v>0</v>
      </c>
      <c r="N151">
        <f>IF(AND($B151&lt;&gt;"",$C151&lt;&gt;"",$D151&lt;&gt;"",ISNUMBER($F151),COUNTIF(PracticeNames,$C151)&gt;0,COUNTIF(MotionNames,$D151)&gt;0,NOT(AND(ISNUMBER($G151),$G151&lt;$F151))),IF(StatusFilter="All (excl. Cancelled)",IF($H151="Cancelled",0,1),IF(StatusFilter="All",1,IF($H151=StatusFilter,1,0))),0)</f>
        <v>0</v>
      </c>
      <c r="O151">
        <f>IF($N151=0,0,IF(AND($F151&lt;=EOMONTH(DATE(PlanYear,1,1),0),IF(ISNUMBER($G151),$G151,$F151)&gt;=DATE(PlanYear,1,1)),1,0))</f>
        <v>0</v>
      </c>
      <c r="P151">
        <f>IF($N151=0,0,IF(AND($F151&lt;=EOMONTH(DATE(PlanYear,2,1),0),IF(ISNUMBER($G151),$G151,$F151)&gt;=DATE(PlanYear,2,1)),1,0))</f>
        <v>0</v>
      </c>
      <c r="Q151">
        <f>IF($N151=0,0,IF(AND($F151&lt;=EOMONTH(DATE(PlanYear,3,1),0),IF(ISNUMBER($G151),$G151,$F151)&gt;=DATE(PlanYear,3,1)),1,0))</f>
        <v>0</v>
      </c>
      <c r="R151">
        <f>IF($N151=0,0,IF(AND($F151&lt;=EOMONTH(DATE(PlanYear,4,1),0),IF(ISNUMBER($G151),$G151,$F151)&gt;=DATE(PlanYear,4,1)),1,0))</f>
        <v>0</v>
      </c>
      <c r="S151">
        <f>IF($N151=0,0,IF(AND($F151&lt;=EOMONTH(DATE(PlanYear,5,1),0),IF(ISNUMBER($G151),$G151,$F151)&gt;=DATE(PlanYear,5,1)),1,0))</f>
        <v>0</v>
      </c>
      <c r="T151">
        <f>IF($N151=0,0,IF(AND($F151&lt;=EOMONTH(DATE(PlanYear,6,1),0),IF(ISNUMBER($G151),$G151,$F151)&gt;=DATE(PlanYear,6,1)),1,0))</f>
        <v>0</v>
      </c>
      <c r="U151">
        <f>IF($N151=0,0,IF(AND($F151&lt;=EOMONTH(DATE(PlanYear,7,1),0),IF(ISNUMBER($G151),$G151,$F151)&gt;=DATE(PlanYear,7,1)),1,0))</f>
        <v>0</v>
      </c>
      <c r="V151">
        <f>IF($N151=0,0,IF(AND($F151&lt;=EOMONTH(DATE(PlanYear,8,1),0),IF(ISNUMBER($G151),$G151,$F151)&gt;=DATE(PlanYear,8,1)),1,0))</f>
        <v>0</v>
      </c>
      <c r="W151">
        <f>IF($N151=0,0,IF(AND($F151&lt;=EOMONTH(DATE(PlanYear,9,1),0),IF(ISNUMBER($G151),$G151,$F151)&gt;=DATE(PlanYear,9,1)),1,0))</f>
        <v>0</v>
      </c>
      <c r="X151">
        <f>IF($N151=0,0,IF(AND($F151&lt;=EOMONTH(DATE(PlanYear,10,1),0),IF(ISNUMBER($G151),$G151,$F151)&gt;=DATE(PlanYear,10,1)),1,0))</f>
        <v>0</v>
      </c>
      <c r="Y151">
        <f>IF($N151=0,0,IF(AND($F151&lt;=EOMONTH(DATE(PlanYear,11,1),0),IF(ISNUMBER($G151),$G151,$F151)&gt;=DATE(PlanYear,11,1)),1,0))</f>
        <v>0</v>
      </c>
      <c r="Z151">
        <f>IF($N151=0,0,IF(AND($F151&lt;=EOMONTH(DATE(PlanYear,12,1),0),IF(ISNUMBER($G151),$G151,$F151)&gt;=DATE(PlanYear,12,1)),1,0))</f>
        <v>0</v>
      </c>
      <c r="AA151">
        <f>SUM($O151:$Z151)</f>
        <v>0</v>
      </c>
    </row>
    <row r="152" spans="1:27">
      <c r="A152" s="42">
        <f>IF($B152="","","ACT-"&amp;TEXT(ROW()-4,"000"))</f>
        <v>0</v>
      </c>
      <c r="M152" s="43">
        <f>IF(COUNTA($B152:$K152)=0,"",IF($B152="","Missing activity name",IF($C152="","Missing practice",IF(COUNTIF(PracticeNames,$C152)=0,"Practice not in Lists",IF($D152="","Missing motion",IF(NOT(ISNUMBER($F152)),"Missing or invalid start date",IF(AND(ISNUMBER($G152),$G152&lt;$F152),"End date before start",IF(AND($N152=1,$AA152=0),"Outside planning year","OK"))))))))</f>
        <v>0</v>
      </c>
      <c r="N152">
        <f>IF(AND($B152&lt;&gt;"",$C152&lt;&gt;"",$D152&lt;&gt;"",ISNUMBER($F152),COUNTIF(PracticeNames,$C152)&gt;0,COUNTIF(MotionNames,$D152)&gt;0,NOT(AND(ISNUMBER($G152),$G152&lt;$F152))),IF(StatusFilter="All (excl. Cancelled)",IF($H152="Cancelled",0,1),IF(StatusFilter="All",1,IF($H152=StatusFilter,1,0))),0)</f>
        <v>0</v>
      </c>
      <c r="O152">
        <f>IF($N152=0,0,IF(AND($F152&lt;=EOMONTH(DATE(PlanYear,1,1),0),IF(ISNUMBER($G152),$G152,$F152)&gt;=DATE(PlanYear,1,1)),1,0))</f>
        <v>0</v>
      </c>
      <c r="P152">
        <f>IF($N152=0,0,IF(AND($F152&lt;=EOMONTH(DATE(PlanYear,2,1),0),IF(ISNUMBER($G152),$G152,$F152)&gt;=DATE(PlanYear,2,1)),1,0))</f>
        <v>0</v>
      </c>
      <c r="Q152">
        <f>IF($N152=0,0,IF(AND($F152&lt;=EOMONTH(DATE(PlanYear,3,1),0),IF(ISNUMBER($G152),$G152,$F152)&gt;=DATE(PlanYear,3,1)),1,0))</f>
        <v>0</v>
      </c>
      <c r="R152">
        <f>IF($N152=0,0,IF(AND($F152&lt;=EOMONTH(DATE(PlanYear,4,1),0),IF(ISNUMBER($G152),$G152,$F152)&gt;=DATE(PlanYear,4,1)),1,0))</f>
        <v>0</v>
      </c>
      <c r="S152">
        <f>IF($N152=0,0,IF(AND($F152&lt;=EOMONTH(DATE(PlanYear,5,1),0),IF(ISNUMBER($G152),$G152,$F152)&gt;=DATE(PlanYear,5,1)),1,0))</f>
        <v>0</v>
      </c>
      <c r="T152">
        <f>IF($N152=0,0,IF(AND($F152&lt;=EOMONTH(DATE(PlanYear,6,1),0),IF(ISNUMBER($G152),$G152,$F152)&gt;=DATE(PlanYear,6,1)),1,0))</f>
        <v>0</v>
      </c>
      <c r="U152">
        <f>IF($N152=0,0,IF(AND($F152&lt;=EOMONTH(DATE(PlanYear,7,1),0),IF(ISNUMBER($G152),$G152,$F152)&gt;=DATE(PlanYear,7,1)),1,0))</f>
        <v>0</v>
      </c>
      <c r="V152">
        <f>IF($N152=0,0,IF(AND($F152&lt;=EOMONTH(DATE(PlanYear,8,1),0),IF(ISNUMBER($G152),$G152,$F152)&gt;=DATE(PlanYear,8,1)),1,0))</f>
        <v>0</v>
      </c>
      <c r="W152">
        <f>IF($N152=0,0,IF(AND($F152&lt;=EOMONTH(DATE(PlanYear,9,1),0),IF(ISNUMBER($G152),$G152,$F152)&gt;=DATE(PlanYear,9,1)),1,0))</f>
        <v>0</v>
      </c>
      <c r="X152">
        <f>IF($N152=0,0,IF(AND($F152&lt;=EOMONTH(DATE(PlanYear,10,1),0),IF(ISNUMBER($G152),$G152,$F152)&gt;=DATE(PlanYear,10,1)),1,0))</f>
        <v>0</v>
      </c>
      <c r="Y152">
        <f>IF($N152=0,0,IF(AND($F152&lt;=EOMONTH(DATE(PlanYear,11,1),0),IF(ISNUMBER($G152),$G152,$F152)&gt;=DATE(PlanYear,11,1)),1,0))</f>
        <v>0</v>
      </c>
      <c r="Z152">
        <f>IF($N152=0,0,IF(AND($F152&lt;=EOMONTH(DATE(PlanYear,12,1),0),IF(ISNUMBER($G152),$G152,$F152)&gt;=DATE(PlanYear,12,1)),1,0))</f>
        <v>0</v>
      </c>
      <c r="AA152">
        <f>SUM($O152:$Z152)</f>
        <v>0</v>
      </c>
    </row>
    <row r="153" spans="1:27">
      <c r="A153" s="42">
        <f>IF($B153="","","ACT-"&amp;TEXT(ROW()-4,"000"))</f>
        <v>0</v>
      </c>
      <c r="M153" s="43">
        <f>IF(COUNTA($B153:$K153)=0,"",IF($B153="","Missing activity name",IF($C153="","Missing practice",IF(COUNTIF(PracticeNames,$C153)=0,"Practice not in Lists",IF($D153="","Missing motion",IF(NOT(ISNUMBER($F153)),"Missing or invalid start date",IF(AND(ISNUMBER($G153),$G153&lt;$F153),"End date before start",IF(AND($N153=1,$AA153=0),"Outside planning year","OK"))))))))</f>
        <v>0</v>
      </c>
      <c r="N153">
        <f>IF(AND($B153&lt;&gt;"",$C153&lt;&gt;"",$D153&lt;&gt;"",ISNUMBER($F153),COUNTIF(PracticeNames,$C153)&gt;0,COUNTIF(MotionNames,$D153)&gt;0,NOT(AND(ISNUMBER($G153),$G153&lt;$F153))),IF(StatusFilter="All (excl. Cancelled)",IF($H153="Cancelled",0,1),IF(StatusFilter="All",1,IF($H153=StatusFilter,1,0))),0)</f>
        <v>0</v>
      </c>
      <c r="O153">
        <f>IF($N153=0,0,IF(AND($F153&lt;=EOMONTH(DATE(PlanYear,1,1),0),IF(ISNUMBER($G153),$G153,$F153)&gt;=DATE(PlanYear,1,1)),1,0))</f>
        <v>0</v>
      </c>
      <c r="P153">
        <f>IF($N153=0,0,IF(AND($F153&lt;=EOMONTH(DATE(PlanYear,2,1),0),IF(ISNUMBER($G153),$G153,$F153)&gt;=DATE(PlanYear,2,1)),1,0))</f>
        <v>0</v>
      </c>
      <c r="Q153">
        <f>IF($N153=0,0,IF(AND($F153&lt;=EOMONTH(DATE(PlanYear,3,1),0),IF(ISNUMBER($G153),$G153,$F153)&gt;=DATE(PlanYear,3,1)),1,0))</f>
        <v>0</v>
      </c>
      <c r="R153">
        <f>IF($N153=0,0,IF(AND($F153&lt;=EOMONTH(DATE(PlanYear,4,1),0),IF(ISNUMBER($G153),$G153,$F153)&gt;=DATE(PlanYear,4,1)),1,0))</f>
        <v>0</v>
      </c>
      <c r="S153">
        <f>IF($N153=0,0,IF(AND($F153&lt;=EOMONTH(DATE(PlanYear,5,1),0),IF(ISNUMBER($G153),$G153,$F153)&gt;=DATE(PlanYear,5,1)),1,0))</f>
        <v>0</v>
      </c>
      <c r="T153">
        <f>IF($N153=0,0,IF(AND($F153&lt;=EOMONTH(DATE(PlanYear,6,1),0),IF(ISNUMBER($G153),$G153,$F153)&gt;=DATE(PlanYear,6,1)),1,0))</f>
        <v>0</v>
      </c>
      <c r="U153">
        <f>IF($N153=0,0,IF(AND($F153&lt;=EOMONTH(DATE(PlanYear,7,1),0),IF(ISNUMBER($G153),$G153,$F153)&gt;=DATE(PlanYear,7,1)),1,0))</f>
        <v>0</v>
      </c>
      <c r="V153">
        <f>IF($N153=0,0,IF(AND($F153&lt;=EOMONTH(DATE(PlanYear,8,1),0),IF(ISNUMBER($G153),$G153,$F153)&gt;=DATE(PlanYear,8,1)),1,0))</f>
        <v>0</v>
      </c>
      <c r="W153">
        <f>IF($N153=0,0,IF(AND($F153&lt;=EOMONTH(DATE(PlanYear,9,1),0),IF(ISNUMBER($G153),$G153,$F153)&gt;=DATE(PlanYear,9,1)),1,0))</f>
        <v>0</v>
      </c>
      <c r="X153">
        <f>IF($N153=0,0,IF(AND($F153&lt;=EOMONTH(DATE(PlanYear,10,1),0),IF(ISNUMBER($G153),$G153,$F153)&gt;=DATE(PlanYear,10,1)),1,0))</f>
        <v>0</v>
      </c>
      <c r="Y153">
        <f>IF($N153=0,0,IF(AND($F153&lt;=EOMONTH(DATE(PlanYear,11,1),0),IF(ISNUMBER($G153),$G153,$F153)&gt;=DATE(PlanYear,11,1)),1,0))</f>
        <v>0</v>
      </c>
      <c r="Z153">
        <f>IF($N153=0,0,IF(AND($F153&lt;=EOMONTH(DATE(PlanYear,12,1),0),IF(ISNUMBER($G153),$G153,$F153)&gt;=DATE(PlanYear,12,1)),1,0))</f>
        <v>0</v>
      </c>
      <c r="AA153">
        <f>SUM($O153:$Z153)</f>
        <v>0</v>
      </c>
    </row>
    <row r="154" spans="1:27">
      <c r="A154" s="42">
        <f>IF($B154="","","ACT-"&amp;TEXT(ROW()-4,"000"))</f>
        <v>0</v>
      </c>
      <c r="M154" s="43">
        <f>IF(COUNTA($B154:$K154)=0,"",IF($B154="","Missing activity name",IF($C154="","Missing practice",IF(COUNTIF(PracticeNames,$C154)=0,"Practice not in Lists",IF($D154="","Missing motion",IF(NOT(ISNUMBER($F154)),"Missing or invalid start date",IF(AND(ISNUMBER($G154),$G154&lt;$F154),"End date before start",IF(AND($N154=1,$AA154=0),"Outside planning year","OK"))))))))</f>
        <v>0</v>
      </c>
      <c r="N154">
        <f>IF(AND($B154&lt;&gt;"",$C154&lt;&gt;"",$D154&lt;&gt;"",ISNUMBER($F154),COUNTIF(PracticeNames,$C154)&gt;0,COUNTIF(MotionNames,$D154)&gt;0,NOT(AND(ISNUMBER($G154),$G154&lt;$F154))),IF(StatusFilter="All (excl. Cancelled)",IF($H154="Cancelled",0,1),IF(StatusFilter="All",1,IF($H154=StatusFilter,1,0))),0)</f>
        <v>0</v>
      </c>
      <c r="O154">
        <f>IF($N154=0,0,IF(AND($F154&lt;=EOMONTH(DATE(PlanYear,1,1),0),IF(ISNUMBER($G154),$G154,$F154)&gt;=DATE(PlanYear,1,1)),1,0))</f>
        <v>0</v>
      </c>
      <c r="P154">
        <f>IF($N154=0,0,IF(AND($F154&lt;=EOMONTH(DATE(PlanYear,2,1),0),IF(ISNUMBER($G154),$G154,$F154)&gt;=DATE(PlanYear,2,1)),1,0))</f>
        <v>0</v>
      </c>
      <c r="Q154">
        <f>IF($N154=0,0,IF(AND($F154&lt;=EOMONTH(DATE(PlanYear,3,1),0),IF(ISNUMBER($G154),$G154,$F154)&gt;=DATE(PlanYear,3,1)),1,0))</f>
        <v>0</v>
      </c>
      <c r="R154">
        <f>IF($N154=0,0,IF(AND($F154&lt;=EOMONTH(DATE(PlanYear,4,1),0),IF(ISNUMBER($G154),$G154,$F154)&gt;=DATE(PlanYear,4,1)),1,0))</f>
        <v>0</v>
      </c>
      <c r="S154">
        <f>IF($N154=0,0,IF(AND($F154&lt;=EOMONTH(DATE(PlanYear,5,1),0),IF(ISNUMBER($G154),$G154,$F154)&gt;=DATE(PlanYear,5,1)),1,0))</f>
        <v>0</v>
      </c>
      <c r="T154">
        <f>IF($N154=0,0,IF(AND($F154&lt;=EOMONTH(DATE(PlanYear,6,1),0),IF(ISNUMBER($G154),$G154,$F154)&gt;=DATE(PlanYear,6,1)),1,0))</f>
        <v>0</v>
      </c>
      <c r="U154">
        <f>IF($N154=0,0,IF(AND($F154&lt;=EOMONTH(DATE(PlanYear,7,1),0),IF(ISNUMBER($G154),$G154,$F154)&gt;=DATE(PlanYear,7,1)),1,0))</f>
        <v>0</v>
      </c>
      <c r="V154">
        <f>IF($N154=0,0,IF(AND($F154&lt;=EOMONTH(DATE(PlanYear,8,1),0),IF(ISNUMBER($G154),$G154,$F154)&gt;=DATE(PlanYear,8,1)),1,0))</f>
        <v>0</v>
      </c>
      <c r="W154">
        <f>IF($N154=0,0,IF(AND($F154&lt;=EOMONTH(DATE(PlanYear,9,1),0),IF(ISNUMBER($G154),$G154,$F154)&gt;=DATE(PlanYear,9,1)),1,0))</f>
        <v>0</v>
      </c>
      <c r="X154">
        <f>IF($N154=0,0,IF(AND($F154&lt;=EOMONTH(DATE(PlanYear,10,1),0),IF(ISNUMBER($G154),$G154,$F154)&gt;=DATE(PlanYear,10,1)),1,0))</f>
        <v>0</v>
      </c>
      <c r="Y154">
        <f>IF($N154=0,0,IF(AND($F154&lt;=EOMONTH(DATE(PlanYear,11,1),0),IF(ISNUMBER($G154),$G154,$F154)&gt;=DATE(PlanYear,11,1)),1,0))</f>
        <v>0</v>
      </c>
      <c r="Z154">
        <f>IF($N154=0,0,IF(AND($F154&lt;=EOMONTH(DATE(PlanYear,12,1),0),IF(ISNUMBER($G154),$G154,$F154)&gt;=DATE(PlanYear,12,1)),1,0))</f>
        <v>0</v>
      </c>
      <c r="AA154">
        <f>SUM($O154:$Z154)</f>
        <v>0</v>
      </c>
    </row>
    <row r="155" spans="1:27">
      <c r="A155" s="42">
        <f>IF($B155="","","ACT-"&amp;TEXT(ROW()-4,"000"))</f>
        <v>0</v>
      </c>
      <c r="M155" s="43">
        <f>IF(COUNTA($B155:$K155)=0,"",IF($B155="","Missing activity name",IF($C155="","Missing practice",IF(COUNTIF(PracticeNames,$C155)=0,"Practice not in Lists",IF($D155="","Missing motion",IF(NOT(ISNUMBER($F155)),"Missing or invalid start date",IF(AND(ISNUMBER($G155),$G155&lt;$F155),"End date before start",IF(AND($N155=1,$AA155=0),"Outside planning year","OK"))))))))</f>
        <v>0</v>
      </c>
      <c r="N155">
        <f>IF(AND($B155&lt;&gt;"",$C155&lt;&gt;"",$D155&lt;&gt;"",ISNUMBER($F155),COUNTIF(PracticeNames,$C155)&gt;0,COUNTIF(MotionNames,$D155)&gt;0,NOT(AND(ISNUMBER($G155),$G155&lt;$F155))),IF(StatusFilter="All (excl. Cancelled)",IF($H155="Cancelled",0,1),IF(StatusFilter="All",1,IF($H155=StatusFilter,1,0))),0)</f>
        <v>0</v>
      </c>
      <c r="O155">
        <f>IF($N155=0,0,IF(AND($F155&lt;=EOMONTH(DATE(PlanYear,1,1),0),IF(ISNUMBER($G155),$G155,$F155)&gt;=DATE(PlanYear,1,1)),1,0))</f>
        <v>0</v>
      </c>
      <c r="P155">
        <f>IF($N155=0,0,IF(AND($F155&lt;=EOMONTH(DATE(PlanYear,2,1),0),IF(ISNUMBER($G155),$G155,$F155)&gt;=DATE(PlanYear,2,1)),1,0))</f>
        <v>0</v>
      </c>
      <c r="Q155">
        <f>IF($N155=0,0,IF(AND($F155&lt;=EOMONTH(DATE(PlanYear,3,1),0),IF(ISNUMBER($G155),$G155,$F155)&gt;=DATE(PlanYear,3,1)),1,0))</f>
        <v>0</v>
      </c>
      <c r="R155">
        <f>IF($N155=0,0,IF(AND($F155&lt;=EOMONTH(DATE(PlanYear,4,1),0),IF(ISNUMBER($G155),$G155,$F155)&gt;=DATE(PlanYear,4,1)),1,0))</f>
        <v>0</v>
      </c>
      <c r="S155">
        <f>IF($N155=0,0,IF(AND($F155&lt;=EOMONTH(DATE(PlanYear,5,1),0),IF(ISNUMBER($G155),$G155,$F155)&gt;=DATE(PlanYear,5,1)),1,0))</f>
        <v>0</v>
      </c>
      <c r="T155">
        <f>IF($N155=0,0,IF(AND($F155&lt;=EOMONTH(DATE(PlanYear,6,1),0),IF(ISNUMBER($G155),$G155,$F155)&gt;=DATE(PlanYear,6,1)),1,0))</f>
        <v>0</v>
      </c>
      <c r="U155">
        <f>IF($N155=0,0,IF(AND($F155&lt;=EOMONTH(DATE(PlanYear,7,1),0),IF(ISNUMBER($G155),$G155,$F155)&gt;=DATE(PlanYear,7,1)),1,0))</f>
        <v>0</v>
      </c>
      <c r="V155">
        <f>IF($N155=0,0,IF(AND($F155&lt;=EOMONTH(DATE(PlanYear,8,1),0),IF(ISNUMBER($G155),$G155,$F155)&gt;=DATE(PlanYear,8,1)),1,0))</f>
        <v>0</v>
      </c>
      <c r="W155">
        <f>IF($N155=0,0,IF(AND($F155&lt;=EOMONTH(DATE(PlanYear,9,1),0),IF(ISNUMBER($G155),$G155,$F155)&gt;=DATE(PlanYear,9,1)),1,0))</f>
        <v>0</v>
      </c>
      <c r="X155">
        <f>IF($N155=0,0,IF(AND($F155&lt;=EOMONTH(DATE(PlanYear,10,1),0),IF(ISNUMBER($G155),$G155,$F155)&gt;=DATE(PlanYear,10,1)),1,0))</f>
        <v>0</v>
      </c>
      <c r="Y155">
        <f>IF($N155=0,0,IF(AND($F155&lt;=EOMONTH(DATE(PlanYear,11,1),0),IF(ISNUMBER($G155),$G155,$F155)&gt;=DATE(PlanYear,11,1)),1,0))</f>
        <v>0</v>
      </c>
      <c r="Z155">
        <f>IF($N155=0,0,IF(AND($F155&lt;=EOMONTH(DATE(PlanYear,12,1),0),IF(ISNUMBER($G155),$G155,$F155)&gt;=DATE(PlanYear,12,1)),1,0))</f>
        <v>0</v>
      </c>
      <c r="AA155">
        <f>SUM($O155:$Z155)</f>
        <v>0</v>
      </c>
    </row>
    <row r="156" spans="1:27">
      <c r="A156" s="42">
        <f>IF($B156="","","ACT-"&amp;TEXT(ROW()-4,"000"))</f>
        <v>0</v>
      </c>
      <c r="M156" s="43">
        <f>IF(COUNTA($B156:$K156)=0,"",IF($B156="","Missing activity name",IF($C156="","Missing practice",IF(COUNTIF(PracticeNames,$C156)=0,"Practice not in Lists",IF($D156="","Missing motion",IF(NOT(ISNUMBER($F156)),"Missing or invalid start date",IF(AND(ISNUMBER($G156),$G156&lt;$F156),"End date before start",IF(AND($N156=1,$AA156=0),"Outside planning year","OK"))))))))</f>
        <v>0</v>
      </c>
      <c r="N156">
        <f>IF(AND($B156&lt;&gt;"",$C156&lt;&gt;"",$D156&lt;&gt;"",ISNUMBER($F156),COUNTIF(PracticeNames,$C156)&gt;0,COUNTIF(MotionNames,$D156)&gt;0,NOT(AND(ISNUMBER($G156),$G156&lt;$F156))),IF(StatusFilter="All (excl. Cancelled)",IF($H156="Cancelled",0,1),IF(StatusFilter="All",1,IF($H156=StatusFilter,1,0))),0)</f>
        <v>0</v>
      </c>
      <c r="O156">
        <f>IF($N156=0,0,IF(AND($F156&lt;=EOMONTH(DATE(PlanYear,1,1),0),IF(ISNUMBER($G156),$G156,$F156)&gt;=DATE(PlanYear,1,1)),1,0))</f>
        <v>0</v>
      </c>
      <c r="P156">
        <f>IF($N156=0,0,IF(AND($F156&lt;=EOMONTH(DATE(PlanYear,2,1),0),IF(ISNUMBER($G156),$G156,$F156)&gt;=DATE(PlanYear,2,1)),1,0))</f>
        <v>0</v>
      </c>
      <c r="Q156">
        <f>IF($N156=0,0,IF(AND($F156&lt;=EOMONTH(DATE(PlanYear,3,1),0),IF(ISNUMBER($G156),$G156,$F156)&gt;=DATE(PlanYear,3,1)),1,0))</f>
        <v>0</v>
      </c>
      <c r="R156">
        <f>IF($N156=0,0,IF(AND($F156&lt;=EOMONTH(DATE(PlanYear,4,1),0),IF(ISNUMBER($G156),$G156,$F156)&gt;=DATE(PlanYear,4,1)),1,0))</f>
        <v>0</v>
      </c>
      <c r="S156">
        <f>IF($N156=0,0,IF(AND($F156&lt;=EOMONTH(DATE(PlanYear,5,1),0),IF(ISNUMBER($G156),$G156,$F156)&gt;=DATE(PlanYear,5,1)),1,0))</f>
        <v>0</v>
      </c>
      <c r="T156">
        <f>IF($N156=0,0,IF(AND($F156&lt;=EOMONTH(DATE(PlanYear,6,1),0),IF(ISNUMBER($G156),$G156,$F156)&gt;=DATE(PlanYear,6,1)),1,0))</f>
        <v>0</v>
      </c>
      <c r="U156">
        <f>IF($N156=0,0,IF(AND($F156&lt;=EOMONTH(DATE(PlanYear,7,1),0),IF(ISNUMBER($G156),$G156,$F156)&gt;=DATE(PlanYear,7,1)),1,0))</f>
        <v>0</v>
      </c>
      <c r="V156">
        <f>IF($N156=0,0,IF(AND($F156&lt;=EOMONTH(DATE(PlanYear,8,1),0),IF(ISNUMBER($G156),$G156,$F156)&gt;=DATE(PlanYear,8,1)),1,0))</f>
        <v>0</v>
      </c>
      <c r="W156">
        <f>IF($N156=0,0,IF(AND($F156&lt;=EOMONTH(DATE(PlanYear,9,1),0),IF(ISNUMBER($G156),$G156,$F156)&gt;=DATE(PlanYear,9,1)),1,0))</f>
        <v>0</v>
      </c>
      <c r="X156">
        <f>IF($N156=0,0,IF(AND($F156&lt;=EOMONTH(DATE(PlanYear,10,1),0),IF(ISNUMBER($G156),$G156,$F156)&gt;=DATE(PlanYear,10,1)),1,0))</f>
        <v>0</v>
      </c>
      <c r="Y156">
        <f>IF($N156=0,0,IF(AND($F156&lt;=EOMONTH(DATE(PlanYear,11,1),0),IF(ISNUMBER($G156),$G156,$F156)&gt;=DATE(PlanYear,11,1)),1,0))</f>
        <v>0</v>
      </c>
      <c r="Z156">
        <f>IF($N156=0,0,IF(AND($F156&lt;=EOMONTH(DATE(PlanYear,12,1),0),IF(ISNUMBER($G156),$G156,$F156)&gt;=DATE(PlanYear,12,1)),1,0))</f>
        <v>0</v>
      </c>
      <c r="AA156">
        <f>SUM($O156:$Z156)</f>
        <v>0</v>
      </c>
    </row>
    <row r="157" spans="1:27">
      <c r="A157" s="42">
        <f>IF($B157="","","ACT-"&amp;TEXT(ROW()-4,"000"))</f>
        <v>0</v>
      </c>
      <c r="M157" s="43">
        <f>IF(COUNTA($B157:$K157)=0,"",IF($B157="","Missing activity name",IF($C157="","Missing practice",IF(COUNTIF(PracticeNames,$C157)=0,"Practice not in Lists",IF($D157="","Missing motion",IF(NOT(ISNUMBER($F157)),"Missing or invalid start date",IF(AND(ISNUMBER($G157),$G157&lt;$F157),"End date before start",IF(AND($N157=1,$AA157=0),"Outside planning year","OK"))))))))</f>
        <v>0</v>
      </c>
      <c r="N157">
        <f>IF(AND($B157&lt;&gt;"",$C157&lt;&gt;"",$D157&lt;&gt;"",ISNUMBER($F157),COUNTIF(PracticeNames,$C157)&gt;0,COUNTIF(MotionNames,$D157)&gt;0,NOT(AND(ISNUMBER($G157),$G157&lt;$F157))),IF(StatusFilter="All (excl. Cancelled)",IF($H157="Cancelled",0,1),IF(StatusFilter="All",1,IF($H157=StatusFilter,1,0))),0)</f>
        <v>0</v>
      </c>
      <c r="O157">
        <f>IF($N157=0,0,IF(AND($F157&lt;=EOMONTH(DATE(PlanYear,1,1),0),IF(ISNUMBER($G157),$G157,$F157)&gt;=DATE(PlanYear,1,1)),1,0))</f>
        <v>0</v>
      </c>
      <c r="P157">
        <f>IF($N157=0,0,IF(AND($F157&lt;=EOMONTH(DATE(PlanYear,2,1),0),IF(ISNUMBER($G157),$G157,$F157)&gt;=DATE(PlanYear,2,1)),1,0))</f>
        <v>0</v>
      </c>
      <c r="Q157">
        <f>IF($N157=0,0,IF(AND($F157&lt;=EOMONTH(DATE(PlanYear,3,1),0),IF(ISNUMBER($G157),$G157,$F157)&gt;=DATE(PlanYear,3,1)),1,0))</f>
        <v>0</v>
      </c>
      <c r="R157">
        <f>IF($N157=0,0,IF(AND($F157&lt;=EOMONTH(DATE(PlanYear,4,1),0),IF(ISNUMBER($G157),$G157,$F157)&gt;=DATE(PlanYear,4,1)),1,0))</f>
        <v>0</v>
      </c>
      <c r="S157">
        <f>IF($N157=0,0,IF(AND($F157&lt;=EOMONTH(DATE(PlanYear,5,1),0),IF(ISNUMBER($G157),$G157,$F157)&gt;=DATE(PlanYear,5,1)),1,0))</f>
        <v>0</v>
      </c>
      <c r="T157">
        <f>IF($N157=0,0,IF(AND($F157&lt;=EOMONTH(DATE(PlanYear,6,1),0),IF(ISNUMBER($G157),$G157,$F157)&gt;=DATE(PlanYear,6,1)),1,0))</f>
        <v>0</v>
      </c>
      <c r="U157">
        <f>IF($N157=0,0,IF(AND($F157&lt;=EOMONTH(DATE(PlanYear,7,1),0),IF(ISNUMBER($G157),$G157,$F157)&gt;=DATE(PlanYear,7,1)),1,0))</f>
        <v>0</v>
      </c>
      <c r="V157">
        <f>IF($N157=0,0,IF(AND($F157&lt;=EOMONTH(DATE(PlanYear,8,1),0),IF(ISNUMBER($G157),$G157,$F157)&gt;=DATE(PlanYear,8,1)),1,0))</f>
        <v>0</v>
      </c>
      <c r="W157">
        <f>IF($N157=0,0,IF(AND($F157&lt;=EOMONTH(DATE(PlanYear,9,1),0),IF(ISNUMBER($G157),$G157,$F157)&gt;=DATE(PlanYear,9,1)),1,0))</f>
        <v>0</v>
      </c>
      <c r="X157">
        <f>IF($N157=0,0,IF(AND($F157&lt;=EOMONTH(DATE(PlanYear,10,1),0),IF(ISNUMBER($G157),$G157,$F157)&gt;=DATE(PlanYear,10,1)),1,0))</f>
        <v>0</v>
      </c>
      <c r="Y157">
        <f>IF($N157=0,0,IF(AND($F157&lt;=EOMONTH(DATE(PlanYear,11,1),0),IF(ISNUMBER($G157),$G157,$F157)&gt;=DATE(PlanYear,11,1)),1,0))</f>
        <v>0</v>
      </c>
      <c r="Z157">
        <f>IF($N157=0,0,IF(AND($F157&lt;=EOMONTH(DATE(PlanYear,12,1),0),IF(ISNUMBER($G157),$G157,$F157)&gt;=DATE(PlanYear,12,1)),1,0))</f>
        <v>0</v>
      </c>
      <c r="AA157">
        <f>SUM($O157:$Z157)</f>
        <v>0</v>
      </c>
    </row>
    <row r="158" spans="1:27">
      <c r="A158" s="42">
        <f>IF($B158="","","ACT-"&amp;TEXT(ROW()-4,"000"))</f>
        <v>0</v>
      </c>
      <c r="M158" s="43">
        <f>IF(COUNTA($B158:$K158)=0,"",IF($B158="","Missing activity name",IF($C158="","Missing practice",IF(COUNTIF(PracticeNames,$C158)=0,"Practice not in Lists",IF($D158="","Missing motion",IF(NOT(ISNUMBER($F158)),"Missing or invalid start date",IF(AND(ISNUMBER($G158),$G158&lt;$F158),"End date before start",IF(AND($N158=1,$AA158=0),"Outside planning year","OK"))))))))</f>
        <v>0</v>
      </c>
      <c r="N158">
        <f>IF(AND($B158&lt;&gt;"",$C158&lt;&gt;"",$D158&lt;&gt;"",ISNUMBER($F158),COUNTIF(PracticeNames,$C158)&gt;0,COUNTIF(MotionNames,$D158)&gt;0,NOT(AND(ISNUMBER($G158),$G158&lt;$F158))),IF(StatusFilter="All (excl. Cancelled)",IF($H158="Cancelled",0,1),IF(StatusFilter="All",1,IF($H158=StatusFilter,1,0))),0)</f>
        <v>0</v>
      </c>
      <c r="O158">
        <f>IF($N158=0,0,IF(AND($F158&lt;=EOMONTH(DATE(PlanYear,1,1),0),IF(ISNUMBER($G158),$G158,$F158)&gt;=DATE(PlanYear,1,1)),1,0))</f>
        <v>0</v>
      </c>
      <c r="P158">
        <f>IF($N158=0,0,IF(AND($F158&lt;=EOMONTH(DATE(PlanYear,2,1),0),IF(ISNUMBER($G158),$G158,$F158)&gt;=DATE(PlanYear,2,1)),1,0))</f>
        <v>0</v>
      </c>
      <c r="Q158">
        <f>IF($N158=0,0,IF(AND($F158&lt;=EOMONTH(DATE(PlanYear,3,1),0),IF(ISNUMBER($G158),$G158,$F158)&gt;=DATE(PlanYear,3,1)),1,0))</f>
        <v>0</v>
      </c>
      <c r="R158">
        <f>IF($N158=0,0,IF(AND($F158&lt;=EOMONTH(DATE(PlanYear,4,1),0),IF(ISNUMBER($G158),$G158,$F158)&gt;=DATE(PlanYear,4,1)),1,0))</f>
        <v>0</v>
      </c>
      <c r="S158">
        <f>IF($N158=0,0,IF(AND($F158&lt;=EOMONTH(DATE(PlanYear,5,1),0),IF(ISNUMBER($G158),$G158,$F158)&gt;=DATE(PlanYear,5,1)),1,0))</f>
        <v>0</v>
      </c>
      <c r="T158">
        <f>IF($N158=0,0,IF(AND($F158&lt;=EOMONTH(DATE(PlanYear,6,1),0),IF(ISNUMBER($G158),$G158,$F158)&gt;=DATE(PlanYear,6,1)),1,0))</f>
        <v>0</v>
      </c>
      <c r="U158">
        <f>IF($N158=0,0,IF(AND($F158&lt;=EOMONTH(DATE(PlanYear,7,1),0),IF(ISNUMBER($G158),$G158,$F158)&gt;=DATE(PlanYear,7,1)),1,0))</f>
        <v>0</v>
      </c>
      <c r="V158">
        <f>IF($N158=0,0,IF(AND($F158&lt;=EOMONTH(DATE(PlanYear,8,1),0),IF(ISNUMBER($G158),$G158,$F158)&gt;=DATE(PlanYear,8,1)),1,0))</f>
        <v>0</v>
      </c>
      <c r="W158">
        <f>IF($N158=0,0,IF(AND($F158&lt;=EOMONTH(DATE(PlanYear,9,1),0),IF(ISNUMBER($G158),$G158,$F158)&gt;=DATE(PlanYear,9,1)),1,0))</f>
        <v>0</v>
      </c>
      <c r="X158">
        <f>IF($N158=0,0,IF(AND($F158&lt;=EOMONTH(DATE(PlanYear,10,1),0),IF(ISNUMBER($G158),$G158,$F158)&gt;=DATE(PlanYear,10,1)),1,0))</f>
        <v>0</v>
      </c>
      <c r="Y158">
        <f>IF($N158=0,0,IF(AND($F158&lt;=EOMONTH(DATE(PlanYear,11,1),0),IF(ISNUMBER($G158),$G158,$F158)&gt;=DATE(PlanYear,11,1)),1,0))</f>
        <v>0</v>
      </c>
      <c r="Z158">
        <f>IF($N158=0,0,IF(AND($F158&lt;=EOMONTH(DATE(PlanYear,12,1),0),IF(ISNUMBER($G158),$G158,$F158)&gt;=DATE(PlanYear,12,1)),1,0))</f>
        <v>0</v>
      </c>
      <c r="AA158">
        <f>SUM($O158:$Z158)</f>
        <v>0</v>
      </c>
    </row>
    <row r="159" spans="1:27">
      <c r="A159" s="42">
        <f>IF($B159="","","ACT-"&amp;TEXT(ROW()-4,"000"))</f>
        <v>0</v>
      </c>
      <c r="M159" s="43">
        <f>IF(COUNTA($B159:$K159)=0,"",IF($B159="","Missing activity name",IF($C159="","Missing practice",IF(COUNTIF(PracticeNames,$C159)=0,"Practice not in Lists",IF($D159="","Missing motion",IF(NOT(ISNUMBER($F159)),"Missing or invalid start date",IF(AND(ISNUMBER($G159),$G159&lt;$F159),"End date before start",IF(AND($N159=1,$AA159=0),"Outside planning year","OK"))))))))</f>
        <v>0</v>
      </c>
      <c r="N159">
        <f>IF(AND($B159&lt;&gt;"",$C159&lt;&gt;"",$D159&lt;&gt;"",ISNUMBER($F159),COUNTIF(PracticeNames,$C159)&gt;0,COUNTIF(MotionNames,$D159)&gt;0,NOT(AND(ISNUMBER($G159),$G159&lt;$F159))),IF(StatusFilter="All (excl. Cancelled)",IF($H159="Cancelled",0,1),IF(StatusFilter="All",1,IF($H159=StatusFilter,1,0))),0)</f>
        <v>0</v>
      </c>
      <c r="O159">
        <f>IF($N159=0,0,IF(AND($F159&lt;=EOMONTH(DATE(PlanYear,1,1),0),IF(ISNUMBER($G159),$G159,$F159)&gt;=DATE(PlanYear,1,1)),1,0))</f>
        <v>0</v>
      </c>
      <c r="P159">
        <f>IF($N159=0,0,IF(AND($F159&lt;=EOMONTH(DATE(PlanYear,2,1),0),IF(ISNUMBER($G159),$G159,$F159)&gt;=DATE(PlanYear,2,1)),1,0))</f>
        <v>0</v>
      </c>
      <c r="Q159">
        <f>IF($N159=0,0,IF(AND($F159&lt;=EOMONTH(DATE(PlanYear,3,1),0),IF(ISNUMBER($G159),$G159,$F159)&gt;=DATE(PlanYear,3,1)),1,0))</f>
        <v>0</v>
      </c>
      <c r="R159">
        <f>IF($N159=0,0,IF(AND($F159&lt;=EOMONTH(DATE(PlanYear,4,1),0),IF(ISNUMBER($G159),$G159,$F159)&gt;=DATE(PlanYear,4,1)),1,0))</f>
        <v>0</v>
      </c>
      <c r="S159">
        <f>IF($N159=0,0,IF(AND($F159&lt;=EOMONTH(DATE(PlanYear,5,1),0),IF(ISNUMBER($G159),$G159,$F159)&gt;=DATE(PlanYear,5,1)),1,0))</f>
        <v>0</v>
      </c>
      <c r="T159">
        <f>IF($N159=0,0,IF(AND($F159&lt;=EOMONTH(DATE(PlanYear,6,1),0),IF(ISNUMBER($G159),$G159,$F159)&gt;=DATE(PlanYear,6,1)),1,0))</f>
        <v>0</v>
      </c>
      <c r="U159">
        <f>IF($N159=0,0,IF(AND($F159&lt;=EOMONTH(DATE(PlanYear,7,1),0),IF(ISNUMBER($G159),$G159,$F159)&gt;=DATE(PlanYear,7,1)),1,0))</f>
        <v>0</v>
      </c>
      <c r="V159">
        <f>IF($N159=0,0,IF(AND($F159&lt;=EOMONTH(DATE(PlanYear,8,1),0),IF(ISNUMBER($G159),$G159,$F159)&gt;=DATE(PlanYear,8,1)),1,0))</f>
        <v>0</v>
      </c>
      <c r="W159">
        <f>IF($N159=0,0,IF(AND($F159&lt;=EOMONTH(DATE(PlanYear,9,1),0),IF(ISNUMBER($G159),$G159,$F159)&gt;=DATE(PlanYear,9,1)),1,0))</f>
        <v>0</v>
      </c>
      <c r="X159">
        <f>IF($N159=0,0,IF(AND($F159&lt;=EOMONTH(DATE(PlanYear,10,1),0),IF(ISNUMBER($G159),$G159,$F159)&gt;=DATE(PlanYear,10,1)),1,0))</f>
        <v>0</v>
      </c>
      <c r="Y159">
        <f>IF($N159=0,0,IF(AND($F159&lt;=EOMONTH(DATE(PlanYear,11,1),0),IF(ISNUMBER($G159),$G159,$F159)&gt;=DATE(PlanYear,11,1)),1,0))</f>
        <v>0</v>
      </c>
      <c r="Z159">
        <f>IF($N159=0,0,IF(AND($F159&lt;=EOMONTH(DATE(PlanYear,12,1),0),IF(ISNUMBER($G159),$G159,$F159)&gt;=DATE(PlanYear,12,1)),1,0))</f>
        <v>0</v>
      </c>
      <c r="AA159">
        <f>SUM($O159:$Z159)</f>
        <v>0</v>
      </c>
    </row>
    <row r="160" spans="1:27">
      <c r="A160" s="42">
        <f>IF($B160="","","ACT-"&amp;TEXT(ROW()-4,"000"))</f>
        <v>0</v>
      </c>
      <c r="M160" s="43">
        <f>IF(COUNTA($B160:$K160)=0,"",IF($B160="","Missing activity name",IF($C160="","Missing practice",IF(COUNTIF(PracticeNames,$C160)=0,"Practice not in Lists",IF($D160="","Missing motion",IF(NOT(ISNUMBER($F160)),"Missing or invalid start date",IF(AND(ISNUMBER($G160),$G160&lt;$F160),"End date before start",IF(AND($N160=1,$AA160=0),"Outside planning year","OK"))))))))</f>
        <v>0</v>
      </c>
      <c r="N160">
        <f>IF(AND($B160&lt;&gt;"",$C160&lt;&gt;"",$D160&lt;&gt;"",ISNUMBER($F160),COUNTIF(PracticeNames,$C160)&gt;0,COUNTIF(MotionNames,$D160)&gt;0,NOT(AND(ISNUMBER($G160),$G160&lt;$F160))),IF(StatusFilter="All (excl. Cancelled)",IF($H160="Cancelled",0,1),IF(StatusFilter="All",1,IF($H160=StatusFilter,1,0))),0)</f>
        <v>0</v>
      </c>
      <c r="O160">
        <f>IF($N160=0,0,IF(AND($F160&lt;=EOMONTH(DATE(PlanYear,1,1),0),IF(ISNUMBER($G160),$G160,$F160)&gt;=DATE(PlanYear,1,1)),1,0))</f>
        <v>0</v>
      </c>
      <c r="P160">
        <f>IF($N160=0,0,IF(AND($F160&lt;=EOMONTH(DATE(PlanYear,2,1),0),IF(ISNUMBER($G160),$G160,$F160)&gt;=DATE(PlanYear,2,1)),1,0))</f>
        <v>0</v>
      </c>
      <c r="Q160">
        <f>IF($N160=0,0,IF(AND($F160&lt;=EOMONTH(DATE(PlanYear,3,1),0),IF(ISNUMBER($G160),$G160,$F160)&gt;=DATE(PlanYear,3,1)),1,0))</f>
        <v>0</v>
      </c>
      <c r="R160">
        <f>IF($N160=0,0,IF(AND($F160&lt;=EOMONTH(DATE(PlanYear,4,1),0),IF(ISNUMBER($G160),$G160,$F160)&gt;=DATE(PlanYear,4,1)),1,0))</f>
        <v>0</v>
      </c>
      <c r="S160">
        <f>IF($N160=0,0,IF(AND($F160&lt;=EOMONTH(DATE(PlanYear,5,1),0),IF(ISNUMBER($G160),$G160,$F160)&gt;=DATE(PlanYear,5,1)),1,0))</f>
        <v>0</v>
      </c>
      <c r="T160">
        <f>IF($N160=0,0,IF(AND($F160&lt;=EOMONTH(DATE(PlanYear,6,1),0),IF(ISNUMBER($G160),$G160,$F160)&gt;=DATE(PlanYear,6,1)),1,0))</f>
        <v>0</v>
      </c>
      <c r="U160">
        <f>IF($N160=0,0,IF(AND($F160&lt;=EOMONTH(DATE(PlanYear,7,1),0),IF(ISNUMBER($G160),$G160,$F160)&gt;=DATE(PlanYear,7,1)),1,0))</f>
        <v>0</v>
      </c>
      <c r="V160">
        <f>IF($N160=0,0,IF(AND($F160&lt;=EOMONTH(DATE(PlanYear,8,1),0),IF(ISNUMBER($G160),$G160,$F160)&gt;=DATE(PlanYear,8,1)),1,0))</f>
        <v>0</v>
      </c>
      <c r="W160">
        <f>IF($N160=0,0,IF(AND($F160&lt;=EOMONTH(DATE(PlanYear,9,1),0),IF(ISNUMBER($G160),$G160,$F160)&gt;=DATE(PlanYear,9,1)),1,0))</f>
        <v>0</v>
      </c>
      <c r="X160">
        <f>IF($N160=0,0,IF(AND($F160&lt;=EOMONTH(DATE(PlanYear,10,1),0),IF(ISNUMBER($G160),$G160,$F160)&gt;=DATE(PlanYear,10,1)),1,0))</f>
        <v>0</v>
      </c>
      <c r="Y160">
        <f>IF($N160=0,0,IF(AND($F160&lt;=EOMONTH(DATE(PlanYear,11,1),0),IF(ISNUMBER($G160),$G160,$F160)&gt;=DATE(PlanYear,11,1)),1,0))</f>
        <v>0</v>
      </c>
      <c r="Z160">
        <f>IF($N160=0,0,IF(AND($F160&lt;=EOMONTH(DATE(PlanYear,12,1),0),IF(ISNUMBER($G160),$G160,$F160)&gt;=DATE(PlanYear,12,1)),1,0))</f>
        <v>0</v>
      </c>
      <c r="AA160">
        <f>SUM($O160:$Z160)</f>
        <v>0</v>
      </c>
    </row>
    <row r="161" spans="1:27">
      <c r="A161" s="42">
        <f>IF($B161="","","ACT-"&amp;TEXT(ROW()-4,"000"))</f>
        <v>0</v>
      </c>
      <c r="M161" s="43">
        <f>IF(COUNTA($B161:$K161)=0,"",IF($B161="","Missing activity name",IF($C161="","Missing practice",IF(COUNTIF(PracticeNames,$C161)=0,"Practice not in Lists",IF($D161="","Missing motion",IF(NOT(ISNUMBER($F161)),"Missing or invalid start date",IF(AND(ISNUMBER($G161),$G161&lt;$F161),"End date before start",IF(AND($N161=1,$AA161=0),"Outside planning year","OK"))))))))</f>
        <v>0</v>
      </c>
      <c r="N161">
        <f>IF(AND($B161&lt;&gt;"",$C161&lt;&gt;"",$D161&lt;&gt;"",ISNUMBER($F161),COUNTIF(PracticeNames,$C161)&gt;0,COUNTIF(MotionNames,$D161)&gt;0,NOT(AND(ISNUMBER($G161),$G161&lt;$F161))),IF(StatusFilter="All (excl. Cancelled)",IF($H161="Cancelled",0,1),IF(StatusFilter="All",1,IF($H161=StatusFilter,1,0))),0)</f>
        <v>0</v>
      </c>
      <c r="O161">
        <f>IF($N161=0,0,IF(AND($F161&lt;=EOMONTH(DATE(PlanYear,1,1),0),IF(ISNUMBER($G161),$G161,$F161)&gt;=DATE(PlanYear,1,1)),1,0))</f>
        <v>0</v>
      </c>
      <c r="P161">
        <f>IF($N161=0,0,IF(AND($F161&lt;=EOMONTH(DATE(PlanYear,2,1),0),IF(ISNUMBER($G161),$G161,$F161)&gt;=DATE(PlanYear,2,1)),1,0))</f>
        <v>0</v>
      </c>
      <c r="Q161">
        <f>IF($N161=0,0,IF(AND($F161&lt;=EOMONTH(DATE(PlanYear,3,1),0),IF(ISNUMBER($G161),$G161,$F161)&gt;=DATE(PlanYear,3,1)),1,0))</f>
        <v>0</v>
      </c>
      <c r="R161">
        <f>IF($N161=0,0,IF(AND($F161&lt;=EOMONTH(DATE(PlanYear,4,1),0),IF(ISNUMBER($G161),$G161,$F161)&gt;=DATE(PlanYear,4,1)),1,0))</f>
        <v>0</v>
      </c>
      <c r="S161">
        <f>IF($N161=0,0,IF(AND($F161&lt;=EOMONTH(DATE(PlanYear,5,1),0),IF(ISNUMBER($G161),$G161,$F161)&gt;=DATE(PlanYear,5,1)),1,0))</f>
        <v>0</v>
      </c>
      <c r="T161">
        <f>IF($N161=0,0,IF(AND($F161&lt;=EOMONTH(DATE(PlanYear,6,1),0),IF(ISNUMBER($G161),$G161,$F161)&gt;=DATE(PlanYear,6,1)),1,0))</f>
        <v>0</v>
      </c>
      <c r="U161">
        <f>IF($N161=0,0,IF(AND($F161&lt;=EOMONTH(DATE(PlanYear,7,1),0),IF(ISNUMBER($G161),$G161,$F161)&gt;=DATE(PlanYear,7,1)),1,0))</f>
        <v>0</v>
      </c>
      <c r="V161">
        <f>IF($N161=0,0,IF(AND($F161&lt;=EOMONTH(DATE(PlanYear,8,1),0),IF(ISNUMBER($G161),$G161,$F161)&gt;=DATE(PlanYear,8,1)),1,0))</f>
        <v>0</v>
      </c>
      <c r="W161">
        <f>IF($N161=0,0,IF(AND($F161&lt;=EOMONTH(DATE(PlanYear,9,1),0),IF(ISNUMBER($G161),$G161,$F161)&gt;=DATE(PlanYear,9,1)),1,0))</f>
        <v>0</v>
      </c>
      <c r="X161">
        <f>IF($N161=0,0,IF(AND($F161&lt;=EOMONTH(DATE(PlanYear,10,1),0),IF(ISNUMBER($G161),$G161,$F161)&gt;=DATE(PlanYear,10,1)),1,0))</f>
        <v>0</v>
      </c>
      <c r="Y161">
        <f>IF($N161=0,0,IF(AND($F161&lt;=EOMONTH(DATE(PlanYear,11,1),0),IF(ISNUMBER($G161),$G161,$F161)&gt;=DATE(PlanYear,11,1)),1,0))</f>
        <v>0</v>
      </c>
      <c r="Z161">
        <f>IF($N161=0,0,IF(AND($F161&lt;=EOMONTH(DATE(PlanYear,12,1),0),IF(ISNUMBER($G161),$G161,$F161)&gt;=DATE(PlanYear,12,1)),1,0))</f>
        <v>0</v>
      </c>
      <c r="AA161">
        <f>SUM($O161:$Z161)</f>
        <v>0</v>
      </c>
    </row>
    <row r="162" spans="1:27">
      <c r="A162" s="42">
        <f>IF($B162="","","ACT-"&amp;TEXT(ROW()-4,"000"))</f>
        <v>0</v>
      </c>
      <c r="M162" s="43">
        <f>IF(COUNTA($B162:$K162)=0,"",IF($B162="","Missing activity name",IF($C162="","Missing practice",IF(COUNTIF(PracticeNames,$C162)=0,"Practice not in Lists",IF($D162="","Missing motion",IF(NOT(ISNUMBER($F162)),"Missing or invalid start date",IF(AND(ISNUMBER($G162),$G162&lt;$F162),"End date before start",IF(AND($N162=1,$AA162=0),"Outside planning year","OK"))))))))</f>
        <v>0</v>
      </c>
      <c r="N162">
        <f>IF(AND($B162&lt;&gt;"",$C162&lt;&gt;"",$D162&lt;&gt;"",ISNUMBER($F162),COUNTIF(PracticeNames,$C162)&gt;0,COUNTIF(MotionNames,$D162)&gt;0,NOT(AND(ISNUMBER($G162),$G162&lt;$F162))),IF(StatusFilter="All (excl. Cancelled)",IF($H162="Cancelled",0,1),IF(StatusFilter="All",1,IF($H162=StatusFilter,1,0))),0)</f>
        <v>0</v>
      </c>
      <c r="O162">
        <f>IF($N162=0,0,IF(AND($F162&lt;=EOMONTH(DATE(PlanYear,1,1),0),IF(ISNUMBER($G162),$G162,$F162)&gt;=DATE(PlanYear,1,1)),1,0))</f>
        <v>0</v>
      </c>
      <c r="P162">
        <f>IF($N162=0,0,IF(AND($F162&lt;=EOMONTH(DATE(PlanYear,2,1),0),IF(ISNUMBER($G162),$G162,$F162)&gt;=DATE(PlanYear,2,1)),1,0))</f>
        <v>0</v>
      </c>
      <c r="Q162">
        <f>IF($N162=0,0,IF(AND($F162&lt;=EOMONTH(DATE(PlanYear,3,1),0),IF(ISNUMBER($G162),$G162,$F162)&gt;=DATE(PlanYear,3,1)),1,0))</f>
        <v>0</v>
      </c>
      <c r="R162">
        <f>IF($N162=0,0,IF(AND($F162&lt;=EOMONTH(DATE(PlanYear,4,1),0),IF(ISNUMBER($G162),$G162,$F162)&gt;=DATE(PlanYear,4,1)),1,0))</f>
        <v>0</v>
      </c>
      <c r="S162">
        <f>IF($N162=0,0,IF(AND($F162&lt;=EOMONTH(DATE(PlanYear,5,1),0),IF(ISNUMBER($G162),$G162,$F162)&gt;=DATE(PlanYear,5,1)),1,0))</f>
        <v>0</v>
      </c>
      <c r="T162">
        <f>IF($N162=0,0,IF(AND($F162&lt;=EOMONTH(DATE(PlanYear,6,1),0),IF(ISNUMBER($G162),$G162,$F162)&gt;=DATE(PlanYear,6,1)),1,0))</f>
        <v>0</v>
      </c>
      <c r="U162">
        <f>IF($N162=0,0,IF(AND($F162&lt;=EOMONTH(DATE(PlanYear,7,1),0),IF(ISNUMBER($G162),$G162,$F162)&gt;=DATE(PlanYear,7,1)),1,0))</f>
        <v>0</v>
      </c>
      <c r="V162">
        <f>IF($N162=0,0,IF(AND($F162&lt;=EOMONTH(DATE(PlanYear,8,1),0),IF(ISNUMBER($G162),$G162,$F162)&gt;=DATE(PlanYear,8,1)),1,0))</f>
        <v>0</v>
      </c>
      <c r="W162">
        <f>IF($N162=0,0,IF(AND($F162&lt;=EOMONTH(DATE(PlanYear,9,1),0),IF(ISNUMBER($G162),$G162,$F162)&gt;=DATE(PlanYear,9,1)),1,0))</f>
        <v>0</v>
      </c>
      <c r="X162">
        <f>IF($N162=0,0,IF(AND($F162&lt;=EOMONTH(DATE(PlanYear,10,1),0),IF(ISNUMBER($G162),$G162,$F162)&gt;=DATE(PlanYear,10,1)),1,0))</f>
        <v>0</v>
      </c>
      <c r="Y162">
        <f>IF($N162=0,0,IF(AND($F162&lt;=EOMONTH(DATE(PlanYear,11,1),0),IF(ISNUMBER($G162),$G162,$F162)&gt;=DATE(PlanYear,11,1)),1,0))</f>
        <v>0</v>
      </c>
      <c r="Z162">
        <f>IF($N162=0,0,IF(AND($F162&lt;=EOMONTH(DATE(PlanYear,12,1),0),IF(ISNUMBER($G162),$G162,$F162)&gt;=DATE(PlanYear,12,1)),1,0))</f>
        <v>0</v>
      </c>
      <c r="AA162">
        <f>SUM($O162:$Z162)</f>
        <v>0</v>
      </c>
    </row>
    <row r="163" spans="1:27">
      <c r="A163" s="42">
        <f>IF($B163="","","ACT-"&amp;TEXT(ROW()-4,"000"))</f>
        <v>0</v>
      </c>
      <c r="M163" s="43">
        <f>IF(COUNTA($B163:$K163)=0,"",IF($B163="","Missing activity name",IF($C163="","Missing practice",IF(COUNTIF(PracticeNames,$C163)=0,"Practice not in Lists",IF($D163="","Missing motion",IF(NOT(ISNUMBER($F163)),"Missing or invalid start date",IF(AND(ISNUMBER($G163),$G163&lt;$F163),"End date before start",IF(AND($N163=1,$AA163=0),"Outside planning year","OK"))))))))</f>
        <v>0</v>
      </c>
      <c r="N163">
        <f>IF(AND($B163&lt;&gt;"",$C163&lt;&gt;"",$D163&lt;&gt;"",ISNUMBER($F163),COUNTIF(PracticeNames,$C163)&gt;0,COUNTIF(MotionNames,$D163)&gt;0,NOT(AND(ISNUMBER($G163),$G163&lt;$F163))),IF(StatusFilter="All (excl. Cancelled)",IF($H163="Cancelled",0,1),IF(StatusFilter="All",1,IF($H163=StatusFilter,1,0))),0)</f>
        <v>0</v>
      </c>
      <c r="O163">
        <f>IF($N163=0,0,IF(AND($F163&lt;=EOMONTH(DATE(PlanYear,1,1),0),IF(ISNUMBER($G163),$G163,$F163)&gt;=DATE(PlanYear,1,1)),1,0))</f>
        <v>0</v>
      </c>
      <c r="P163">
        <f>IF($N163=0,0,IF(AND($F163&lt;=EOMONTH(DATE(PlanYear,2,1),0),IF(ISNUMBER($G163),$G163,$F163)&gt;=DATE(PlanYear,2,1)),1,0))</f>
        <v>0</v>
      </c>
      <c r="Q163">
        <f>IF($N163=0,0,IF(AND($F163&lt;=EOMONTH(DATE(PlanYear,3,1),0),IF(ISNUMBER($G163),$G163,$F163)&gt;=DATE(PlanYear,3,1)),1,0))</f>
        <v>0</v>
      </c>
      <c r="R163">
        <f>IF($N163=0,0,IF(AND($F163&lt;=EOMONTH(DATE(PlanYear,4,1),0),IF(ISNUMBER($G163),$G163,$F163)&gt;=DATE(PlanYear,4,1)),1,0))</f>
        <v>0</v>
      </c>
      <c r="S163">
        <f>IF($N163=0,0,IF(AND($F163&lt;=EOMONTH(DATE(PlanYear,5,1),0),IF(ISNUMBER($G163),$G163,$F163)&gt;=DATE(PlanYear,5,1)),1,0))</f>
        <v>0</v>
      </c>
      <c r="T163">
        <f>IF($N163=0,0,IF(AND($F163&lt;=EOMONTH(DATE(PlanYear,6,1),0),IF(ISNUMBER($G163),$G163,$F163)&gt;=DATE(PlanYear,6,1)),1,0))</f>
        <v>0</v>
      </c>
      <c r="U163">
        <f>IF($N163=0,0,IF(AND($F163&lt;=EOMONTH(DATE(PlanYear,7,1),0),IF(ISNUMBER($G163),$G163,$F163)&gt;=DATE(PlanYear,7,1)),1,0))</f>
        <v>0</v>
      </c>
      <c r="V163">
        <f>IF($N163=0,0,IF(AND($F163&lt;=EOMONTH(DATE(PlanYear,8,1),0),IF(ISNUMBER($G163),$G163,$F163)&gt;=DATE(PlanYear,8,1)),1,0))</f>
        <v>0</v>
      </c>
      <c r="W163">
        <f>IF($N163=0,0,IF(AND($F163&lt;=EOMONTH(DATE(PlanYear,9,1),0),IF(ISNUMBER($G163),$G163,$F163)&gt;=DATE(PlanYear,9,1)),1,0))</f>
        <v>0</v>
      </c>
      <c r="X163">
        <f>IF($N163=0,0,IF(AND($F163&lt;=EOMONTH(DATE(PlanYear,10,1),0),IF(ISNUMBER($G163),$G163,$F163)&gt;=DATE(PlanYear,10,1)),1,0))</f>
        <v>0</v>
      </c>
      <c r="Y163">
        <f>IF($N163=0,0,IF(AND($F163&lt;=EOMONTH(DATE(PlanYear,11,1),0),IF(ISNUMBER($G163),$G163,$F163)&gt;=DATE(PlanYear,11,1)),1,0))</f>
        <v>0</v>
      </c>
      <c r="Z163">
        <f>IF($N163=0,0,IF(AND($F163&lt;=EOMONTH(DATE(PlanYear,12,1),0),IF(ISNUMBER($G163),$G163,$F163)&gt;=DATE(PlanYear,12,1)),1,0))</f>
        <v>0</v>
      </c>
      <c r="AA163">
        <f>SUM($O163:$Z163)</f>
        <v>0</v>
      </c>
    </row>
    <row r="164" spans="1:27">
      <c r="A164" s="42">
        <f>IF($B164="","","ACT-"&amp;TEXT(ROW()-4,"000"))</f>
        <v>0</v>
      </c>
      <c r="M164" s="43">
        <f>IF(COUNTA($B164:$K164)=0,"",IF($B164="","Missing activity name",IF($C164="","Missing practice",IF(COUNTIF(PracticeNames,$C164)=0,"Practice not in Lists",IF($D164="","Missing motion",IF(NOT(ISNUMBER($F164)),"Missing or invalid start date",IF(AND(ISNUMBER($G164),$G164&lt;$F164),"End date before start",IF(AND($N164=1,$AA164=0),"Outside planning year","OK"))))))))</f>
        <v>0</v>
      </c>
      <c r="N164">
        <f>IF(AND($B164&lt;&gt;"",$C164&lt;&gt;"",$D164&lt;&gt;"",ISNUMBER($F164),COUNTIF(PracticeNames,$C164)&gt;0,COUNTIF(MotionNames,$D164)&gt;0,NOT(AND(ISNUMBER($G164),$G164&lt;$F164))),IF(StatusFilter="All (excl. Cancelled)",IF($H164="Cancelled",0,1),IF(StatusFilter="All",1,IF($H164=StatusFilter,1,0))),0)</f>
        <v>0</v>
      </c>
      <c r="O164">
        <f>IF($N164=0,0,IF(AND($F164&lt;=EOMONTH(DATE(PlanYear,1,1),0),IF(ISNUMBER($G164),$G164,$F164)&gt;=DATE(PlanYear,1,1)),1,0))</f>
        <v>0</v>
      </c>
      <c r="P164">
        <f>IF($N164=0,0,IF(AND($F164&lt;=EOMONTH(DATE(PlanYear,2,1),0),IF(ISNUMBER($G164),$G164,$F164)&gt;=DATE(PlanYear,2,1)),1,0))</f>
        <v>0</v>
      </c>
      <c r="Q164">
        <f>IF($N164=0,0,IF(AND($F164&lt;=EOMONTH(DATE(PlanYear,3,1),0),IF(ISNUMBER($G164),$G164,$F164)&gt;=DATE(PlanYear,3,1)),1,0))</f>
        <v>0</v>
      </c>
      <c r="R164">
        <f>IF($N164=0,0,IF(AND($F164&lt;=EOMONTH(DATE(PlanYear,4,1),0),IF(ISNUMBER($G164),$G164,$F164)&gt;=DATE(PlanYear,4,1)),1,0))</f>
        <v>0</v>
      </c>
      <c r="S164">
        <f>IF($N164=0,0,IF(AND($F164&lt;=EOMONTH(DATE(PlanYear,5,1),0),IF(ISNUMBER($G164),$G164,$F164)&gt;=DATE(PlanYear,5,1)),1,0))</f>
        <v>0</v>
      </c>
      <c r="T164">
        <f>IF($N164=0,0,IF(AND($F164&lt;=EOMONTH(DATE(PlanYear,6,1),0),IF(ISNUMBER($G164),$G164,$F164)&gt;=DATE(PlanYear,6,1)),1,0))</f>
        <v>0</v>
      </c>
      <c r="U164">
        <f>IF($N164=0,0,IF(AND($F164&lt;=EOMONTH(DATE(PlanYear,7,1),0),IF(ISNUMBER($G164),$G164,$F164)&gt;=DATE(PlanYear,7,1)),1,0))</f>
        <v>0</v>
      </c>
      <c r="V164">
        <f>IF($N164=0,0,IF(AND($F164&lt;=EOMONTH(DATE(PlanYear,8,1),0),IF(ISNUMBER($G164),$G164,$F164)&gt;=DATE(PlanYear,8,1)),1,0))</f>
        <v>0</v>
      </c>
      <c r="W164">
        <f>IF($N164=0,0,IF(AND($F164&lt;=EOMONTH(DATE(PlanYear,9,1),0),IF(ISNUMBER($G164),$G164,$F164)&gt;=DATE(PlanYear,9,1)),1,0))</f>
        <v>0</v>
      </c>
      <c r="X164">
        <f>IF($N164=0,0,IF(AND($F164&lt;=EOMONTH(DATE(PlanYear,10,1),0),IF(ISNUMBER($G164),$G164,$F164)&gt;=DATE(PlanYear,10,1)),1,0))</f>
        <v>0</v>
      </c>
      <c r="Y164">
        <f>IF($N164=0,0,IF(AND($F164&lt;=EOMONTH(DATE(PlanYear,11,1),0),IF(ISNUMBER($G164),$G164,$F164)&gt;=DATE(PlanYear,11,1)),1,0))</f>
        <v>0</v>
      </c>
      <c r="Z164">
        <f>IF($N164=0,0,IF(AND($F164&lt;=EOMONTH(DATE(PlanYear,12,1),0),IF(ISNUMBER($G164),$G164,$F164)&gt;=DATE(PlanYear,12,1)),1,0))</f>
        <v>0</v>
      </c>
      <c r="AA164">
        <f>SUM($O164:$Z164)</f>
        <v>0</v>
      </c>
    </row>
    <row r="165" spans="1:27">
      <c r="A165" s="42">
        <f>IF($B165="","","ACT-"&amp;TEXT(ROW()-4,"000"))</f>
        <v>0</v>
      </c>
      <c r="M165" s="43">
        <f>IF(COUNTA($B165:$K165)=0,"",IF($B165="","Missing activity name",IF($C165="","Missing practice",IF(COUNTIF(PracticeNames,$C165)=0,"Practice not in Lists",IF($D165="","Missing motion",IF(NOT(ISNUMBER($F165)),"Missing or invalid start date",IF(AND(ISNUMBER($G165),$G165&lt;$F165),"End date before start",IF(AND($N165=1,$AA165=0),"Outside planning year","OK"))))))))</f>
        <v>0</v>
      </c>
      <c r="N165">
        <f>IF(AND($B165&lt;&gt;"",$C165&lt;&gt;"",$D165&lt;&gt;"",ISNUMBER($F165),COUNTIF(PracticeNames,$C165)&gt;0,COUNTIF(MotionNames,$D165)&gt;0,NOT(AND(ISNUMBER($G165),$G165&lt;$F165))),IF(StatusFilter="All (excl. Cancelled)",IF($H165="Cancelled",0,1),IF(StatusFilter="All",1,IF($H165=StatusFilter,1,0))),0)</f>
        <v>0</v>
      </c>
      <c r="O165">
        <f>IF($N165=0,0,IF(AND($F165&lt;=EOMONTH(DATE(PlanYear,1,1),0),IF(ISNUMBER($G165),$G165,$F165)&gt;=DATE(PlanYear,1,1)),1,0))</f>
        <v>0</v>
      </c>
      <c r="P165">
        <f>IF($N165=0,0,IF(AND($F165&lt;=EOMONTH(DATE(PlanYear,2,1),0),IF(ISNUMBER($G165),$G165,$F165)&gt;=DATE(PlanYear,2,1)),1,0))</f>
        <v>0</v>
      </c>
      <c r="Q165">
        <f>IF($N165=0,0,IF(AND($F165&lt;=EOMONTH(DATE(PlanYear,3,1),0),IF(ISNUMBER($G165),$G165,$F165)&gt;=DATE(PlanYear,3,1)),1,0))</f>
        <v>0</v>
      </c>
      <c r="R165">
        <f>IF($N165=0,0,IF(AND($F165&lt;=EOMONTH(DATE(PlanYear,4,1),0),IF(ISNUMBER($G165),$G165,$F165)&gt;=DATE(PlanYear,4,1)),1,0))</f>
        <v>0</v>
      </c>
      <c r="S165">
        <f>IF($N165=0,0,IF(AND($F165&lt;=EOMONTH(DATE(PlanYear,5,1),0),IF(ISNUMBER($G165),$G165,$F165)&gt;=DATE(PlanYear,5,1)),1,0))</f>
        <v>0</v>
      </c>
      <c r="T165">
        <f>IF($N165=0,0,IF(AND($F165&lt;=EOMONTH(DATE(PlanYear,6,1),0),IF(ISNUMBER($G165),$G165,$F165)&gt;=DATE(PlanYear,6,1)),1,0))</f>
        <v>0</v>
      </c>
      <c r="U165">
        <f>IF($N165=0,0,IF(AND($F165&lt;=EOMONTH(DATE(PlanYear,7,1),0),IF(ISNUMBER($G165),$G165,$F165)&gt;=DATE(PlanYear,7,1)),1,0))</f>
        <v>0</v>
      </c>
      <c r="V165">
        <f>IF($N165=0,0,IF(AND($F165&lt;=EOMONTH(DATE(PlanYear,8,1),0),IF(ISNUMBER($G165),$G165,$F165)&gt;=DATE(PlanYear,8,1)),1,0))</f>
        <v>0</v>
      </c>
      <c r="W165">
        <f>IF($N165=0,0,IF(AND($F165&lt;=EOMONTH(DATE(PlanYear,9,1),0),IF(ISNUMBER($G165),$G165,$F165)&gt;=DATE(PlanYear,9,1)),1,0))</f>
        <v>0</v>
      </c>
      <c r="X165">
        <f>IF($N165=0,0,IF(AND($F165&lt;=EOMONTH(DATE(PlanYear,10,1),0),IF(ISNUMBER($G165),$G165,$F165)&gt;=DATE(PlanYear,10,1)),1,0))</f>
        <v>0</v>
      </c>
      <c r="Y165">
        <f>IF($N165=0,0,IF(AND($F165&lt;=EOMONTH(DATE(PlanYear,11,1),0),IF(ISNUMBER($G165),$G165,$F165)&gt;=DATE(PlanYear,11,1)),1,0))</f>
        <v>0</v>
      </c>
      <c r="Z165">
        <f>IF($N165=0,0,IF(AND($F165&lt;=EOMONTH(DATE(PlanYear,12,1),0),IF(ISNUMBER($G165),$G165,$F165)&gt;=DATE(PlanYear,12,1)),1,0))</f>
        <v>0</v>
      </c>
      <c r="AA165">
        <f>SUM($O165:$Z165)</f>
        <v>0</v>
      </c>
    </row>
    <row r="166" spans="1:27">
      <c r="A166" s="42">
        <f>IF($B166="","","ACT-"&amp;TEXT(ROW()-4,"000"))</f>
        <v>0</v>
      </c>
      <c r="M166" s="43">
        <f>IF(COUNTA($B166:$K166)=0,"",IF($B166="","Missing activity name",IF($C166="","Missing practice",IF(COUNTIF(PracticeNames,$C166)=0,"Practice not in Lists",IF($D166="","Missing motion",IF(NOT(ISNUMBER($F166)),"Missing or invalid start date",IF(AND(ISNUMBER($G166),$G166&lt;$F166),"End date before start",IF(AND($N166=1,$AA166=0),"Outside planning year","OK"))))))))</f>
        <v>0</v>
      </c>
      <c r="N166">
        <f>IF(AND($B166&lt;&gt;"",$C166&lt;&gt;"",$D166&lt;&gt;"",ISNUMBER($F166),COUNTIF(PracticeNames,$C166)&gt;0,COUNTIF(MotionNames,$D166)&gt;0,NOT(AND(ISNUMBER($G166),$G166&lt;$F166))),IF(StatusFilter="All (excl. Cancelled)",IF($H166="Cancelled",0,1),IF(StatusFilter="All",1,IF($H166=StatusFilter,1,0))),0)</f>
        <v>0</v>
      </c>
      <c r="O166">
        <f>IF($N166=0,0,IF(AND($F166&lt;=EOMONTH(DATE(PlanYear,1,1),0),IF(ISNUMBER($G166),$G166,$F166)&gt;=DATE(PlanYear,1,1)),1,0))</f>
        <v>0</v>
      </c>
      <c r="P166">
        <f>IF($N166=0,0,IF(AND($F166&lt;=EOMONTH(DATE(PlanYear,2,1),0),IF(ISNUMBER($G166),$G166,$F166)&gt;=DATE(PlanYear,2,1)),1,0))</f>
        <v>0</v>
      </c>
      <c r="Q166">
        <f>IF($N166=0,0,IF(AND($F166&lt;=EOMONTH(DATE(PlanYear,3,1),0),IF(ISNUMBER($G166),$G166,$F166)&gt;=DATE(PlanYear,3,1)),1,0))</f>
        <v>0</v>
      </c>
      <c r="R166">
        <f>IF($N166=0,0,IF(AND($F166&lt;=EOMONTH(DATE(PlanYear,4,1),0),IF(ISNUMBER($G166),$G166,$F166)&gt;=DATE(PlanYear,4,1)),1,0))</f>
        <v>0</v>
      </c>
      <c r="S166">
        <f>IF($N166=0,0,IF(AND($F166&lt;=EOMONTH(DATE(PlanYear,5,1),0),IF(ISNUMBER($G166),$G166,$F166)&gt;=DATE(PlanYear,5,1)),1,0))</f>
        <v>0</v>
      </c>
      <c r="T166">
        <f>IF($N166=0,0,IF(AND($F166&lt;=EOMONTH(DATE(PlanYear,6,1),0),IF(ISNUMBER($G166),$G166,$F166)&gt;=DATE(PlanYear,6,1)),1,0))</f>
        <v>0</v>
      </c>
      <c r="U166">
        <f>IF($N166=0,0,IF(AND($F166&lt;=EOMONTH(DATE(PlanYear,7,1),0),IF(ISNUMBER($G166),$G166,$F166)&gt;=DATE(PlanYear,7,1)),1,0))</f>
        <v>0</v>
      </c>
      <c r="V166">
        <f>IF($N166=0,0,IF(AND($F166&lt;=EOMONTH(DATE(PlanYear,8,1),0),IF(ISNUMBER($G166),$G166,$F166)&gt;=DATE(PlanYear,8,1)),1,0))</f>
        <v>0</v>
      </c>
      <c r="W166">
        <f>IF($N166=0,0,IF(AND($F166&lt;=EOMONTH(DATE(PlanYear,9,1),0),IF(ISNUMBER($G166),$G166,$F166)&gt;=DATE(PlanYear,9,1)),1,0))</f>
        <v>0</v>
      </c>
      <c r="X166">
        <f>IF($N166=0,0,IF(AND($F166&lt;=EOMONTH(DATE(PlanYear,10,1),0),IF(ISNUMBER($G166),$G166,$F166)&gt;=DATE(PlanYear,10,1)),1,0))</f>
        <v>0</v>
      </c>
      <c r="Y166">
        <f>IF($N166=0,0,IF(AND($F166&lt;=EOMONTH(DATE(PlanYear,11,1),0),IF(ISNUMBER($G166),$G166,$F166)&gt;=DATE(PlanYear,11,1)),1,0))</f>
        <v>0</v>
      </c>
      <c r="Z166">
        <f>IF($N166=0,0,IF(AND($F166&lt;=EOMONTH(DATE(PlanYear,12,1),0),IF(ISNUMBER($G166),$G166,$F166)&gt;=DATE(PlanYear,12,1)),1,0))</f>
        <v>0</v>
      </c>
      <c r="AA166">
        <f>SUM($O166:$Z166)</f>
        <v>0</v>
      </c>
    </row>
    <row r="167" spans="1:27">
      <c r="A167" s="42">
        <f>IF($B167="","","ACT-"&amp;TEXT(ROW()-4,"000"))</f>
        <v>0</v>
      </c>
      <c r="M167" s="43">
        <f>IF(COUNTA($B167:$K167)=0,"",IF($B167="","Missing activity name",IF($C167="","Missing practice",IF(COUNTIF(PracticeNames,$C167)=0,"Practice not in Lists",IF($D167="","Missing motion",IF(NOT(ISNUMBER($F167)),"Missing or invalid start date",IF(AND(ISNUMBER($G167),$G167&lt;$F167),"End date before start",IF(AND($N167=1,$AA167=0),"Outside planning year","OK"))))))))</f>
        <v>0</v>
      </c>
      <c r="N167">
        <f>IF(AND($B167&lt;&gt;"",$C167&lt;&gt;"",$D167&lt;&gt;"",ISNUMBER($F167),COUNTIF(PracticeNames,$C167)&gt;0,COUNTIF(MotionNames,$D167)&gt;0,NOT(AND(ISNUMBER($G167),$G167&lt;$F167))),IF(StatusFilter="All (excl. Cancelled)",IF($H167="Cancelled",0,1),IF(StatusFilter="All",1,IF($H167=StatusFilter,1,0))),0)</f>
        <v>0</v>
      </c>
      <c r="O167">
        <f>IF($N167=0,0,IF(AND($F167&lt;=EOMONTH(DATE(PlanYear,1,1),0),IF(ISNUMBER($G167),$G167,$F167)&gt;=DATE(PlanYear,1,1)),1,0))</f>
        <v>0</v>
      </c>
      <c r="P167">
        <f>IF($N167=0,0,IF(AND($F167&lt;=EOMONTH(DATE(PlanYear,2,1),0),IF(ISNUMBER($G167),$G167,$F167)&gt;=DATE(PlanYear,2,1)),1,0))</f>
        <v>0</v>
      </c>
      <c r="Q167">
        <f>IF($N167=0,0,IF(AND($F167&lt;=EOMONTH(DATE(PlanYear,3,1),0),IF(ISNUMBER($G167),$G167,$F167)&gt;=DATE(PlanYear,3,1)),1,0))</f>
        <v>0</v>
      </c>
      <c r="R167">
        <f>IF($N167=0,0,IF(AND($F167&lt;=EOMONTH(DATE(PlanYear,4,1),0),IF(ISNUMBER($G167),$G167,$F167)&gt;=DATE(PlanYear,4,1)),1,0))</f>
        <v>0</v>
      </c>
      <c r="S167">
        <f>IF($N167=0,0,IF(AND($F167&lt;=EOMONTH(DATE(PlanYear,5,1),0),IF(ISNUMBER($G167),$G167,$F167)&gt;=DATE(PlanYear,5,1)),1,0))</f>
        <v>0</v>
      </c>
      <c r="T167">
        <f>IF($N167=0,0,IF(AND($F167&lt;=EOMONTH(DATE(PlanYear,6,1),0),IF(ISNUMBER($G167),$G167,$F167)&gt;=DATE(PlanYear,6,1)),1,0))</f>
        <v>0</v>
      </c>
      <c r="U167">
        <f>IF($N167=0,0,IF(AND($F167&lt;=EOMONTH(DATE(PlanYear,7,1),0),IF(ISNUMBER($G167),$G167,$F167)&gt;=DATE(PlanYear,7,1)),1,0))</f>
        <v>0</v>
      </c>
      <c r="V167">
        <f>IF($N167=0,0,IF(AND($F167&lt;=EOMONTH(DATE(PlanYear,8,1),0),IF(ISNUMBER($G167),$G167,$F167)&gt;=DATE(PlanYear,8,1)),1,0))</f>
        <v>0</v>
      </c>
      <c r="W167">
        <f>IF($N167=0,0,IF(AND($F167&lt;=EOMONTH(DATE(PlanYear,9,1),0),IF(ISNUMBER($G167),$G167,$F167)&gt;=DATE(PlanYear,9,1)),1,0))</f>
        <v>0</v>
      </c>
      <c r="X167">
        <f>IF($N167=0,0,IF(AND($F167&lt;=EOMONTH(DATE(PlanYear,10,1),0),IF(ISNUMBER($G167),$G167,$F167)&gt;=DATE(PlanYear,10,1)),1,0))</f>
        <v>0</v>
      </c>
      <c r="Y167">
        <f>IF($N167=0,0,IF(AND($F167&lt;=EOMONTH(DATE(PlanYear,11,1),0),IF(ISNUMBER($G167),$G167,$F167)&gt;=DATE(PlanYear,11,1)),1,0))</f>
        <v>0</v>
      </c>
      <c r="Z167">
        <f>IF($N167=0,0,IF(AND($F167&lt;=EOMONTH(DATE(PlanYear,12,1),0),IF(ISNUMBER($G167),$G167,$F167)&gt;=DATE(PlanYear,12,1)),1,0))</f>
        <v>0</v>
      </c>
      <c r="AA167">
        <f>SUM($O167:$Z167)</f>
        <v>0</v>
      </c>
    </row>
    <row r="168" spans="1:27">
      <c r="A168" s="42">
        <f>IF($B168="","","ACT-"&amp;TEXT(ROW()-4,"000"))</f>
        <v>0</v>
      </c>
      <c r="M168" s="43">
        <f>IF(COUNTA($B168:$K168)=0,"",IF($B168="","Missing activity name",IF($C168="","Missing practice",IF(COUNTIF(PracticeNames,$C168)=0,"Practice not in Lists",IF($D168="","Missing motion",IF(NOT(ISNUMBER($F168)),"Missing or invalid start date",IF(AND(ISNUMBER($G168),$G168&lt;$F168),"End date before start",IF(AND($N168=1,$AA168=0),"Outside planning year","OK"))))))))</f>
        <v>0</v>
      </c>
      <c r="N168">
        <f>IF(AND($B168&lt;&gt;"",$C168&lt;&gt;"",$D168&lt;&gt;"",ISNUMBER($F168),COUNTIF(PracticeNames,$C168)&gt;0,COUNTIF(MotionNames,$D168)&gt;0,NOT(AND(ISNUMBER($G168),$G168&lt;$F168))),IF(StatusFilter="All (excl. Cancelled)",IF($H168="Cancelled",0,1),IF(StatusFilter="All",1,IF($H168=StatusFilter,1,0))),0)</f>
        <v>0</v>
      </c>
      <c r="O168">
        <f>IF($N168=0,0,IF(AND($F168&lt;=EOMONTH(DATE(PlanYear,1,1),0),IF(ISNUMBER($G168),$G168,$F168)&gt;=DATE(PlanYear,1,1)),1,0))</f>
        <v>0</v>
      </c>
      <c r="P168">
        <f>IF($N168=0,0,IF(AND($F168&lt;=EOMONTH(DATE(PlanYear,2,1),0),IF(ISNUMBER($G168),$G168,$F168)&gt;=DATE(PlanYear,2,1)),1,0))</f>
        <v>0</v>
      </c>
      <c r="Q168">
        <f>IF($N168=0,0,IF(AND($F168&lt;=EOMONTH(DATE(PlanYear,3,1),0),IF(ISNUMBER($G168),$G168,$F168)&gt;=DATE(PlanYear,3,1)),1,0))</f>
        <v>0</v>
      </c>
      <c r="R168">
        <f>IF($N168=0,0,IF(AND($F168&lt;=EOMONTH(DATE(PlanYear,4,1),0),IF(ISNUMBER($G168),$G168,$F168)&gt;=DATE(PlanYear,4,1)),1,0))</f>
        <v>0</v>
      </c>
      <c r="S168">
        <f>IF($N168=0,0,IF(AND($F168&lt;=EOMONTH(DATE(PlanYear,5,1),0),IF(ISNUMBER($G168),$G168,$F168)&gt;=DATE(PlanYear,5,1)),1,0))</f>
        <v>0</v>
      </c>
      <c r="T168">
        <f>IF($N168=0,0,IF(AND($F168&lt;=EOMONTH(DATE(PlanYear,6,1),0),IF(ISNUMBER($G168),$G168,$F168)&gt;=DATE(PlanYear,6,1)),1,0))</f>
        <v>0</v>
      </c>
      <c r="U168">
        <f>IF($N168=0,0,IF(AND($F168&lt;=EOMONTH(DATE(PlanYear,7,1),0),IF(ISNUMBER($G168),$G168,$F168)&gt;=DATE(PlanYear,7,1)),1,0))</f>
        <v>0</v>
      </c>
      <c r="V168">
        <f>IF($N168=0,0,IF(AND($F168&lt;=EOMONTH(DATE(PlanYear,8,1),0),IF(ISNUMBER($G168),$G168,$F168)&gt;=DATE(PlanYear,8,1)),1,0))</f>
        <v>0</v>
      </c>
      <c r="W168">
        <f>IF($N168=0,0,IF(AND($F168&lt;=EOMONTH(DATE(PlanYear,9,1),0),IF(ISNUMBER($G168),$G168,$F168)&gt;=DATE(PlanYear,9,1)),1,0))</f>
        <v>0</v>
      </c>
      <c r="X168">
        <f>IF($N168=0,0,IF(AND($F168&lt;=EOMONTH(DATE(PlanYear,10,1),0),IF(ISNUMBER($G168),$G168,$F168)&gt;=DATE(PlanYear,10,1)),1,0))</f>
        <v>0</v>
      </c>
      <c r="Y168">
        <f>IF($N168=0,0,IF(AND($F168&lt;=EOMONTH(DATE(PlanYear,11,1),0),IF(ISNUMBER($G168),$G168,$F168)&gt;=DATE(PlanYear,11,1)),1,0))</f>
        <v>0</v>
      </c>
      <c r="Z168">
        <f>IF($N168=0,0,IF(AND($F168&lt;=EOMONTH(DATE(PlanYear,12,1),0),IF(ISNUMBER($G168),$G168,$F168)&gt;=DATE(PlanYear,12,1)),1,0))</f>
        <v>0</v>
      </c>
      <c r="AA168">
        <f>SUM($O168:$Z168)</f>
        <v>0</v>
      </c>
    </row>
    <row r="169" spans="1:27">
      <c r="A169" s="42">
        <f>IF($B169="","","ACT-"&amp;TEXT(ROW()-4,"000"))</f>
        <v>0</v>
      </c>
      <c r="M169" s="43">
        <f>IF(COUNTA($B169:$K169)=0,"",IF($B169="","Missing activity name",IF($C169="","Missing practice",IF(COUNTIF(PracticeNames,$C169)=0,"Practice not in Lists",IF($D169="","Missing motion",IF(NOT(ISNUMBER($F169)),"Missing or invalid start date",IF(AND(ISNUMBER($G169),$G169&lt;$F169),"End date before start",IF(AND($N169=1,$AA169=0),"Outside planning year","OK"))))))))</f>
        <v>0</v>
      </c>
      <c r="N169">
        <f>IF(AND($B169&lt;&gt;"",$C169&lt;&gt;"",$D169&lt;&gt;"",ISNUMBER($F169),COUNTIF(PracticeNames,$C169)&gt;0,COUNTIF(MotionNames,$D169)&gt;0,NOT(AND(ISNUMBER($G169),$G169&lt;$F169))),IF(StatusFilter="All (excl. Cancelled)",IF($H169="Cancelled",0,1),IF(StatusFilter="All",1,IF($H169=StatusFilter,1,0))),0)</f>
        <v>0</v>
      </c>
      <c r="O169">
        <f>IF($N169=0,0,IF(AND($F169&lt;=EOMONTH(DATE(PlanYear,1,1),0),IF(ISNUMBER($G169),$G169,$F169)&gt;=DATE(PlanYear,1,1)),1,0))</f>
        <v>0</v>
      </c>
      <c r="P169">
        <f>IF($N169=0,0,IF(AND($F169&lt;=EOMONTH(DATE(PlanYear,2,1),0),IF(ISNUMBER($G169),$G169,$F169)&gt;=DATE(PlanYear,2,1)),1,0))</f>
        <v>0</v>
      </c>
      <c r="Q169">
        <f>IF($N169=0,0,IF(AND($F169&lt;=EOMONTH(DATE(PlanYear,3,1),0),IF(ISNUMBER($G169),$G169,$F169)&gt;=DATE(PlanYear,3,1)),1,0))</f>
        <v>0</v>
      </c>
      <c r="R169">
        <f>IF($N169=0,0,IF(AND($F169&lt;=EOMONTH(DATE(PlanYear,4,1),0),IF(ISNUMBER($G169),$G169,$F169)&gt;=DATE(PlanYear,4,1)),1,0))</f>
        <v>0</v>
      </c>
      <c r="S169">
        <f>IF($N169=0,0,IF(AND($F169&lt;=EOMONTH(DATE(PlanYear,5,1),0),IF(ISNUMBER($G169),$G169,$F169)&gt;=DATE(PlanYear,5,1)),1,0))</f>
        <v>0</v>
      </c>
      <c r="T169">
        <f>IF($N169=0,0,IF(AND($F169&lt;=EOMONTH(DATE(PlanYear,6,1),0),IF(ISNUMBER($G169),$G169,$F169)&gt;=DATE(PlanYear,6,1)),1,0))</f>
        <v>0</v>
      </c>
      <c r="U169">
        <f>IF($N169=0,0,IF(AND($F169&lt;=EOMONTH(DATE(PlanYear,7,1),0),IF(ISNUMBER($G169),$G169,$F169)&gt;=DATE(PlanYear,7,1)),1,0))</f>
        <v>0</v>
      </c>
      <c r="V169">
        <f>IF($N169=0,0,IF(AND($F169&lt;=EOMONTH(DATE(PlanYear,8,1),0),IF(ISNUMBER($G169),$G169,$F169)&gt;=DATE(PlanYear,8,1)),1,0))</f>
        <v>0</v>
      </c>
      <c r="W169">
        <f>IF($N169=0,0,IF(AND($F169&lt;=EOMONTH(DATE(PlanYear,9,1),0),IF(ISNUMBER($G169),$G169,$F169)&gt;=DATE(PlanYear,9,1)),1,0))</f>
        <v>0</v>
      </c>
      <c r="X169">
        <f>IF($N169=0,0,IF(AND($F169&lt;=EOMONTH(DATE(PlanYear,10,1),0),IF(ISNUMBER($G169),$G169,$F169)&gt;=DATE(PlanYear,10,1)),1,0))</f>
        <v>0</v>
      </c>
      <c r="Y169">
        <f>IF($N169=0,0,IF(AND($F169&lt;=EOMONTH(DATE(PlanYear,11,1),0),IF(ISNUMBER($G169),$G169,$F169)&gt;=DATE(PlanYear,11,1)),1,0))</f>
        <v>0</v>
      </c>
      <c r="Z169">
        <f>IF($N169=0,0,IF(AND($F169&lt;=EOMONTH(DATE(PlanYear,12,1),0),IF(ISNUMBER($G169),$G169,$F169)&gt;=DATE(PlanYear,12,1)),1,0))</f>
        <v>0</v>
      </c>
      <c r="AA169">
        <f>SUM($O169:$Z169)</f>
        <v>0</v>
      </c>
    </row>
    <row r="170" spans="1:27">
      <c r="A170" s="42">
        <f>IF($B170="","","ACT-"&amp;TEXT(ROW()-4,"000"))</f>
        <v>0</v>
      </c>
      <c r="M170" s="43">
        <f>IF(COUNTA($B170:$K170)=0,"",IF($B170="","Missing activity name",IF($C170="","Missing practice",IF(COUNTIF(PracticeNames,$C170)=0,"Practice not in Lists",IF($D170="","Missing motion",IF(NOT(ISNUMBER($F170)),"Missing or invalid start date",IF(AND(ISNUMBER($G170),$G170&lt;$F170),"End date before start",IF(AND($N170=1,$AA170=0),"Outside planning year","OK"))))))))</f>
        <v>0</v>
      </c>
      <c r="N170">
        <f>IF(AND($B170&lt;&gt;"",$C170&lt;&gt;"",$D170&lt;&gt;"",ISNUMBER($F170),COUNTIF(PracticeNames,$C170)&gt;0,COUNTIF(MotionNames,$D170)&gt;0,NOT(AND(ISNUMBER($G170),$G170&lt;$F170))),IF(StatusFilter="All (excl. Cancelled)",IF($H170="Cancelled",0,1),IF(StatusFilter="All",1,IF($H170=StatusFilter,1,0))),0)</f>
        <v>0</v>
      </c>
      <c r="O170">
        <f>IF($N170=0,0,IF(AND($F170&lt;=EOMONTH(DATE(PlanYear,1,1),0),IF(ISNUMBER($G170),$G170,$F170)&gt;=DATE(PlanYear,1,1)),1,0))</f>
        <v>0</v>
      </c>
      <c r="P170">
        <f>IF($N170=0,0,IF(AND($F170&lt;=EOMONTH(DATE(PlanYear,2,1),0),IF(ISNUMBER($G170),$G170,$F170)&gt;=DATE(PlanYear,2,1)),1,0))</f>
        <v>0</v>
      </c>
      <c r="Q170">
        <f>IF($N170=0,0,IF(AND($F170&lt;=EOMONTH(DATE(PlanYear,3,1),0),IF(ISNUMBER($G170),$G170,$F170)&gt;=DATE(PlanYear,3,1)),1,0))</f>
        <v>0</v>
      </c>
      <c r="R170">
        <f>IF($N170=0,0,IF(AND($F170&lt;=EOMONTH(DATE(PlanYear,4,1),0),IF(ISNUMBER($G170),$G170,$F170)&gt;=DATE(PlanYear,4,1)),1,0))</f>
        <v>0</v>
      </c>
      <c r="S170">
        <f>IF($N170=0,0,IF(AND($F170&lt;=EOMONTH(DATE(PlanYear,5,1),0),IF(ISNUMBER($G170),$G170,$F170)&gt;=DATE(PlanYear,5,1)),1,0))</f>
        <v>0</v>
      </c>
      <c r="T170">
        <f>IF($N170=0,0,IF(AND($F170&lt;=EOMONTH(DATE(PlanYear,6,1),0),IF(ISNUMBER($G170),$G170,$F170)&gt;=DATE(PlanYear,6,1)),1,0))</f>
        <v>0</v>
      </c>
      <c r="U170">
        <f>IF($N170=0,0,IF(AND($F170&lt;=EOMONTH(DATE(PlanYear,7,1),0),IF(ISNUMBER($G170),$G170,$F170)&gt;=DATE(PlanYear,7,1)),1,0))</f>
        <v>0</v>
      </c>
      <c r="V170">
        <f>IF($N170=0,0,IF(AND($F170&lt;=EOMONTH(DATE(PlanYear,8,1),0),IF(ISNUMBER($G170),$G170,$F170)&gt;=DATE(PlanYear,8,1)),1,0))</f>
        <v>0</v>
      </c>
      <c r="W170">
        <f>IF($N170=0,0,IF(AND($F170&lt;=EOMONTH(DATE(PlanYear,9,1),0),IF(ISNUMBER($G170),$G170,$F170)&gt;=DATE(PlanYear,9,1)),1,0))</f>
        <v>0</v>
      </c>
      <c r="X170">
        <f>IF($N170=0,0,IF(AND($F170&lt;=EOMONTH(DATE(PlanYear,10,1),0),IF(ISNUMBER($G170),$G170,$F170)&gt;=DATE(PlanYear,10,1)),1,0))</f>
        <v>0</v>
      </c>
      <c r="Y170">
        <f>IF($N170=0,0,IF(AND($F170&lt;=EOMONTH(DATE(PlanYear,11,1),0),IF(ISNUMBER($G170),$G170,$F170)&gt;=DATE(PlanYear,11,1)),1,0))</f>
        <v>0</v>
      </c>
      <c r="Z170">
        <f>IF($N170=0,0,IF(AND($F170&lt;=EOMONTH(DATE(PlanYear,12,1),0),IF(ISNUMBER($G170),$G170,$F170)&gt;=DATE(PlanYear,12,1)),1,0))</f>
        <v>0</v>
      </c>
      <c r="AA170">
        <f>SUM($O170:$Z170)</f>
        <v>0</v>
      </c>
    </row>
    <row r="171" spans="1:27">
      <c r="A171" s="42">
        <f>IF($B171="","","ACT-"&amp;TEXT(ROW()-4,"000"))</f>
        <v>0</v>
      </c>
      <c r="M171" s="43">
        <f>IF(COUNTA($B171:$K171)=0,"",IF($B171="","Missing activity name",IF($C171="","Missing practice",IF(COUNTIF(PracticeNames,$C171)=0,"Practice not in Lists",IF($D171="","Missing motion",IF(NOT(ISNUMBER($F171)),"Missing or invalid start date",IF(AND(ISNUMBER($G171),$G171&lt;$F171),"End date before start",IF(AND($N171=1,$AA171=0),"Outside planning year","OK"))))))))</f>
        <v>0</v>
      </c>
      <c r="N171">
        <f>IF(AND($B171&lt;&gt;"",$C171&lt;&gt;"",$D171&lt;&gt;"",ISNUMBER($F171),COUNTIF(PracticeNames,$C171)&gt;0,COUNTIF(MotionNames,$D171)&gt;0,NOT(AND(ISNUMBER($G171),$G171&lt;$F171))),IF(StatusFilter="All (excl. Cancelled)",IF($H171="Cancelled",0,1),IF(StatusFilter="All",1,IF($H171=StatusFilter,1,0))),0)</f>
        <v>0</v>
      </c>
      <c r="O171">
        <f>IF($N171=0,0,IF(AND($F171&lt;=EOMONTH(DATE(PlanYear,1,1),0),IF(ISNUMBER($G171),$G171,$F171)&gt;=DATE(PlanYear,1,1)),1,0))</f>
        <v>0</v>
      </c>
      <c r="P171">
        <f>IF($N171=0,0,IF(AND($F171&lt;=EOMONTH(DATE(PlanYear,2,1),0),IF(ISNUMBER($G171),$G171,$F171)&gt;=DATE(PlanYear,2,1)),1,0))</f>
        <v>0</v>
      </c>
      <c r="Q171">
        <f>IF($N171=0,0,IF(AND($F171&lt;=EOMONTH(DATE(PlanYear,3,1),0),IF(ISNUMBER($G171),$G171,$F171)&gt;=DATE(PlanYear,3,1)),1,0))</f>
        <v>0</v>
      </c>
      <c r="R171">
        <f>IF($N171=0,0,IF(AND($F171&lt;=EOMONTH(DATE(PlanYear,4,1),0),IF(ISNUMBER($G171),$G171,$F171)&gt;=DATE(PlanYear,4,1)),1,0))</f>
        <v>0</v>
      </c>
      <c r="S171">
        <f>IF($N171=0,0,IF(AND($F171&lt;=EOMONTH(DATE(PlanYear,5,1),0),IF(ISNUMBER($G171),$G171,$F171)&gt;=DATE(PlanYear,5,1)),1,0))</f>
        <v>0</v>
      </c>
      <c r="T171">
        <f>IF($N171=0,0,IF(AND($F171&lt;=EOMONTH(DATE(PlanYear,6,1),0),IF(ISNUMBER($G171),$G171,$F171)&gt;=DATE(PlanYear,6,1)),1,0))</f>
        <v>0</v>
      </c>
      <c r="U171">
        <f>IF($N171=0,0,IF(AND($F171&lt;=EOMONTH(DATE(PlanYear,7,1),0),IF(ISNUMBER($G171),$G171,$F171)&gt;=DATE(PlanYear,7,1)),1,0))</f>
        <v>0</v>
      </c>
      <c r="V171">
        <f>IF($N171=0,0,IF(AND($F171&lt;=EOMONTH(DATE(PlanYear,8,1),0),IF(ISNUMBER($G171),$G171,$F171)&gt;=DATE(PlanYear,8,1)),1,0))</f>
        <v>0</v>
      </c>
      <c r="W171">
        <f>IF($N171=0,0,IF(AND($F171&lt;=EOMONTH(DATE(PlanYear,9,1),0),IF(ISNUMBER($G171),$G171,$F171)&gt;=DATE(PlanYear,9,1)),1,0))</f>
        <v>0</v>
      </c>
      <c r="X171">
        <f>IF($N171=0,0,IF(AND($F171&lt;=EOMONTH(DATE(PlanYear,10,1),0),IF(ISNUMBER($G171),$G171,$F171)&gt;=DATE(PlanYear,10,1)),1,0))</f>
        <v>0</v>
      </c>
      <c r="Y171">
        <f>IF($N171=0,0,IF(AND($F171&lt;=EOMONTH(DATE(PlanYear,11,1),0),IF(ISNUMBER($G171),$G171,$F171)&gt;=DATE(PlanYear,11,1)),1,0))</f>
        <v>0</v>
      </c>
      <c r="Z171">
        <f>IF($N171=0,0,IF(AND($F171&lt;=EOMONTH(DATE(PlanYear,12,1),0),IF(ISNUMBER($G171),$G171,$F171)&gt;=DATE(PlanYear,12,1)),1,0))</f>
        <v>0</v>
      </c>
      <c r="AA171">
        <f>SUM($O171:$Z171)</f>
        <v>0</v>
      </c>
    </row>
    <row r="172" spans="1:27">
      <c r="A172" s="42">
        <f>IF($B172="","","ACT-"&amp;TEXT(ROW()-4,"000"))</f>
        <v>0</v>
      </c>
      <c r="M172" s="43">
        <f>IF(COUNTA($B172:$K172)=0,"",IF($B172="","Missing activity name",IF($C172="","Missing practice",IF(COUNTIF(PracticeNames,$C172)=0,"Practice not in Lists",IF($D172="","Missing motion",IF(NOT(ISNUMBER($F172)),"Missing or invalid start date",IF(AND(ISNUMBER($G172),$G172&lt;$F172),"End date before start",IF(AND($N172=1,$AA172=0),"Outside planning year","OK"))))))))</f>
        <v>0</v>
      </c>
      <c r="N172">
        <f>IF(AND($B172&lt;&gt;"",$C172&lt;&gt;"",$D172&lt;&gt;"",ISNUMBER($F172),COUNTIF(PracticeNames,$C172)&gt;0,COUNTIF(MotionNames,$D172)&gt;0,NOT(AND(ISNUMBER($G172),$G172&lt;$F172))),IF(StatusFilter="All (excl. Cancelled)",IF($H172="Cancelled",0,1),IF(StatusFilter="All",1,IF($H172=StatusFilter,1,0))),0)</f>
        <v>0</v>
      </c>
      <c r="O172">
        <f>IF($N172=0,0,IF(AND($F172&lt;=EOMONTH(DATE(PlanYear,1,1),0),IF(ISNUMBER($G172),$G172,$F172)&gt;=DATE(PlanYear,1,1)),1,0))</f>
        <v>0</v>
      </c>
      <c r="P172">
        <f>IF($N172=0,0,IF(AND($F172&lt;=EOMONTH(DATE(PlanYear,2,1),0),IF(ISNUMBER($G172),$G172,$F172)&gt;=DATE(PlanYear,2,1)),1,0))</f>
        <v>0</v>
      </c>
      <c r="Q172">
        <f>IF($N172=0,0,IF(AND($F172&lt;=EOMONTH(DATE(PlanYear,3,1),0),IF(ISNUMBER($G172),$G172,$F172)&gt;=DATE(PlanYear,3,1)),1,0))</f>
        <v>0</v>
      </c>
      <c r="R172">
        <f>IF($N172=0,0,IF(AND($F172&lt;=EOMONTH(DATE(PlanYear,4,1),0),IF(ISNUMBER($G172),$G172,$F172)&gt;=DATE(PlanYear,4,1)),1,0))</f>
        <v>0</v>
      </c>
      <c r="S172">
        <f>IF($N172=0,0,IF(AND($F172&lt;=EOMONTH(DATE(PlanYear,5,1),0),IF(ISNUMBER($G172),$G172,$F172)&gt;=DATE(PlanYear,5,1)),1,0))</f>
        <v>0</v>
      </c>
      <c r="T172">
        <f>IF($N172=0,0,IF(AND($F172&lt;=EOMONTH(DATE(PlanYear,6,1),0),IF(ISNUMBER($G172),$G172,$F172)&gt;=DATE(PlanYear,6,1)),1,0))</f>
        <v>0</v>
      </c>
      <c r="U172">
        <f>IF($N172=0,0,IF(AND($F172&lt;=EOMONTH(DATE(PlanYear,7,1),0),IF(ISNUMBER($G172),$G172,$F172)&gt;=DATE(PlanYear,7,1)),1,0))</f>
        <v>0</v>
      </c>
      <c r="V172">
        <f>IF($N172=0,0,IF(AND($F172&lt;=EOMONTH(DATE(PlanYear,8,1),0),IF(ISNUMBER($G172),$G172,$F172)&gt;=DATE(PlanYear,8,1)),1,0))</f>
        <v>0</v>
      </c>
      <c r="W172">
        <f>IF($N172=0,0,IF(AND($F172&lt;=EOMONTH(DATE(PlanYear,9,1),0),IF(ISNUMBER($G172),$G172,$F172)&gt;=DATE(PlanYear,9,1)),1,0))</f>
        <v>0</v>
      </c>
      <c r="X172">
        <f>IF($N172=0,0,IF(AND($F172&lt;=EOMONTH(DATE(PlanYear,10,1),0),IF(ISNUMBER($G172),$G172,$F172)&gt;=DATE(PlanYear,10,1)),1,0))</f>
        <v>0</v>
      </c>
      <c r="Y172">
        <f>IF($N172=0,0,IF(AND($F172&lt;=EOMONTH(DATE(PlanYear,11,1),0),IF(ISNUMBER($G172),$G172,$F172)&gt;=DATE(PlanYear,11,1)),1,0))</f>
        <v>0</v>
      </c>
      <c r="Z172">
        <f>IF($N172=0,0,IF(AND($F172&lt;=EOMONTH(DATE(PlanYear,12,1),0),IF(ISNUMBER($G172),$G172,$F172)&gt;=DATE(PlanYear,12,1)),1,0))</f>
        <v>0</v>
      </c>
      <c r="AA172">
        <f>SUM($O172:$Z172)</f>
        <v>0</v>
      </c>
    </row>
    <row r="173" spans="1:27">
      <c r="A173" s="42">
        <f>IF($B173="","","ACT-"&amp;TEXT(ROW()-4,"000"))</f>
        <v>0</v>
      </c>
      <c r="M173" s="43">
        <f>IF(COUNTA($B173:$K173)=0,"",IF($B173="","Missing activity name",IF($C173="","Missing practice",IF(COUNTIF(PracticeNames,$C173)=0,"Practice not in Lists",IF($D173="","Missing motion",IF(NOT(ISNUMBER($F173)),"Missing or invalid start date",IF(AND(ISNUMBER($G173),$G173&lt;$F173),"End date before start",IF(AND($N173=1,$AA173=0),"Outside planning year","OK"))))))))</f>
        <v>0</v>
      </c>
      <c r="N173">
        <f>IF(AND($B173&lt;&gt;"",$C173&lt;&gt;"",$D173&lt;&gt;"",ISNUMBER($F173),COUNTIF(PracticeNames,$C173)&gt;0,COUNTIF(MotionNames,$D173)&gt;0,NOT(AND(ISNUMBER($G173),$G173&lt;$F173))),IF(StatusFilter="All (excl. Cancelled)",IF($H173="Cancelled",0,1),IF(StatusFilter="All",1,IF($H173=StatusFilter,1,0))),0)</f>
        <v>0</v>
      </c>
      <c r="O173">
        <f>IF($N173=0,0,IF(AND($F173&lt;=EOMONTH(DATE(PlanYear,1,1),0),IF(ISNUMBER($G173),$G173,$F173)&gt;=DATE(PlanYear,1,1)),1,0))</f>
        <v>0</v>
      </c>
      <c r="P173">
        <f>IF($N173=0,0,IF(AND($F173&lt;=EOMONTH(DATE(PlanYear,2,1),0),IF(ISNUMBER($G173),$G173,$F173)&gt;=DATE(PlanYear,2,1)),1,0))</f>
        <v>0</v>
      </c>
      <c r="Q173">
        <f>IF($N173=0,0,IF(AND($F173&lt;=EOMONTH(DATE(PlanYear,3,1),0),IF(ISNUMBER($G173),$G173,$F173)&gt;=DATE(PlanYear,3,1)),1,0))</f>
        <v>0</v>
      </c>
      <c r="R173">
        <f>IF($N173=0,0,IF(AND($F173&lt;=EOMONTH(DATE(PlanYear,4,1),0),IF(ISNUMBER($G173),$G173,$F173)&gt;=DATE(PlanYear,4,1)),1,0))</f>
        <v>0</v>
      </c>
      <c r="S173">
        <f>IF($N173=0,0,IF(AND($F173&lt;=EOMONTH(DATE(PlanYear,5,1),0),IF(ISNUMBER($G173),$G173,$F173)&gt;=DATE(PlanYear,5,1)),1,0))</f>
        <v>0</v>
      </c>
      <c r="T173">
        <f>IF($N173=0,0,IF(AND($F173&lt;=EOMONTH(DATE(PlanYear,6,1),0),IF(ISNUMBER($G173),$G173,$F173)&gt;=DATE(PlanYear,6,1)),1,0))</f>
        <v>0</v>
      </c>
      <c r="U173">
        <f>IF($N173=0,0,IF(AND($F173&lt;=EOMONTH(DATE(PlanYear,7,1),0),IF(ISNUMBER($G173),$G173,$F173)&gt;=DATE(PlanYear,7,1)),1,0))</f>
        <v>0</v>
      </c>
      <c r="V173">
        <f>IF($N173=0,0,IF(AND($F173&lt;=EOMONTH(DATE(PlanYear,8,1),0),IF(ISNUMBER($G173),$G173,$F173)&gt;=DATE(PlanYear,8,1)),1,0))</f>
        <v>0</v>
      </c>
      <c r="W173">
        <f>IF($N173=0,0,IF(AND($F173&lt;=EOMONTH(DATE(PlanYear,9,1),0),IF(ISNUMBER($G173),$G173,$F173)&gt;=DATE(PlanYear,9,1)),1,0))</f>
        <v>0</v>
      </c>
      <c r="X173">
        <f>IF($N173=0,0,IF(AND($F173&lt;=EOMONTH(DATE(PlanYear,10,1),0),IF(ISNUMBER($G173),$G173,$F173)&gt;=DATE(PlanYear,10,1)),1,0))</f>
        <v>0</v>
      </c>
      <c r="Y173">
        <f>IF($N173=0,0,IF(AND($F173&lt;=EOMONTH(DATE(PlanYear,11,1),0),IF(ISNUMBER($G173),$G173,$F173)&gt;=DATE(PlanYear,11,1)),1,0))</f>
        <v>0</v>
      </c>
      <c r="Z173">
        <f>IF($N173=0,0,IF(AND($F173&lt;=EOMONTH(DATE(PlanYear,12,1),0),IF(ISNUMBER($G173),$G173,$F173)&gt;=DATE(PlanYear,12,1)),1,0))</f>
        <v>0</v>
      </c>
      <c r="AA173">
        <f>SUM($O173:$Z173)</f>
        <v>0</v>
      </c>
    </row>
    <row r="174" spans="1:27">
      <c r="A174" s="42">
        <f>IF($B174="","","ACT-"&amp;TEXT(ROW()-4,"000"))</f>
        <v>0</v>
      </c>
      <c r="M174" s="43">
        <f>IF(COUNTA($B174:$K174)=0,"",IF($B174="","Missing activity name",IF($C174="","Missing practice",IF(COUNTIF(PracticeNames,$C174)=0,"Practice not in Lists",IF($D174="","Missing motion",IF(NOT(ISNUMBER($F174)),"Missing or invalid start date",IF(AND(ISNUMBER($G174),$G174&lt;$F174),"End date before start",IF(AND($N174=1,$AA174=0),"Outside planning year","OK"))))))))</f>
        <v>0</v>
      </c>
      <c r="N174">
        <f>IF(AND($B174&lt;&gt;"",$C174&lt;&gt;"",$D174&lt;&gt;"",ISNUMBER($F174),COUNTIF(PracticeNames,$C174)&gt;0,COUNTIF(MotionNames,$D174)&gt;0,NOT(AND(ISNUMBER($G174),$G174&lt;$F174))),IF(StatusFilter="All (excl. Cancelled)",IF($H174="Cancelled",0,1),IF(StatusFilter="All",1,IF($H174=StatusFilter,1,0))),0)</f>
        <v>0</v>
      </c>
      <c r="O174">
        <f>IF($N174=0,0,IF(AND($F174&lt;=EOMONTH(DATE(PlanYear,1,1),0),IF(ISNUMBER($G174),$G174,$F174)&gt;=DATE(PlanYear,1,1)),1,0))</f>
        <v>0</v>
      </c>
      <c r="P174">
        <f>IF($N174=0,0,IF(AND($F174&lt;=EOMONTH(DATE(PlanYear,2,1),0),IF(ISNUMBER($G174),$G174,$F174)&gt;=DATE(PlanYear,2,1)),1,0))</f>
        <v>0</v>
      </c>
      <c r="Q174">
        <f>IF($N174=0,0,IF(AND($F174&lt;=EOMONTH(DATE(PlanYear,3,1),0),IF(ISNUMBER($G174),$G174,$F174)&gt;=DATE(PlanYear,3,1)),1,0))</f>
        <v>0</v>
      </c>
      <c r="R174">
        <f>IF($N174=0,0,IF(AND($F174&lt;=EOMONTH(DATE(PlanYear,4,1),0),IF(ISNUMBER($G174),$G174,$F174)&gt;=DATE(PlanYear,4,1)),1,0))</f>
        <v>0</v>
      </c>
      <c r="S174">
        <f>IF($N174=0,0,IF(AND($F174&lt;=EOMONTH(DATE(PlanYear,5,1),0),IF(ISNUMBER($G174),$G174,$F174)&gt;=DATE(PlanYear,5,1)),1,0))</f>
        <v>0</v>
      </c>
      <c r="T174">
        <f>IF($N174=0,0,IF(AND($F174&lt;=EOMONTH(DATE(PlanYear,6,1),0),IF(ISNUMBER($G174),$G174,$F174)&gt;=DATE(PlanYear,6,1)),1,0))</f>
        <v>0</v>
      </c>
      <c r="U174">
        <f>IF($N174=0,0,IF(AND($F174&lt;=EOMONTH(DATE(PlanYear,7,1),0),IF(ISNUMBER($G174),$G174,$F174)&gt;=DATE(PlanYear,7,1)),1,0))</f>
        <v>0</v>
      </c>
      <c r="V174">
        <f>IF($N174=0,0,IF(AND($F174&lt;=EOMONTH(DATE(PlanYear,8,1),0),IF(ISNUMBER($G174),$G174,$F174)&gt;=DATE(PlanYear,8,1)),1,0))</f>
        <v>0</v>
      </c>
      <c r="W174">
        <f>IF($N174=0,0,IF(AND($F174&lt;=EOMONTH(DATE(PlanYear,9,1),0),IF(ISNUMBER($G174),$G174,$F174)&gt;=DATE(PlanYear,9,1)),1,0))</f>
        <v>0</v>
      </c>
      <c r="X174">
        <f>IF($N174=0,0,IF(AND($F174&lt;=EOMONTH(DATE(PlanYear,10,1),0),IF(ISNUMBER($G174),$G174,$F174)&gt;=DATE(PlanYear,10,1)),1,0))</f>
        <v>0</v>
      </c>
      <c r="Y174">
        <f>IF($N174=0,0,IF(AND($F174&lt;=EOMONTH(DATE(PlanYear,11,1),0),IF(ISNUMBER($G174),$G174,$F174)&gt;=DATE(PlanYear,11,1)),1,0))</f>
        <v>0</v>
      </c>
      <c r="Z174">
        <f>IF($N174=0,0,IF(AND($F174&lt;=EOMONTH(DATE(PlanYear,12,1),0),IF(ISNUMBER($G174),$G174,$F174)&gt;=DATE(PlanYear,12,1)),1,0))</f>
        <v>0</v>
      </c>
      <c r="AA174">
        <f>SUM($O174:$Z174)</f>
        <v>0</v>
      </c>
    </row>
    <row r="175" spans="1:27">
      <c r="A175" s="42">
        <f>IF($B175="","","ACT-"&amp;TEXT(ROW()-4,"000"))</f>
        <v>0</v>
      </c>
      <c r="M175" s="43">
        <f>IF(COUNTA($B175:$K175)=0,"",IF($B175="","Missing activity name",IF($C175="","Missing practice",IF(COUNTIF(PracticeNames,$C175)=0,"Practice not in Lists",IF($D175="","Missing motion",IF(NOT(ISNUMBER($F175)),"Missing or invalid start date",IF(AND(ISNUMBER($G175),$G175&lt;$F175),"End date before start",IF(AND($N175=1,$AA175=0),"Outside planning year","OK"))))))))</f>
        <v>0</v>
      </c>
      <c r="N175">
        <f>IF(AND($B175&lt;&gt;"",$C175&lt;&gt;"",$D175&lt;&gt;"",ISNUMBER($F175),COUNTIF(PracticeNames,$C175)&gt;0,COUNTIF(MotionNames,$D175)&gt;0,NOT(AND(ISNUMBER($G175),$G175&lt;$F175))),IF(StatusFilter="All (excl. Cancelled)",IF($H175="Cancelled",0,1),IF(StatusFilter="All",1,IF($H175=StatusFilter,1,0))),0)</f>
        <v>0</v>
      </c>
      <c r="O175">
        <f>IF($N175=0,0,IF(AND($F175&lt;=EOMONTH(DATE(PlanYear,1,1),0),IF(ISNUMBER($G175),$G175,$F175)&gt;=DATE(PlanYear,1,1)),1,0))</f>
        <v>0</v>
      </c>
      <c r="P175">
        <f>IF($N175=0,0,IF(AND($F175&lt;=EOMONTH(DATE(PlanYear,2,1),0),IF(ISNUMBER($G175),$G175,$F175)&gt;=DATE(PlanYear,2,1)),1,0))</f>
        <v>0</v>
      </c>
      <c r="Q175">
        <f>IF($N175=0,0,IF(AND($F175&lt;=EOMONTH(DATE(PlanYear,3,1),0),IF(ISNUMBER($G175),$G175,$F175)&gt;=DATE(PlanYear,3,1)),1,0))</f>
        <v>0</v>
      </c>
      <c r="R175">
        <f>IF($N175=0,0,IF(AND($F175&lt;=EOMONTH(DATE(PlanYear,4,1),0),IF(ISNUMBER($G175),$G175,$F175)&gt;=DATE(PlanYear,4,1)),1,0))</f>
        <v>0</v>
      </c>
      <c r="S175">
        <f>IF($N175=0,0,IF(AND($F175&lt;=EOMONTH(DATE(PlanYear,5,1),0),IF(ISNUMBER($G175),$G175,$F175)&gt;=DATE(PlanYear,5,1)),1,0))</f>
        <v>0</v>
      </c>
      <c r="T175">
        <f>IF($N175=0,0,IF(AND($F175&lt;=EOMONTH(DATE(PlanYear,6,1),0),IF(ISNUMBER($G175),$G175,$F175)&gt;=DATE(PlanYear,6,1)),1,0))</f>
        <v>0</v>
      </c>
      <c r="U175">
        <f>IF($N175=0,0,IF(AND($F175&lt;=EOMONTH(DATE(PlanYear,7,1),0),IF(ISNUMBER($G175),$G175,$F175)&gt;=DATE(PlanYear,7,1)),1,0))</f>
        <v>0</v>
      </c>
      <c r="V175">
        <f>IF($N175=0,0,IF(AND($F175&lt;=EOMONTH(DATE(PlanYear,8,1),0),IF(ISNUMBER($G175),$G175,$F175)&gt;=DATE(PlanYear,8,1)),1,0))</f>
        <v>0</v>
      </c>
      <c r="W175">
        <f>IF($N175=0,0,IF(AND($F175&lt;=EOMONTH(DATE(PlanYear,9,1),0),IF(ISNUMBER($G175),$G175,$F175)&gt;=DATE(PlanYear,9,1)),1,0))</f>
        <v>0</v>
      </c>
      <c r="X175">
        <f>IF($N175=0,0,IF(AND($F175&lt;=EOMONTH(DATE(PlanYear,10,1),0),IF(ISNUMBER($G175),$G175,$F175)&gt;=DATE(PlanYear,10,1)),1,0))</f>
        <v>0</v>
      </c>
      <c r="Y175">
        <f>IF($N175=0,0,IF(AND($F175&lt;=EOMONTH(DATE(PlanYear,11,1),0),IF(ISNUMBER($G175),$G175,$F175)&gt;=DATE(PlanYear,11,1)),1,0))</f>
        <v>0</v>
      </c>
      <c r="Z175">
        <f>IF($N175=0,0,IF(AND($F175&lt;=EOMONTH(DATE(PlanYear,12,1),0),IF(ISNUMBER($G175),$G175,$F175)&gt;=DATE(PlanYear,12,1)),1,0))</f>
        <v>0</v>
      </c>
      <c r="AA175">
        <f>SUM($O175:$Z175)</f>
        <v>0</v>
      </c>
    </row>
    <row r="176" spans="1:27">
      <c r="A176" s="42">
        <f>IF($B176="","","ACT-"&amp;TEXT(ROW()-4,"000"))</f>
        <v>0</v>
      </c>
      <c r="M176" s="43">
        <f>IF(COUNTA($B176:$K176)=0,"",IF($B176="","Missing activity name",IF($C176="","Missing practice",IF(COUNTIF(PracticeNames,$C176)=0,"Practice not in Lists",IF($D176="","Missing motion",IF(NOT(ISNUMBER($F176)),"Missing or invalid start date",IF(AND(ISNUMBER($G176),$G176&lt;$F176),"End date before start",IF(AND($N176=1,$AA176=0),"Outside planning year","OK"))))))))</f>
        <v>0</v>
      </c>
      <c r="N176">
        <f>IF(AND($B176&lt;&gt;"",$C176&lt;&gt;"",$D176&lt;&gt;"",ISNUMBER($F176),COUNTIF(PracticeNames,$C176)&gt;0,COUNTIF(MotionNames,$D176)&gt;0,NOT(AND(ISNUMBER($G176),$G176&lt;$F176))),IF(StatusFilter="All (excl. Cancelled)",IF($H176="Cancelled",0,1),IF(StatusFilter="All",1,IF($H176=StatusFilter,1,0))),0)</f>
        <v>0</v>
      </c>
      <c r="O176">
        <f>IF($N176=0,0,IF(AND($F176&lt;=EOMONTH(DATE(PlanYear,1,1),0),IF(ISNUMBER($G176),$G176,$F176)&gt;=DATE(PlanYear,1,1)),1,0))</f>
        <v>0</v>
      </c>
      <c r="P176">
        <f>IF($N176=0,0,IF(AND($F176&lt;=EOMONTH(DATE(PlanYear,2,1),0),IF(ISNUMBER($G176),$G176,$F176)&gt;=DATE(PlanYear,2,1)),1,0))</f>
        <v>0</v>
      </c>
      <c r="Q176">
        <f>IF($N176=0,0,IF(AND($F176&lt;=EOMONTH(DATE(PlanYear,3,1),0),IF(ISNUMBER($G176),$G176,$F176)&gt;=DATE(PlanYear,3,1)),1,0))</f>
        <v>0</v>
      </c>
      <c r="R176">
        <f>IF($N176=0,0,IF(AND($F176&lt;=EOMONTH(DATE(PlanYear,4,1),0),IF(ISNUMBER($G176),$G176,$F176)&gt;=DATE(PlanYear,4,1)),1,0))</f>
        <v>0</v>
      </c>
      <c r="S176">
        <f>IF($N176=0,0,IF(AND($F176&lt;=EOMONTH(DATE(PlanYear,5,1),0),IF(ISNUMBER($G176),$G176,$F176)&gt;=DATE(PlanYear,5,1)),1,0))</f>
        <v>0</v>
      </c>
      <c r="T176">
        <f>IF($N176=0,0,IF(AND($F176&lt;=EOMONTH(DATE(PlanYear,6,1),0),IF(ISNUMBER($G176),$G176,$F176)&gt;=DATE(PlanYear,6,1)),1,0))</f>
        <v>0</v>
      </c>
      <c r="U176">
        <f>IF($N176=0,0,IF(AND($F176&lt;=EOMONTH(DATE(PlanYear,7,1),0),IF(ISNUMBER($G176),$G176,$F176)&gt;=DATE(PlanYear,7,1)),1,0))</f>
        <v>0</v>
      </c>
      <c r="V176">
        <f>IF($N176=0,0,IF(AND($F176&lt;=EOMONTH(DATE(PlanYear,8,1),0),IF(ISNUMBER($G176),$G176,$F176)&gt;=DATE(PlanYear,8,1)),1,0))</f>
        <v>0</v>
      </c>
      <c r="W176">
        <f>IF($N176=0,0,IF(AND($F176&lt;=EOMONTH(DATE(PlanYear,9,1),0),IF(ISNUMBER($G176),$G176,$F176)&gt;=DATE(PlanYear,9,1)),1,0))</f>
        <v>0</v>
      </c>
      <c r="X176">
        <f>IF($N176=0,0,IF(AND($F176&lt;=EOMONTH(DATE(PlanYear,10,1),0),IF(ISNUMBER($G176),$G176,$F176)&gt;=DATE(PlanYear,10,1)),1,0))</f>
        <v>0</v>
      </c>
      <c r="Y176">
        <f>IF($N176=0,0,IF(AND($F176&lt;=EOMONTH(DATE(PlanYear,11,1),0),IF(ISNUMBER($G176),$G176,$F176)&gt;=DATE(PlanYear,11,1)),1,0))</f>
        <v>0</v>
      </c>
      <c r="Z176">
        <f>IF($N176=0,0,IF(AND($F176&lt;=EOMONTH(DATE(PlanYear,12,1),0),IF(ISNUMBER($G176),$G176,$F176)&gt;=DATE(PlanYear,12,1)),1,0))</f>
        <v>0</v>
      </c>
      <c r="AA176">
        <f>SUM($O176:$Z176)</f>
        <v>0</v>
      </c>
    </row>
    <row r="177" spans="1:27">
      <c r="A177" s="42">
        <f>IF($B177="","","ACT-"&amp;TEXT(ROW()-4,"000"))</f>
        <v>0</v>
      </c>
      <c r="M177" s="43">
        <f>IF(COUNTA($B177:$K177)=0,"",IF($B177="","Missing activity name",IF($C177="","Missing practice",IF(COUNTIF(PracticeNames,$C177)=0,"Practice not in Lists",IF($D177="","Missing motion",IF(NOT(ISNUMBER($F177)),"Missing or invalid start date",IF(AND(ISNUMBER($G177),$G177&lt;$F177),"End date before start",IF(AND($N177=1,$AA177=0),"Outside planning year","OK"))))))))</f>
        <v>0</v>
      </c>
      <c r="N177">
        <f>IF(AND($B177&lt;&gt;"",$C177&lt;&gt;"",$D177&lt;&gt;"",ISNUMBER($F177),COUNTIF(PracticeNames,$C177)&gt;0,COUNTIF(MotionNames,$D177)&gt;0,NOT(AND(ISNUMBER($G177),$G177&lt;$F177))),IF(StatusFilter="All (excl. Cancelled)",IF($H177="Cancelled",0,1),IF(StatusFilter="All",1,IF($H177=StatusFilter,1,0))),0)</f>
        <v>0</v>
      </c>
      <c r="O177">
        <f>IF($N177=0,0,IF(AND($F177&lt;=EOMONTH(DATE(PlanYear,1,1),0),IF(ISNUMBER($G177),$G177,$F177)&gt;=DATE(PlanYear,1,1)),1,0))</f>
        <v>0</v>
      </c>
      <c r="P177">
        <f>IF($N177=0,0,IF(AND($F177&lt;=EOMONTH(DATE(PlanYear,2,1),0),IF(ISNUMBER($G177),$G177,$F177)&gt;=DATE(PlanYear,2,1)),1,0))</f>
        <v>0</v>
      </c>
      <c r="Q177">
        <f>IF($N177=0,0,IF(AND($F177&lt;=EOMONTH(DATE(PlanYear,3,1),0),IF(ISNUMBER($G177),$G177,$F177)&gt;=DATE(PlanYear,3,1)),1,0))</f>
        <v>0</v>
      </c>
      <c r="R177">
        <f>IF($N177=0,0,IF(AND($F177&lt;=EOMONTH(DATE(PlanYear,4,1),0),IF(ISNUMBER($G177),$G177,$F177)&gt;=DATE(PlanYear,4,1)),1,0))</f>
        <v>0</v>
      </c>
      <c r="S177">
        <f>IF($N177=0,0,IF(AND($F177&lt;=EOMONTH(DATE(PlanYear,5,1),0),IF(ISNUMBER($G177),$G177,$F177)&gt;=DATE(PlanYear,5,1)),1,0))</f>
        <v>0</v>
      </c>
      <c r="T177">
        <f>IF($N177=0,0,IF(AND($F177&lt;=EOMONTH(DATE(PlanYear,6,1),0),IF(ISNUMBER($G177),$G177,$F177)&gt;=DATE(PlanYear,6,1)),1,0))</f>
        <v>0</v>
      </c>
      <c r="U177">
        <f>IF($N177=0,0,IF(AND($F177&lt;=EOMONTH(DATE(PlanYear,7,1),0),IF(ISNUMBER($G177),$G177,$F177)&gt;=DATE(PlanYear,7,1)),1,0))</f>
        <v>0</v>
      </c>
      <c r="V177">
        <f>IF($N177=0,0,IF(AND($F177&lt;=EOMONTH(DATE(PlanYear,8,1),0),IF(ISNUMBER($G177),$G177,$F177)&gt;=DATE(PlanYear,8,1)),1,0))</f>
        <v>0</v>
      </c>
      <c r="W177">
        <f>IF($N177=0,0,IF(AND($F177&lt;=EOMONTH(DATE(PlanYear,9,1),0),IF(ISNUMBER($G177),$G177,$F177)&gt;=DATE(PlanYear,9,1)),1,0))</f>
        <v>0</v>
      </c>
      <c r="X177">
        <f>IF($N177=0,0,IF(AND($F177&lt;=EOMONTH(DATE(PlanYear,10,1),0),IF(ISNUMBER($G177),$G177,$F177)&gt;=DATE(PlanYear,10,1)),1,0))</f>
        <v>0</v>
      </c>
      <c r="Y177">
        <f>IF($N177=0,0,IF(AND($F177&lt;=EOMONTH(DATE(PlanYear,11,1),0),IF(ISNUMBER($G177),$G177,$F177)&gt;=DATE(PlanYear,11,1)),1,0))</f>
        <v>0</v>
      </c>
      <c r="Z177">
        <f>IF($N177=0,0,IF(AND($F177&lt;=EOMONTH(DATE(PlanYear,12,1),0),IF(ISNUMBER($G177),$G177,$F177)&gt;=DATE(PlanYear,12,1)),1,0))</f>
        <v>0</v>
      </c>
      <c r="AA177">
        <f>SUM($O177:$Z177)</f>
        <v>0</v>
      </c>
    </row>
    <row r="178" spans="1:27">
      <c r="A178" s="42">
        <f>IF($B178="","","ACT-"&amp;TEXT(ROW()-4,"000"))</f>
        <v>0</v>
      </c>
      <c r="M178" s="43">
        <f>IF(COUNTA($B178:$K178)=0,"",IF($B178="","Missing activity name",IF($C178="","Missing practice",IF(COUNTIF(PracticeNames,$C178)=0,"Practice not in Lists",IF($D178="","Missing motion",IF(NOT(ISNUMBER($F178)),"Missing or invalid start date",IF(AND(ISNUMBER($G178),$G178&lt;$F178),"End date before start",IF(AND($N178=1,$AA178=0),"Outside planning year","OK"))))))))</f>
        <v>0</v>
      </c>
      <c r="N178">
        <f>IF(AND($B178&lt;&gt;"",$C178&lt;&gt;"",$D178&lt;&gt;"",ISNUMBER($F178),COUNTIF(PracticeNames,$C178)&gt;0,COUNTIF(MotionNames,$D178)&gt;0,NOT(AND(ISNUMBER($G178),$G178&lt;$F178))),IF(StatusFilter="All (excl. Cancelled)",IF($H178="Cancelled",0,1),IF(StatusFilter="All",1,IF($H178=StatusFilter,1,0))),0)</f>
        <v>0</v>
      </c>
      <c r="O178">
        <f>IF($N178=0,0,IF(AND($F178&lt;=EOMONTH(DATE(PlanYear,1,1),0),IF(ISNUMBER($G178),$G178,$F178)&gt;=DATE(PlanYear,1,1)),1,0))</f>
        <v>0</v>
      </c>
      <c r="P178">
        <f>IF($N178=0,0,IF(AND($F178&lt;=EOMONTH(DATE(PlanYear,2,1),0),IF(ISNUMBER($G178),$G178,$F178)&gt;=DATE(PlanYear,2,1)),1,0))</f>
        <v>0</v>
      </c>
      <c r="Q178">
        <f>IF($N178=0,0,IF(AND($F178&lt;=EOMONTH(DATE(PlanYear,3,1),0),IF(ISNUMBER($G178),$G178,$F178)&gt;=DATE(PlanYear,3,1)),1,0))</f>
        <v>0</v>
      </c>
      <c r="R178">
        <f>IF($N178=0,0,IF(AND($F178&lt;=EOMONTH(DATE(PlanYear,4,1),0),IF(ISNUMBER($G178),$G178,$F178)&gt;=DATE(PlanYear,4,1)),1,0))</f>
        <v>0</v>
      </c>
      <c r="S178">
        <f>IF($N178=0,0,IF(AND($F178&lt;=EOMONTH(DATE(PlanYear,5,1),0),IF(ISNUMBER($G178),$G178,$F178)&gt;=DATE(PlanYear,5,1)),1,0))</f>
        <v>0</v>
      </c>
      <c r="T178">
        <f>IF($N178=0,0,IF(AND($F178&lt;=EOMONTH(DATE(PlanYear,6,1),0),IF(ISNUMBER($G178),$G178,$F178)&gt;=DATE(PlanYear,6,1)),1,0))</f>
        <v>0</v>
      </c>
      <c r="U178">
        <f>IF($N178=0,0,IF(AND($F178&lt;=EOMONTH(DATE(PlanYear,7,1),0),IF(ISNUMBER($G178),$G178,$F178)&gt;=DATE(PlanYear,7,1)),1,0))</f>
        <v>0</v>
      </c>
      <c r="V178">
        <f>IF($N178=0,0,IF(AND($F178&lt;=EOMONTH(DATE(PlanYear,8,1),0),IF(ISNUMBER($G178),$G178,$F178)&gt;=DATE(PlanYear,8,1)),1,0))</f>
        <v>0</v>
      </c>
      <c r="W178">
        <f>IF($N178=0,0,IF(AND($F178&lt;=EOMONTH(DATE(PlanYear,9,1),0),IF(ISNUMBER($G178),$G178,$F178)&gt;=DATE(PlanYear,9,1)),1,0))</f>
        <v>0</v>
      </c>
      <c r="X178">
        <f>IF($N178=0,0,IF(AND($F178&lt;=EOMONTH(DATE(PlanYear,10,1),0),IF(ISNUMBER($G178),$G178,$F178)&gt;=DATE(PlanYear,10,1)),1,0))</f>
        <v>0</v>
      </c>
      <c r="Y178">
        <f>IF($N178=0,0,IF(AND($F178&lt;=EOMONTH(DATE(PlanYear,11,1),0),IF(ISNUMBER($G178),$G178,$F178)&gt;=DATE(PlanYear,11,1)),1,0))</f>
        <v>0</v>
      </c>
      <c r="Z178">
        <f>IF($N178=0,0,IF(AND($F178&lt;=EOMONTH(DATE(PlanYear,12,1),0),IF(ISNUMBER($G178),$G178,$F178)&gt;=DATE(PlanYear,12,1)),1,0))</f>
        <v>0</v>
      </c>
      <c r="AA178">
        <f>SUM($O178:$Z178)</f>
        <v>0</v>
      </c>
    </row>
    <row r="179" spans="1:27">
      <c r="A179" s="42">
        <f>IF($B179="","","ACT-"&amp;TEXT(ROW()-4,"000"))</f>
        <v>0</v>
      </c>
      <c r="M179" s="43">
        <f>IF(COUNTA($B179:$K179)=0,"",IF($B179="","Missing activity name",IF($C179="","Missing practice",IF(COUNTIF(PracticeNames,$C179)=0,"Practice not in Lists",IF($D179="","Missing motion",IF(NOT(ISNUMBER($F179)),"Missing or invalid start date",IF(AND(ISNUMBER($G179),$G179&lt;$F179),"End date before start",IF(AND($N179=1,$AA179=0),"Outside planning year","OK"))))))))</f>
        <v>0</v>
      </c>
      <c r="N179">
        <f>IF(AND($B179&lt;&gt;"",$C179&lt;&gt;"",$D179&lt;&gt;"",ISNUMBER($F179),COUNTIF(PracticeNames,$C179)&gt;0,COUNTIF(MotionNames,$D179)&gt;0,NOT(AND(ISNUMBER($G179),$G179&lt;$F179))),IF(StatusFilter="All (excl. Cancelled)",IF($H179="Cancelled",0,1),IF(StatusFilter="All",1,IF($H179=StatusFilter,1,0))),0)</f>
        <v>0</v>
      </c>
      <c r="O179">
        <f>IF($N179=0,0,IF(AND($F179&lt;=EOMONTH(DATE(PlanYear,1,1),0),IF(ISNUMBER($G179),$G179,$F179)&gt;=DATE(PlanYear,1,1)),1,0))</f>
        <v>0</v>
      </c>
      <c r="P179">
        <f>IF($N179=0,0,IF(AND($F179&lt;=EOMONTH(DATE(PlanYear,2,1),0),IF(ISNUMBER($G179),$G179,$F179)&gt;=DATE(PlanYear,2,1)),1,0))</f>
        <v>0</v>
      </c>
      <c r="Q179">
        <f>IF($N179=0,0,IF(AND($F179&lt;=EOMONTH(DATE(PlanYear,3,1),0),IF(ISNUMBER($G179),$G179,$F179)&gt;=DATE(PlanYear,3,1)),1,0))</f>
        <v>0</v>
      </c>
      <c r="R179">
        <f>IF($N179=0,0,IF(AND($F179&lt;=EOMONTH(DATE(PlanYear,4,1),0),IF(ISNUMBER($G179),$G179,$F179)&gt;=DATE(PlanYear,4,1)),1,0))</f>
        <v>0</v>
      </c>
      <c r="S179">
        <f>IF($N179=0,0,IF(AND($F179&lt;=EOMONTH(DATE(PlanYear,5,1),0),IF(ISNUMBER($G179),$G179,$F179)&gt;=DATE(PlanYear,5,1)),1,0))</f>
        <v>0</v>
      </c>
      <c r="T179">
        <f>IF($N179=0,0,IF(AND($F179&lt;=EOMONTH(DATE(PlanYear,6,1),0),IF(ISNUMBER($G179),$G179,$F179)&gt;=DATE(PlanYear,6,1)),1,0))</f>
        <v>0</v>
      </c>
      <c r="U179">
        <f>IF($N179=0,0,IF(AND($F179&lt;=EOMONTH(DATE(PlanYear,7,1),0),IF(ISNUMBER($G179),$G179,$F179)&gt;=DATE(PlanYear,7,1)),1,0))</f>
        <v>0</v>
      </c>
      <c r="V179">
        <f>IF($N179=0,0,IF(AND($F179&lt;=EOMONTH(DATE(PlanYear,8,1),0),IF(ISNUMBER($G179),$G179,$F179)&gt;=DATE(PlanYear,8,1)),1,0))</f>
        <v>0</v>
      </c>
      <c r="W179">
        <f>IF($N179=0,0,IF(AND($F179&lt;=EOMONTH(DATE(PlanYear,9,1),0),IF(ISNUMBER($G179),$G179,$F179)&gt;=DATE(PlanYear,9,1)),1,0))</f>
        <v>0</v>
      </c>
      <c r="X179">
        <f>IF($N179=0,0,IF(AND($F179&lt;=EOMONTH(DATE(PlanYear,10,1),0),IF(ISNUMBER($G179),$G179,$F179)&gt;=DATE(PlanYear,10,1)),1,0))</f>
        <v>0</v>
      </c>
      <c r="Y179">
        <f>IF($N179=0,0,IF(AND($F179&lt;=EOMONTH(DATE(PlanYear,11,1),0),IF(ISNUMBER($G179),$G179,$F179)&gt;=DATE(PlanYear,11,1)),1,0))</f>
        <v>0</v>
      </c>
      <c r="Z179">
        <f>IF($N179=0,0,IF(AND($F179&lt;=EOMONTH(DATE(PlanYear,12,1),0),IF(ISNUMBER($G179),$G179,$F179)&gt;=DATE(PlanYear,12,1)),1,0))</f>
        <v>0</v>
      </c>
      <c r="AA179">
        <f>SUM($O179:$Z179)</f>
        <v>0</v>
      </c>
    </row>
    <row r="180" spans="1:27">
      <c r="A180" s="42">
        <f>IF($B180="","","ACT-"&amp;TEXT(ROW()-4,"000"))</f>
        <v>0</v>
      </c>
      <c r="M180" s="43">
        <f>IF(COUNTA($B180:$K180)=0,"",IF($B180="","Missing activity name",IF($C180="","Missing practice",IF(COUNTIF(PracticeNames,$C180)=0,"Practice not in Lists",IF($D180="","Missing motion",IF(NOT(ISNUMBER($F180)),"Missing or invalid start date",IF(AND(ISNUMBER($G180),$G180&lt;$F180),"End date before start",IF(AND($N180=1,$AA180=0),"Outside planning year","OK"))))))))</f>
        <v>0</v>
      </c>
      <c r="N180">
        <f>IF(AND($B180&lt;&gt;"",$C180&lt;&gt;"",$D180&lt;&gt;"",ISNUMBER($F180),COUNTIF(PracticeNames,$C180)&gt;0,COUNTIF(MotionNames,$D180)&gt;0,NOT(AND(ISNUMBER($G180),$G180&lt;$F180))),IF(StatusFilter="All (excl. Cancelled)",IF($H180="Cancelled",0,1),IF(StatusFilter="All",1,IF($H180=StatusFilter,1,0))),0)</f>
        <v>0</v>
      </c>
      <c r="O180">
        <f>IF($N180=0,0,IF(AND($F180&lt;=EOMONTH(DATE(PlanYear,1,1),0),IF(ISNUMBER($G180),$G180,$F180)&gt;=DATE(PlanYear,1,1)),1,0))</f>
        <v>0</v>
      </c>
      <c r="P180">
        <f>IF($N180=0,0,IF(AND($F180&lt;=EOMONTH(DATE(PlanYear,2,1),0),IF(ISNUMBER($G180),$G180,$F180)&gt;=DATE(PlanYear,2,1)),1,0))</f>
        <v>0</v>
      </c>
      <c r="Q180">
        <f>IF($N180=0,0,IF(AND($F180&lt;=EOMONTH(DATE(PlanYear,3,1),0),IF(ISNUMBER($G180),$G180,$F180)&gt;=DATE(PlanYear,3,1)),1,0))</f>
        <v>0</v>
      </c>
      <c r="R180">
        <f>IF($N180=0,0,IF(AND($F180&lt;=EOMONTH(DATE(PlanYear,4,1),0),IF(ISNUMBER($G180),$G180,$F180)&gt;=DATE(PlanYear,4,1)),1,0))</f>
        <v>0</v>
      </c>
      <c r="S180">
        <f>IF($N180=0,0,IF(AND($F180&lt;=EOMONTH(DATE(PlanYear,5,1),0),IF(ISNUMBER($G180),$G180,$F180)&gt;=DATE(PlanYear,5,1)),1,0))</f>
        <v>0</v>
      </c>
      <c r="T180">
        <f>IF($N180=0,0,IF(AND($F180&lt;=EOMONTH(DATE(PlanYear,6,1),0),IF(ISNUMBER($G180),$G180,$F180)&gt;=DATE(PlanYear,6,1)),1,0))</f>
        <v>0</v>
      </c>
      <c r="U180">
        <f>IF($N180=0,0,IF(AND($F180&lt;=EOMONTH(DATE(PlanYear,7,1),0),IF(ISNUMBER($G180),$G180,$F180)&gt;=DATE(PlanYear,7,1)),1,0))</f>
        <v>0</v>
      </c>
      <c r="V180">
        <f>IF($N180=0,0,IF(AND($F180&lt;=EOMONTH(DATE(PlanYear,8,1),0),IF(ISNUMBER($G180),$G180,$F180)&gt;=DATE(PlanYear,8,1)),1,0))</f>
        <v>0</v>
      </c>
      <c r="W180">
        <f>IF($N180=0,0,IF(AND($F180&lt;=EOMONTH(DATE(PlanYear,9,1),0),IF(ISNUMBER($G180),$G180,$F180)&gt;=DATE(PlanYear,9,1)),1,0))</f>
        <v>0</v>
      </c>
      <c r="X180">
        <f>IF($N180=0,0,IF(AND($F180&lt;=EOMONTH(DATE(PlanYear,10,1),0),IF(ISNUMBER($G180),$G180,$F180)&gt;=DATE(PlanYear,10,1)),1,0))</f>
        <v>0</v>
      </c>
      <c r="Y180">
        <f>IF($N180=0,0,IF(AND($F180&lt;=EOMONTH(DATE(PlanYear,11,1),0),IF(ISNUMBER($G180),$G180,$F180)&gt;=DATE(PlanYear,11,1)),1,0))</f>
        <v>0</v>
      </c>
      <c r="Z180">
        <f>IF($N180=0,0,IF(AND($F180&lt;=EOMONTH(DATE(PlanYear,12,1),0),IF(ISNUMBER($G180),$G180,$F180)&gt;=DATE(PlanYear,12,1)),1,0))</f>
        <v>0</v>
      </c>
      <c r="AA180">
        <f>SUM($O180:$Z180)</f>
        <v>0</v>
      </c>
    </row>
    <row r="181" spans="1:27">
      <c r="A181" s="42">
        <f>IF($B181="","","ACT-"&amp;TEXT(ROW()-4,"000"))</f>
        <v>0</v>
      </c>
      <c r="M181" s="43">
        <f>IF(COUNTA($B181:$K181)=0,"",IF($B181="","Missing activity name",IF($C181="","Missing practice",IF(COUNTIF(PracticeNames,$C181)=0,"Practice not in Lists",IF($D181="","Missing motion",IF(NOT(ISNUMBER($F181)),"Missing or invalid start date",IF(AND(ISNUMBER($G181),$G181&lt;$F181),"End date before start",IF(AND($N181=1,$AA181=0),"Outside planning year","OK"))))))))</f>
        <v>0</v>
      </c>
      <c r="N181">
        <f>IF(AND($B181&lt;&gt;"",$C181&lt;&gt;"",$D181&lt;&gt;"",ISNUMBER($F181),COUNTIF(PracticeNames,$C181)&gt;0,COUNTIF(MotionNames,$D181)&gt;0,NOT(AND(ISNUMBER($G181),$G181&lt;$F181))),IF(StatusFilter="All (excl. Cancelled)",IF($H181="Cancelled",0,1),IF(StatusFilter="All",1,IF($H181=StatusFilter,1,0))),0)</f>
        <v>0</v>
      </c>
      <c r="O181">
        <f>IF($N181=0,0,IF(AND($F181&lt;=EOMONTH(DATE(PlanYear,1,1),0),IF(ISNUMBER($G181),$G181,$F181)&gt;=DATE(PlanYear,1,1)),1,0))</f>
        <v>0</v>
      </c>
      <c r="P181">
        <f>IF($N181=0,0,IF(AND($F181&lt;=EOMONTH(DATE(PlanYear,2,1),0),IF(ISNUMBER($G181),$G181,$F181)&gt;=DATE(PlanYear,2,1)),1,0))</f>
        <v>0</v>
      </c>
      <c r="Q181">
        <f>IF($N181=0,0,IF(AND($F181&lt;=EOMONTH(DATE(PlanYear,3,1),0),IF(ISNUMBER($G181),$G181,$F181)&gt;=DATE(PlanYear,3,1)),1,0))</f>
        <v>0</v>
      </c>
      <c r="R181">
        <f>IF($N181=0,0,IF(AND($F181&lt;=EOMONTH(DATE(PlanYear,4,1),0),IF(ISNUMBER($G181),$G181,$F181)&gt;=DATE(PlanYear,4,1)),1,0))</f>
        <v>0</v>
      </c>
      <c r="S181">
        <f>IF($N181=0,0,IF(AND($F181&lt;=EOMONTH(DATE(PlanYear,5,1),0),IF(ISNUMBER($G181),$G181,$F181)&gt;=DATE(PlanYear,5,1)),1,0))</f>
        <v>0</v>
      </c>
      <c r="T181">
        <f>IF($N181=0,0,IF(AND($F181&lt;=EOMONTH(DATE(PlanYear,6,1),0),IF(ISNUMBER($G181),$G181,$F181)&gt;=DATE(PlanYear,6,1)),1,0))</f>
        <v>0</v>
      </c>
      <c r="U181">
        <f>IF($N181=0,0,IF(AND($F181&lt;=EOMONTH(DATE(PlanYear,7,1),0),IF(ISNUMBER($G181),$G181,$F181)&gt;=DATE(PlanYear,7,1)),1,0))</f>
        <v>0</v>
      </c>
      <c r="V181">
        <f>IF($N181=0,0,IF(AND($F181&lt;=EOMONTH(DATE(PlanYear,8,1),0),IF(ISNUMBER($G181),$G181,$F181)&gt;=DATE(PlanYear,8,1)),1,0))</f>
        <v>0</v>
      </c>
      <c r="W181">
        <f>IF($N181=0,0,IF(AND($F181&lt;=EOMONTH(DATE(PlanYear,9,1),0),IF(ISNUMBER($G181),$G181,$F181)&gt;=DATE(PlanYear,9,1)),1,0))</f>
        <v>0</v>
      </c>
      <c r="X181">
        <f>IF($N181=0,0,IF(AND($F181&lt;=EOMONTH(DATE(PlanYear,10,1),0),IF(ISNUMBER($G181),$G181,$F181)&gt;=DATE(PlanYear,10,1)),1,0))</f>
        <v>0</v>
      </c>
      <c r="Y181">
        <f>IF($N181=0,0,IF(AND($F181&lt;=EOMONTH(DATE(PlanYear,11,1),0),IF(ISNUMBER($G181),$G181,$F181)&gt;=DATE(PlanYear,11,1)),1,0))</f>
        <v>0</v>
      </c>
      <c r="Z181">
        <f>IF($N181=0,0,IF(AND($F181&lt;=EOMONTH(DATE(PlanYear,12,1),0),IF(ISNUMBER($G181),$G181,$F181)&gt;=DATE(PlanYear,12,1)),1,0))</f>
        <v>0</v>
      </c>
      <c r="AA181">
        <f>SUM($O181:$Z181)</f>
        <v>0</v>
      </c>
    </row>
    <row r="182" spans="1:27">
      <c r="A182" s="42">
        <f>IF($B182="","","ACT-"&amp;TEXT(ROW()-4,"000"))</f>
        <v>0</v>
      </c>
      <c r="M182" s="43">
        <f>IF(COUNTA($B182:$K182)=0,"",IF($B182="","Missing activity name",IF($C182="","Missing practice",IF(COUNTIF(PracticeNames,$C182)=0,"Practice not in Lists",IF($D182="","Missing motion",IF(NOT(ISNUMBER($F182)),"Missing or invalid start date",IF(AND(ISNUMBER($G182),$G182&lt;$F182),"End date before start",IF(AND($N182=1,$AA182=0),"Outside planning year","OK"))))))))</f>
        <v>0</v>
      </c>
      <c r="N182">
        <f>IF(AND($B182&lt;&gt;"",$C182&lt;&gt;"",$D182&lt;&gt;"",ISNUMBER($F182),COUNTIF(PracticeNames,$C182)&gt;0,COUNTIF(MotionNames,$D182)&gt;0,NOT(AND(ISNUMBER($G182),$G182&lt;$F182))),IF(StatusFilter="All (excl. Cancelled)",IF($H182="Cancelled",0,1),IF(StatusFilter="All",1,IF($H182=StatusFilter,1,0))),0)</f>
        <v>0</v>
      </c>
      <c r="O182">
        <f>IF($N182=0,0,IF(AND($F182&lt;=EOMONTH(DATE(PlanYear,1,1),0),IF(ISNUMBER($G182),$G182,$F182)&gt;=DATE(PlanYear,1,1)),1,0))</f>
        <v>0</v>
      </c>
      <c r="P182">
        <f>IF($N182=0,0,IF(AND($F182&lt;=EOMONTH(DATE(PlanYear,2,1),0),IF(ISNUMBER($G182),$G182,$F182)&gt;=DATE(PlanYear,2,1)),1,0))</f>
        <v>0</v>
      </c>
      <c r="Q182">
        <f>IF($N182=0,0,IF(AND($F182&lt;=EOMONTH(DATE(PlanYear,3,1),0),IF(ISNUMBER($G182),$G182,$F182)&gt;=DATE(PlanYear,3,1)),1,0))</f>
        <v>0</v>
      </c>
      <c r="R182">
        <f>IF($N182=0,0,IF(AND($F182&lt;=EOMONTH(DATE(PlanYear,4,1),0),IF(ISNUMBER($G182),$G182,$F182)&gt;=DATE(PlanYear,4,1)),1,0))</f>
        <v>0</v>
      </c>
      <c r="S182">
        <f>IF($N182=0,0,IF(AND($F182&lt;=EOMONTH(DATE(PlanYear,5,1),0),IF(ISNUMBER($G182),$G182,$F182)&gt;=DATE(PlanYear,5,1)),1,0))</f>
        <v>0</v>
      </c>
      <c r="T182">
        <f>IF($N182=0,0,IF(AND($F182&lt;=EOMONTH(DATE(PlanYear,6,1),0),IF(ISNUMBER($G182),$G182,$F182)&gt;=DATE(PlanYear,6,1)),1,0))</f>
        <v>0</v>
      </c>
      <c r="U182">
        <f>IF($N182=0,0,IF(AND($F182&lt;=EOMONTH(DATE(PlanYear,7,1),0),IF(ISNUMBER($G182),$G182,$F182)&gt;=DATE(PlanYear,7,1)),1,0))</f>
        <v>0</v>
      </c>
      <c r="V182">
        <f>IF($N182=0,0,IF(AND($F182&lt;=EOMONTH(DATE(PlanYear,8,1),0),IF(ISNUMBER($G182),$G182,$F182)&gt;=DATE(PlanYear,8,1)),1,0))</f>
        <v>0</v>
      </c>
      <c r="W182">
        <f>IF($N182=0,0,IF(AND($F182&lt;=EOMONTH(DATE(PlanYear,9,1),0),IF(ISNUMBER($G182),$G182,$F182)&gt;=DATE(PlanYear,9,1)),1,0))</f>
        <v>0</v>
      </c>
      <c r="X182">
        <f>IF($N182=0,0,IF(AND($F182&lt;=EOMONTH(DATE(PlanYear,10,1),0),IF(ISNUMBER($G182),$G182,$F182)&gt;=DATE(PlanYear,10,1)),1,0))</f>
        <v>0</v>
      </c>
      <c r="Y182">
        <f>IF($N182=0,0,IF(AND($F182&lt;=EOMONTH(DATE(PlanYear,11,1),0),IF(ISNUMBER($G182),$G182,$F182)&gt;=DATE(PlanYear,11,1)),1,0))</f>
        <v>0</v>
      </c>
      <c r="Z182">
        <f>IF($N182=0,0,IF(AND($F182&lt;=EOMONTH(DATE(PlanYear,12,1),0),IF(ISNUMBER($G182),$G182,$F182)&gt;=DATE(PlanYear,12,1)),1,0))</f>
        <v>0</v>
      </c>
      <c r="AA182">
        <f>SUM($O182:$Z182)</f>
        <v>0</v>
      </c>
    </row>
    <row r="183" spans="1:27">
      <c r="A183" s="42">
        <f>IF($B183="","","ACT-"&amp;TEXT(ROW()-4,"000"))</f>
        <v>0</v>
      </c>
      <c r="M183" s="43">
        <f>IF(COUNTA($B183:$K183)=0,"",IF($B183="","Missing activity name",IF($C183="","Missing practice",IF(COUNTIF(PracticeNames,$C183)=0,"Practice not in Lists",IF($D183="","Missing motion",IF(NOT(ISNUMBER($F183)),"Missing or invalid start date",IF(AND(ISNUMBER($G183),$G183&lt;$F183),"End date before start",IF(AND($N183=1,$AA183=0),"Outside planning year","OK"))))))))</f>
        <v>0</v>
      </c>
      <c r="N183">
        <f>IF(AND($B183&lt;&gt;"",$C183&lt;&gt;"",$D183&lt;&gt;"",ISNUMBER($F183),COUNTIF(PracticeNames,$C183)&gt;0,COUNTIF(MotionNames,$D183)&gt;0,NOT(AND(ISNUMBER($G183),$G183&lt;$F183))),IF(StatusFilter="All (excl. Cancelled)",IF($H183="Cancelled",0,1),IF(StatusFilter="All",1,IF($H183=StatusFilter,1,0))),0)</f>
        <v>0</v>
      </c>
      <c r="O183">
        <f>IF($N183=0,0,IF(AND($F183&lt;=EOMONTH(DATE(PlanYear,1,1),0),IF(ISNUMBER($G183),$G183,$F183)&gt;=DATE(PlanYear,1,1)),1,0))</f>
        <v>0</v>
      </c>
      <c r="P183">
        <f>IF($N183=0,0,IF(AND($F183&lt;=EOMONTH(DATE(PlanYear,2,1),0),IF(ISNUMBER($G183),$G183,$F183)&gt;=DATE(PlanYear,2,1)),1,0))</f>
        <v>0</v>
      </c>
      <c r="Q183">
        <f>IF($N183=0,0,IF(AND($F183&lt;=EOMONTH(DATE(PlanYear,3,1),0),IF(ISNUMBER($G183),$G183,$F183)&gt;=DATE(PlanYear,3,1)),1,0))</f>
        <v>0</v>
      </c>
      <c r="R183">
        <f>IF($N183=0,0,IF(AND($F183&lt;=EOMONTH(DATE(PlanYear,4,1),0),IF(ISNUMBER($G183),$G183,$F183)&gt;=DATE(PlanYear,4,1)),1,0))</f>
        <v>0</v>
      </c>
      <c r="S183">
        <f>IF($N183=0,0,IF(AND($F183&lt;=EOMONTH(DATE(PlanYear,5,1),0),IF(ISNUMBER($G183),$G183,$F183)&gt;=DATE(PlanYear,5,1)),1,0))</f>
        <v>0</v>
      </c>
      <c r="T183">
        <f>IF($N183=0,0,IF(AND($F183&lt;=EOMONTH(DATE(PlanYear,6,1),0),IF(ISNUMBER($G183),$G183,$F183)&gt;=DATE(PlanYear,6,1)),1,0))</f>
        <v>0</v>
      </c>
      <c r="U183">
        <f>IF($N183=0,0,IF(AND($F183&lt;=EOMONTH(DATE(PlanYear,7,1),0),IF(ISNUMBER($G183),$G183,$F183)&gt;=DATE(PlanYear,7,1)),1,0))</f>
        <v>0</v>
      </c>
      <c r="V183">
        <f>IF($N183=0,0,IF(AND($F183&lt;=EOMONTH(DATE(PlanYear,8,1),0),IF(ISNUMBER($G183),$G183,$F183)&gt;=DATE(PlanYear,8,1)),1,0))</f>
        <v>0</v>
      </c>
      <c r="W183">
        <f>IF($N183=0,0,IF(AND($F183&lt;=EOMONTH(DATE(PlanYear,9,1),0),IF(ISNUMBER($G183),$G183,$F183)&gt;=DATE(PlanYear,9,1)),1,0))</f>
        <v>0</v>
      </c>
      <c r="X183">
        <f>IF($N183=0,0,IF(AND($F183&lt;=EOMONTH(DATE(PlanYear,10,1),0),IF(ISNUMBER($G183),$G183,$F183)&gt;=DATE(PlanYear,10,1)),1,0))</f>
        <v>0</v>
      </c>
      <c r="Y183">
        <f>IF($N183=0,0,IF(AND($F183&lt;=EOMONTH(DATE(PlanYear,11,1),0),IF(ISNUMBER($G183),$G183,$F183)&gt;=DATE(PlanYear,11,1)),1,0))</f>
        <v>0</v>
      </c>
      <c r="Z183">
        <f>IF($N183=0,0,IF(AND($F183&lt;=EOMONTH(DATE(PlanYear,12,1),0),IF(ISNUMBER($G183),$G183,$F183)&gt;=DATE(PlanYear,12,1)),1,0))</f>
        <v>0</v>
      </c>
      <c r="AA183">
        <f>SUM($O183:$Z183)</f>
        <v>0</v>
      </c>
    </row>
    <row r="184" spans="1:27">
      <c r="A184" s="42">
        <f>IF($B184="","","ACT-"&amp;TEXT(ROW()-4,"000"))</f>
        <v>0</v>
      </c>
      <c r="M184" s="43">
        <f>IF(COUNTA($B184:$K184)=0,"",IF($B184="","Missing activity name",IF($C184="","Missing practice",IF(COUNTIF(PracticeNames,$C184)=0,"Practice not in Lists",IF($D184="","Missing motion",IF(NOT(ISNUMBER($F184)),"Missing or invalid start date",IF(AND(ISNUMBER($G184),$G184&lt;$F184),"End date before start",IF(AND($N184=1,$AA184=0),"Outside planning year","OK"))))))))</f>
        <v>0</v>
      </c>
      <c r="N184">
        <f>IF(AND($B184&lt;&gt;"",$C184&lt;&gt;"",$D184&lt;&gt;"",ISNUMBER($F184),COUNTIF(PracticeNames,$C184)&gt;0,COUNTIF(MotionNames,$D184)&gt;0,NOT(AND(ISNUMBER($G184),$G184&lt;$F184))),IF(StatusFilter="All (excl. Cancelled)",IF($H184="Cancelled",0,1),IF(StatusFilter="All",1,IF($H184=StatusFilter,1,0))),0)</f>
        <v>0</v>
      </c>
      <c r="O184">
        <f>IF($N184=0,0,IF(AND($F184&lt;=EOMONTH(DATE(PlanYear,1,1),0),IF(ISNUMBER($G184),$G184,$F184)&gt;=DATE(PlanYear,1,1)),1,0))</f>
        <v>0</v>
      </c>
      <c r="P184">
        <f>IF($N184=0,0,IF(AND($F184&lt;=EOMONTH(DATE(PlanYear,2,1),0),IF(ISNUMBER($G184),$G184,$F184)&gt;=DATE(PlanYear,2,1)),1,0))</f>
        <v>0</v>
      </c>
      <c r="Q184">
        <f>IF($N184=0,0,IF(AND($F184&lt;=EOMONTH(DATE(PlanYear,3,1),0),IF(ISNUMBER($G184),$G184,$F184)&gt;=DATE(PlanYear,3,1)),1,0))</f>
        <v>0</v>
      </c>
      <c r="R184">
        <f>IF($N184=0,0,IF(AND($F184&lt;=EOMONTH(DATE(PlanYear,4,1),0),IF(ISNUMBER($G184),$G184,$F184)&gt;=DATE(PlanYear,4,1)),1,0))</f>
        <v>0</v>
      </c>
      <c r="S184">
        <f>IF($N184=0,0,IF(AND($F184&lt;=EOMONTH(DATE(PlanYear,5,1),0),IF(ISNUMBER($G184),$G184,$F184)&gt;=DATE(PlanYear,5,1)),1,0))</f>
        <v>0</v>
      </c>
      <c r="T184">
        <f>IF($N184=0,0,IF(AND($F184&lt;=EOMONTH(DATE(PlanYear,6,1),0),IF(ISNUMBER($G184),$G184,$F184)&gt;=DATE(PlanYear,6,1)),1,0))</f>
        <v>0</v>
      </c>
      <c r="U184">
        <f>IF($N184=0,0,IF(AND($F184&lt;=EOMONTH(DATE(PlanYear,7,1),0),IF(ISNUMBER($G184),$G184,$F184)&gt;=DATE(PlanYear,7,1)),1,0))</f>
        <v>0</v>
      </c>
      <c r="V184">
        <f>IF($N184=0,0,IF(AND($F184&lt;=EOMONTH(DATE(PlanYear,8,1),0),IF(ISNUMBER($G184),$G184,$F184)&gt;=DATE(PlanYear,8,1)),1,0))</f>
        <v>0</v>
      </c>
      <c r="W184">
        <f>IF($N184=0,0,IF(AND($F184&lt;=EOMONTH(DATE(PlanYear,9,1),0),IF(ISNUMBER($G184),$G184,$F184)&gt;=DATE(PlanYear,9,1)),1,0))</f>
        <v>0</v>
      </c>
      <c r="X184">
        <f>IF($N184=0,0,IF(AND($F184&lt;=EOMONTH(DATE(PlanYear,10,1),0),IF(ISNUMBER($G184),$G184,$F184)&gt;=DATE(PlanYear,10,1)),1,0))</f>
        <v>0</v>
      </c>
      <c r="Y184">
        <f>IF($N184=0,0,IF(AND($F184&lt;=EOMONTH(DATE(PlanYear,11,1),0),IF(ISNUMBER($G184),$G184,$F184)&gt;=DATE(PlanYear,11,1)),1,0))</f>
        <v>0</v>
      </c>
      <c r="Z184">
        <f>IF($N184=0,0,IF(AND($F184&lt;=EOMONTH(DATE(PlanYear,12,1),0),IF(ISNUMBER($G184),$G184,$F184)&gt;=DATE(PlanYear,12,1)),1,0))</f>
        <v>0</v>
      </c>
      <c r="AA184">
        <f>SUM($O184:$Z184)</f>
        <v>0</v>
      </c>
    </row>
    <row r="185" spans="1:27">
      <c r="A185" s="42">
        <f>IF($B185="","","ACT-"&amp;TEXT(ROW()-4,"000"))</f>
        <v>0</v>
      </c>
      <c r="M185" s="43">
        <f>IF(COUNTA($B185:$K185)=0,"",IF($B185="","Missing activity name",IF($C185="","Missing practice",IF(COUNTIF(PracticeNames,$C185)=0,"Practice not in Lists",IF($D185="","Missing motion",IF(NOT(ISNUMBER($F185)),"Missing or invalid start date",IF(AND(ISNUMBER($G185),$G185&lt;$F185),"End date before start",IF(AND($N185=1,$AA185=0),"Outside planning year","OK"))))))))</f>
        <v>0</v>
      </c>
      <c r="N185">
        <f>IF(AND($B185&lt;&gt;"",$C185&lt;&gt;"",$D185&lt;&gt;"",ISNUMBER($F185),COUNTIF(PracticeNames,$C185)&gt;0,COUNTIF(MotionNames,$D185)&gt;0,NOT(AND(ISNUMBER($G185),$G185&lt;$F185))),IF(StatusFilter="All (excl. Cancelled)",IF($H185="Cancelled",0,1),IF(StatusFilter="All",1,IF($H185=StatusFilter,1,0))),0)</f>
        <v>0</v>
      </c>
      <c r="O185">
        <f>IF($N185=0,0,IF(AND($F185&lt;=EOMONTH(DATE(PlanYear,1,1),0),IF(ISNUMBER($G185),$G185,$F185)&gt;=DATE(PlanYear,1,1)),1,0))</f>
        <v>0</v>
      </c>
      <c r="P185">
        <f>IF($N185=0,0,IF(AND($F185&lt;=EOMONTH(DATE(PlanYear,2,1),0),IF(ISNUMBER($G185),$G185,$F185)&gt;=DATE(PlanYear,2,1)),1,0))</f>
        <v>0</v>
      </c>
      <c r="Q185">
        <f>IF($N185=0,0,IF(AND($F185&lt;=EOMONTH(DATE(PlanYear,3,1),0),IF(ISNUMBER($G185),$G185,$F185)&gt;=DATE(PlanYear,3,1)),1,0))</f>
        <v>0</v>
      </c>
      <c r="R185">
        <f>IF($N185=0,0,IF(AND($F185&lt;=EOMONTH(DATE(PlanYear,4,1),0),IF(ISNUMBER($G185),$G185,$F185)&gt;=DATE(PlanYear,4,1)),1,0))</f>
        <v>0</v>
      </c>
      <c r="S185">
        <f>IF($N185=0,0,IF(AND($F185&lt;=EOMONTH(DATE(PlanYear,5,1),0),IF(ISNUMBER($G185),$G185,$F185)&gt;=DATE(PlanYear,5,1)),1,0))</f>
        <v>0</v>
      </c>
      <c r="T185">
        <f>IF($N185=0,0,IF(AND($F185&lt;=EOMONTH(DATE(PlanYear,6,1),0),IF(ISNUMBER($G185),$G185,$F185)&gt;=DATE(PlanYear,6,1)),1,0))</f>
        <v>0</v>
      </c>
      <c r="U185">
        <f>IF($N185=0,0,IF(AND($F185&lt;=EOMONTH(DATE(PlanYear,7,1),0),IF(ISNUMBER($G185),$G185,$F185)&gt;=DATE(PlanYear,7,1)),1,0))</f>
        <v>0</v>
      </c>
      <c r="V185">
        <f>IF($N185=0,0,IF(AND($F185&lt;=EOMONTH(DATE(PlanYear,8,1),0),IF(ISNUMBER($G185),$G185,$F185)&gt;=DATE(PlanYear,8,1)),1,0))</f>
        <v>0</v>
      </c>
      <c r="W185">
        <f>IF($N185=0,0,IF(AND($F185&lt;=EOMONTH(DATE(PlanYear,9,1),0),IF(ISNUMBER($G185),$G185,$F185)&gt;=DATE(PlanYear,9,1)),1,0))</f>
        <v>0</v>
      </c>
      <c r="X185">
        <f>IF($N185=0,0,IF(AND($F185&lt;=EOMONTH(DATE(PlanYear,10,1),0),IF(ISNUMBER($G185),$G185,$F185)&gt;=DATE(PlanYear,10,1)),1,0))</f>
        <v>0</v>
      </c>
      <c r="Y185">
        <f>IF($N185=0,0,IF(AND($F185&lt;=EOMONTH(DATE(PlanYear,11,1),0),IF(ISNUMBER($G185),$G185,$F185)&gt;=DATE(PlanYear,11,1)),1,0))</f>
        <v>0</v>
      </c>
      <c r="Z185">
        <f>IF($N185=0,0,IF(AND($F185&lt;=EOMONTH(DATE(PlanYear,12,1),0),IF(ISNUMBER($G185),$G185,$F185)&gt;=DATE(PlanYear,12,1)),1,0))</f>
        <v>0</v>
      </c>
      <c r="AA185">
        <f>SUM($O185:$Z185)</f>
        <v>0</v>
      </c>
    </row>
    <row r="186" spans="1:27">
      <c r="A186" s="42">
        <f>IF($B186="","","ACT-"&amp;TEXT(ROW()-4,"000"))</f>
        <v>0</v>
      </c>
      <c r="M186" s="43">
        <f>IF(COUNTA($B186:$K186)=0,"",IF($B186="","Missing activity name",IF($C186="","Missing practice",IF(COUNTIF(PracticeNames,$C186)=0,"Practice not in Lists",IF($D186="","Missing motion",IF(NOT(ISNUMBER($F186)),"Missing or invalid start date",IF(AND(ISNUMBER($G186),$G186&lt;$F186),"End date before start",IF(AND($N186=1,$AA186=0),"Outside planning year","OK"))))))))</f>
        <v>0</v>
      </c>
      <c r="N186">
        <f>IF(AND($B186&lt;&gt;"",$C186&lt;&gt;"",$D186&lt;&gt;"",ISNUMBER($F186),COUNTIF(PracticeNames,$C186)&gt;0,COUNTIF(MotionNames,$D186)&gt;0,NOT(AND(ISNUMBER($G186),$G186&lt;$F186))),IF(StatusFilter="All (excl. Cancelled)",IF($H186="Cancelled",0,1),IF(StatusFilter="All",1,IF($H186=StatusFilter,1,0))),0)</f>
        <v>0</v>
      </c>
      <c r="O186">
        <f>IF($N186=0,0,IF(AND($F186&lt;=EOMONTH(DATE(PlanYear,1,1),0),IF(ISNUMBER($G186),$G186,$F186)&gt;=DATE(PlanYear,1,1)),1,0))</f>
        <v>0</v>
      </c>
      <c r="P186">
        <f>IF($N186=0,0,IF(AND($F186&lt;=EOMONTH(DATE(PlanYear,2,1),0),IF(ISNUMBER($G186),$G186,$F186)&gt;=DATE(PlanYear,2,1)),1,0))</f>
        <v>0</v>
      </c>
      <c r="Q186">
        <f>IF($N186=0,0,IF(AND($F186&lt;=EOMONTH(DATE(PlanYear,3,1),0),IF(ISNUMBER($G186),$G186,$F186)&gt;=DATE(PlanYear,3,1)),1,0))</f>
        <v>0</v>
      </c>
      <c r="R186">
        <f>IF($N186=0,0,IF(AND($F186&lt;=EOMONTH(DATE(PlanYear,4,1),0),IF(ISNUMBER($G186),$G186,$F186)&gt;=DATE(PlanYear,4,1)),1,0))</f>
        <v>0</v>
      </c>
      <c r="S186">
        <f>IF($N186=0,0,IF(AND($F186&lt;=EOMONTH(DATE(PlanYear,5,1),0),IF(ISNUMBER($G186),$G186,$F186)&gt;=DATE(PlanYear,5,1)),1,0))</f>
        <v>0</v>
      </c>
      <c r="T186">
        <f>IF($N186=0,0,IF(AND($F186&lt;=EOMONTH(DATE(PlanYear,6,1),0),IF(ISNUMBER($G186),$G186,$F186)&gt;=DATE(PlanYear,6,1)),1,0))</f>
        <v>0</v>
      </c>
      <c r="U186">
        <f>IF($N186=0,0,IF(AND($F186&lt;=EOMONTH(DATE(PlanYear,7,1),0),IF(ISNUMBER($G186),$G186,$F186)&gt;=DATE(PlanYear,7,1)),1,0))</f>
        <v>0</v>
      </c>
      <c r="V186">
        <f>IF($N186=0,0,IF(AND($F186&lt;=EOMONTH(DATE(PlanYear,8,1),0),IF(ISNUMBER($G186),$G186,$F186)&gt;=DATE(PlanYear,8,1)),1,0))</f>
        <v>0</v>
      </c>
      <c r="W186">
        <f>IF($N186=0,0,IF(AND($F186&lt;=EOMONTH(DATE(PlanYear,9,1),0),IF(ISNUMBER($G186),$G186,$F186)&gt;=DATE(PlanYear,9,1)),1,0))</f>
        <v>0</v>
      </c>
      <c r="X186">
        <f>IF($N186=0,0,IF(AND($F186&lt;=EOMONTH(DATE(PlanYear,10,1),0),IF(ISNUMBER($G186),$G186,$F186)&gt;=DATE(PlanYear,10,1)),1,0))</f>
        <v>0</v>
      </c>
      <c r="Y186">
        <f>IF($N186=0,0,IF(AND($F186&lt;=EOMONTH(DATE(PlanYear,11,1),0),IF(ISNUMBER($G186),$G186,$F186)&gt;=DATE(PlanYear,11,1)),1,0))</f>
        <v>0</v>
      </c>
      <c r="Z186">
        <f>IF($N186=0,0,IF(AND($F186&lt;=EOMONTH(DATE(PlanYear,12,1),0),IF(ISNUMBER($G186),$G186,$F186)&gt;=DATE(PlanYear,12,1)),1,0))</f>
        <v>0</v>
      </c>
      <c r="AA186">
        <f>SUM($O186:$Z186)</f>
        <v>0</v>
      </c>
    </row>
    <row r="187" spans="1:27">
      <c r="A187" s="42">
        <f>IF($B187="","","ACT-"&amp;TEXT(ROW()-4,"000"))</f>
        <v>0</v>
      </c>
      <c r="M187" s="43">
        <f>IF(COUNTA($B187:$K187)=0,"",IF($B187="","Missing activity name",IF($C187="","Missing practice",IF(COUNTIF(PracticeNames,$C187)=0,"Practice not in Lists",IF($D187="","Missing motion",IF(NOT(ISNUMBER($F187)),"Missing or invalid start date",IF(AND(ISNUMBER($G187),$G187&lt;$F187),"End date before start",IF(AND($N187=1,$AA187=0),"Outside planning year","OK"))))))))</f>
        <v>0</v>
      </c>
      <c r="N187">
        <f>IF(AND($B187&lt;&gt;"",$C187&lt;&gt;"",$D187&lt;&gt;"",ISNUMBER($F187),COUNTIF(PracticeNames,$C187)&gt;0,COUNTIF(MotionNames,$D187)&gt;0,NOT(AND(ISNUMBER($G187),$G187&lt;$F187))),IF(StatusFilter="All (excl. Cancelled)",IF($H187="Cancelled",0,1),IF(StatusFilter="All",1,IF($H187=StatusFilter,1,0))),0)</f>
        <v>0</v>
      </c>
      <c r="O187">
        <f>IF($N187=0,0,IF(AND($F187&lt;=EOMONTH(DATE(PlanYear,1,1),0),IF(ISNUMBER($G187),$G187,$F187)&gt;=DATE(PlanYear,1,1)),1,0))</f>
        <v>0</v>
      </c>
      <c r="P187">
        <f>IF($N187=0,0,IF(AND($F187&lt;=EOMONTH(DATE(PlanYear,2,1),0),IF(ISNUMBER($G187),$G187,$F187)&gt;=DATE(PlanYear,2,1)),1,0))</f>
        <v>0</v>
      </c>
      <c r="Q187">
        <f>IF($N187=0,0,IF(AND($F187&lt;=EOMONTH(DATE(PlanYear,3,1),0),IF(ISNUMBER($G187),$G187,$F187)&gt;=DATE(PlanYear,3,1)),1,0))</f>
        <v>0</v>
      </c>
      <c r="R187">
        <f>IF($N187=0,0,IF(AND($F187&lt;=EOMONTH(DATE(PlanYear,4,1),0),IF(ISNUMBER($G187),$G187,$F187)&gt;=DATE(PlanYear,4,1)),1,0))</f>
        <v>0</v>
      </c>
      <c r="S187">
        <f>IF($N187=0,0,IF(AND($F187&lt;=EOMONTH(DATE(PlanYear,5,1),0),IF(ISNUMBER($G187),$G187,$F187)&gt;=DATE(PlanYear,5,1)),1,0))</f>
        <v>0</v>
      </c>
      <c r="T187">
        <f>IF($N187=0,0,IF(AND($F187&lt;=EOMONTH(DATE(PlanYear,6,1),0),IF(ISNUMBER($G187),$G187,$F187)&gt;=DATE(PlanYear,6,1)),1,0))</f>
        <v>0</v>
      </c>
      <c r="U187">
        <f>IF($N187=0,0,IF(AND($F187&lt;=EOMONTH(DATE(PlanYear,7,1),0),IF(ISNUMBER($G187),$G187,$F187)&gt;=DATE(PlanYear,7,1)),1,0))</f>
        <v>0</v>
      </c>
      <c r="V187">
        <f>IF($N187=0,0,IF(AND($F187&lt;=EOMONTH(DATE(PlanYear,8,1),0),IF(ISNUMBER($G187),$G187,$F187)&gt;=DATE(PlanYear,8,1)),1,0))</f>
        <v>0</v>
      </c>
      <c r="W187">
        <f>IF($N187=0,0,IF(AND($F187&lt;=EOMONTH(DATE(PlanYear,9,1),0),IF(ISNUMBER($G187),$G187,$F187)&gt;=DATE(PlanYear,9,1)),1,0))</f>
        <v>0</v>
      </c>
      <c r="X187">
        <f>IF($N187=0,0,IF(AND($F187&lt;=EOMONTH(DATE(PlanYear,10,1),0),IF(ISNUMBER($G187),$G187,$F187)&gt;=DATE(PlanYear,10,1)),1,0))</f>
        <v>0</v>
      </c>
      <c r="Y187">
        <f>IF($N187=0,0,IF(AND($F187&lt;=EOMONTH(DATE(PlanYear,11,1),0),IF(ISNUMBER($G187),$G187,$F187)&gt;=DATE(PlanYear,11,1)),1,0))</f>
        <v>0</v>
      </c>
      <c r="Z187">
        <f>IF($N187=0,0,IF(AND($F187&lt;=EOMONTH(DATE(PlanYear,12,1),0),IF(ISNUMBER($G187),$G187,$F187)&gt;=DATE(PlanYear,12,1)),1,0))</f>
        <v>0</v>
      </c>
      <c r="AA187">
        <f>SUM($O187:$Z187)</f>
        <v>0</v>
      </c>
    </row>
    <row r="188" spans="1:27">
      <c r="A188" s="42">
        <f>IF($B188="","","ACT-"&amp;TEXT(ROW()-4,"000"))</f>
        <v>0</v>
      </c>
      <c r="M188" s="43">
        <f>IF(COUNTA($B188:$K188)=0,"",IF($B188="","Missing activity name",IF($C188="","Missing practice",IF(COUNTIF(PracticeNames,$C188)=0,"Practice not in Lists",IF($D188="","Missing motion",IF(NOT(ISNUMBER($F188)),"Missing or invalid start date",IF(AND(ISNUMBER($G188),$G188&lt;$F188),"End date before start",IF(AND($N188=1,$AA188=0),"Outside planning year","OK"))))))))</f>
        <v>0</v>
      </c>
      <c r="N188">
        <f>IF(AND($B188&lt;&gt;"",$C188&lt;&gt;"",$D188&lt;&gt;"",ISNUMBER($F188),COUNTIF(PracticeNames,$C188)&gt;0,COUNTIF(MotionNames,$D188)&gt;0,NOT(AND(ISNUMBER($G188),$G188&lt;$F188))),IF(StatusFilter="All (excl. Cancelled)",IF($H188="Cancelled",0,1),IF(StatusFilter="All",1,IF($H188=StatusFilter,1,0))),0)</f>
        <v>0</v>
      </c>
      <c r="O188">
        <f>IF($N188=0,0,IF(AND($F188&lt;=EOMONTH(DATE(PlanYear,1,1),0),IF(ISNUMBER($G188),$G188,$F188)&gt;=DATE(PlanYear,1,1)),1,0))</f>
        <v>0</v>
      </c>
      <c r="P188">
        <f>IF($N188=0,0,IF(AND($F188&lt;=EOMONTH(DATE(PlanYear,2,1),0),IF(ISNUMBER($G188),$G188,$F188)&gt;=DATE(PlanYear,2,1)),1,0))</f>
        <v>0</v>
      </c>
      <c r="Q188">
        <f>IF($N188=0,0,IF(AND($F188&lt;=EOMONTH(DATE(PlanYear,3,1),0),IF(ISNUMBER($G188),$G188,$F188)&gt;=DATE(PlanYear,3,1)),1,0))</f>
        <v>0</v>
      </c>
      <c r="R188">
        <f>IF($N188=0,0,IF(AND($F188&lt;=EOMONTH(DATE(PlanYear,4,1),0),IF(ISNUMBER($G188),$G188,$F188)&gt;=DATE(PlanYear,4,1)),1,0))</f>
        <v>0</v>
      </c>
      <c r="S188">
        <f>IF($N188=0,0,IF(AND($F188&lt;=EOMONTH(DATE(PlanYear,5,1),0),IF(ISNUMBER($G188),$G188,$F188)&gt;=DATE(PlanYear,5,1)),1,0))</f>
        <v>0</v>
      </c>
      <c r="T188">
        <f>IF($N188=0,0,IF(AND($F188&lt;=EOMONTH(DATE(PlanYear,6,1),0),IF(ISNUMBER($G188),$G188,$F188)&gt;=DATE(PlanYear,6,1)),1,0))</f>
        <v>0</v>
      </c>
      <c r="U188">
        <f>IF($N188=0,0,IF(AND($F188&lt;=EOMONTH(DATE(PlanYear,7,1),0),IF(ISNUMBER($G188),$G188,$F188)&gt;=DATE(PlanYear,7,1)),1,0))</f>
        <v>0</v>
      </c>
      <c r="V188">
        <f>IF($N188=0,0,IF(AND($F188&lt;=EOMONTH(DATE(PlanYear,8,1),0),IF(ISNUMBER($G188),$G188,$F188)&gt;=DATE(PlanYear,8,1)),1,0))</f>
        <v>0</v>
      </c>
      <c r="W188">
        <f>IF($N188=0,0,IF(AND($F188&lt;=EOMONTH(DATE(PlanYear,9,1),0),IF(ISNUMBER($G188),$G188,$F188)&gt;=DATE(PlanYear,9,1)),1,0))</f>
        <v>0</v>
      </c>
      <c r="X188">
        <f>IF($N188=0,0,IF(AND($F188&lt;=EOMONTH(DATE(PlanYear,10,1),0),IF(ISNUMBER($G188),$G188,$F188)&gt;=DATE(PlanYear,10,1)),1,0))</f>
        <v>0</v>
      </c>
      <c r="Y188">
        <f>IF($N188=0,0,IF(AND($F188&lt;=EOMONTH(DATE(PlanYear,11,1),0),IF(ISNUMBER($G188),$G188,$F188)&gt;=DATE(PlanYear,11,1)),1,0))</f>
        <v>0</v>
      </c>
      <c r="Z188">
        <f>IF($N188=0,0,IF(AND($F188&lt;=EOMONTH(DATE(PlanYear,12,1),0),IF(ISNUMBER($G188),$G188,$F188)&gt;=DATE(PlanYear,12,1)),1,0))</f>
        <v>0</v>
      </c>
      <c r="AA188">
        <f>SUM($O188:$Z188)</f>
        <v>0</v>
      </c>
    </row>
    <row r="189" spans="1:27">
      <c r="A189" s="42">
        <f>IF($B189="","","ACT-"&amp;TEXT(ROW()-4,"000"))</f>
        <v>0</v>
      </c>
      <c r="M189" s="43">
        <f>IF(COUNTA($B189:$K189)=0,"",IF($B189="","Missing activity name",IF($C189="","Missing practice",IF(COUNTIF(PracticeNames,$C189)=0,"Practice not in Lists",IF($D189="","Missing motion",IF(NOT(ISNUMBER($F189)),"Missing or invalid start date",IF(AND(ISNUMBER($G189),$G189&lt;$F189),"End date before start",IF(AND($N189=1,$AA189=0),"Outside planning year","OK"))))))))</f>
        <v>0</v>
      </c>
      <c r="N189">
        <f>IF(AND($B189&lt;&gt;"",$C189&lt;&gt;"",$D189&lt;&gt;"",ISNUMBER($F189),COUNTIF(PracticeNames,$C189)&gt;0,COUNTIF(MotionNames,$D189)&gt;0,NOT(AND(ISNUMBER($G189),$G189&lt;$F189))),IF(StatusFilter="All (excl. Cancelled)",IF($H189="Cancelled",0,1),IF(StatusFilter="All",1,IF($H189=StatusFilter,1,0))),0)</f>
        <v>0</v>
      </c>
      <c r="O189">
        <f>IF($N189=0,0,IF(AND($F189&lt;=EOMONTH(DATE(PlanYear,1,1),0),IF(ISNUMBER($G189),$G189,$F189)&gt;=DATE(PlanYear,1,1)),1,0))</f>
        <v>0</v>
      </c>
      <c r="P189">
        <f>IF($N189=0,0,IF(AND($F189&lt;=EOMONTH(DATE(PlanYear,2,1),0),IF(ISNUMBER($G189),$G189,$F189)&gt;=DATE(PlanYear,2,1)),1,0))</f>
        <v>0</v>
      </c>
      <c r="Q189">
        <f>IF($N189=0,0,IF(AND($F189&lt;=EOMONTH(DATE(PlanYear,3,1),0),IF(ISNUMBER($G189),$G189,$F189)&gt;=DATE(PlanYear,3,1)),1,0))</f>
        <v>0</v>
      </c>
      <c r="R189">
        <f>IF($N189=0,0,IF(AND($F189&lt;=EOMONTH(DATE(PlanYear,4,1),0),IF(ISNUMBER($G189),$G189,$F189)&gt;=DATE(PlanYear,4,1)),1,0))</f>
        <v>0</v>
      </c>
      <c r="S189">
        <f>IF($N189=0,0,IF(AND($F189&lt;=EOMONTH(DATE(PlanYear,5,1),0),IF(ISNUMBER($G189),$G189,$F189)&gt;=DATE(PlanYear,5,1)),1,0))</f>
        <v>0</v>
      </c>
      <c r="T189">
        <f>IF($N189=0,0,IF(AND($F189&lt;=EOMONTH(DATE(PlanYear,6,1),0),IF(ISNUMBER($G189),$G189,$F189)&gt;=DATE(PlanYear,6,1)),1,0))</f>
        <v>0</v>
      </c>
      <c r="U189">
        <f>IF($N189=0,0,IF(AND($F189&lt;=EOMONTH(DATE(PlanYear,7,1),0),IF(ISNUMBER($G189),$G189,$F189)&gt;=DATE(PlanYear,7,1)),1,0))</f>
        <v>0</v>
      </c>
      <c r="V189">
        <f>IF($N189=0,0,IF(AND($F189&lt;=EOMONTH(DATE(PlanYear,8,1),0),IF(ISNUMBER($G189),$G189,$F189)&gt;=DATE(PlanYear,8,1)),1,0))</f>
        <v>0</v>
      </c>
      <c r="W189">
        <f>IF($N189=0,0,IF(AND($F189&lt;=EOMONTH(DATE(PlanYear,9,1),0),IF(ISNUMBER($G189),$G189,$F189)&gt;=DATE(PlanYear,9,1)),1,0))</f>
        <v>0</v>
      </c>
      <c r="X189">
        <f>IF($N189=0,0,IF(AND($F189&lt;=EOMONTH(DATE(PlanYear,10,1),0),IF(ISNUMBER($G189),$G189,$F189)&gt;=DATE(PlanYear,10,1)),1,0))</f>
        <v>0</v>
      </c>
      <c r="Y189">
        <f>IF($N189=0,0,IF(AND($F189&lt;=EOMONTH(DATE(PlanYear,11,1),0),IF(ISNUMBER($G189),$G189,$F189)&gt;=DATE(PlanYear,11,1)),1,0))</f>
        <v>0</v>
      </c>
      <c r="Z189">
        <f>IF($N189=0,0,IF(AND($F189&lt;=EOMONTH(DATE(PlanYear,12,1),0),IF(ISNUMBER($G189),$G189,$F189)&gt;=DATE(PlanYear,12,1)),1,0))</f>
        <v>0</v>
      </c>
      <c r="AA189">
        <f>SUM($O189:$Z189)</f>
        <v>0</v>
      </c>
    </row>
    <row r="190" spans="1:27">
      <c r="A190" s="42">
        <f>IF($B190="","","ACT-"&amp;TEXT(ROW()-4,"000"))</f>
        <v>0</v>
      </c>
      <c r="M190" s="43">
        <f>IF(COUNTA($B190:$K190)=0,"",IF($B190="","Missing activity name",IF($C190="","Missing practice",IF(COUNTIF(PracticeNames,$C190)=0,"Practice not in Lists",IF($D190="","Missing motion",IF(NOT(ISNUMBER($F190)),"Missing or invalid start date",IF(AND(ISNUMBER($G190),$G190&lt;$F190),"End date before start",IF(AND($N190=1,$AA190=0),"Outside planning year","OK"))))))))</f>
        <v>0</v>
      </c>
      <c r="N190">
        <f>IF(AND($B190&lt;&gt;"",$C190&lt;&gt;"",$D190&lt;&gt;"",ISNUMBER($F190),COUNTIF(PracticeNames,$C190)&gt;0,COUNTIF(MotionNames,$D190)&gt;0,NOT(AND(ISNUMBER($G190),$G190&lt;$F190))),IF(StatusFilter="All (excl. Cancelled)",IF($H190="Cancelled",0,1),IF(StatusFilter="All",1,IF($H190=StatusFilter,1,0))),0)</f>
        <v>0</v>
      </c>
      <c r="O190">
        <f>IF($N190=0,0,IF(AND($F190&lt;=EOMONTH(DATE(PlanYear,1,1),0),IF(ISNUMBER($G190),$G190,$F190)&gt;=DATE(PlanYear,1,1)),1,0))</f>
        <v>0</v>
      </c>
      <c r="P190">
        <f>IF($N190=0,0,IF(AND($F190&lt;=EOMONTH(DATE(PlanYear,2,1),0),IF(ISNUMBER($G190),$G190,$F190)&gt;=DATE(PlanYear,2,1)),1,0))</f>
        <v>0</v>
      </c>
      <c r="Q190">
        <f>IF($N190=0,0,IF(AND($F190&lt;=EOMONTH(DATE(PlanYear,3,1),0),IF(ISNUMBER($G190),$G190,$F190)&gt;=DATE(PlanYear,3,1)),1,0))</f>
        <v>0</v>
      </c>
      <c r="R190">
        <f>IF($N190=0,0,IF(AND($F190&lt;=EOMONTH(DATE(PlanYear,4,1),0),IF(ISNUMBER($G190),$G190,$F190)&gt;=DATE(PlanYear,4,1)),1,0))</f>
        <v>0</v>
      </c>
      <c r="S190">
        <f>IF($N190=0,0,IF(AND($F190&lt;=EOMONTH(DATE(PlanYear,5,1),0),IF(ISNUMBER($G190),$G190,$F190)&gt;=DATE(PlanYear,5,1)),1,0))</f>
        <v>0</v>
      </c>
      <c r="T190">
        <f>IF($N190=0,0,IF(AND($F190&lt;=EOMONTH(DATE(PlanYear,6,1),0),IF(ISNUMBER($G190),$G190,$F190)&gt;=DATE(PlanYear,6,1)),1,0))</f>
        <v>0</v>
      </c>
      <c r="U190">
        <f>IF($N190=0,0,IF(AND($F190&lt;=EOMONTH(DATE(PlanYear,7,1),0),IF(ISNUMBER($G190),$G190,$F190)&gt;=DATE(PlanYear,7,1)),1,0))</f>
        <v>0</v>
      </c>
      <c r="V190">
        <f>IF($N190=0,0,IF(AND($F190&lt;=EOMONTH(DATE(PlanYear,8,1),0),IF(ISNUMBER($G190),$G190,$F190)&gt;=DATE(PlanYear,8,1)),1,0))</f>
        <v>0</v>
      </c>
      <c r="W190">
        <f>IF($N190=0,0,IF(AND($F190&lt;=EOMONTH(DATE(PlanYear,9,1),0),IF(ISNUMBER($G190),$G190,$F190)&gt;=DATE(PlanYear,9,1)),1,0))</f>
        <v>0</v>
      </c>
      <c r="X190">
        <f>IF($N190=0,0,IF(AND($F190&lt;=EOMONTH(DATE(PlanYear,10,1),0),IF(ISNUMBER($G190),$G190,$F190)&gt;=DATE(PlanYear,10,1)),1,0))</f>
        <v>0</v>
      </c>
      <c r="Y190">
        <f>IF($N190=0,0,IF(AND($F190&lt;=EOMONTH(DATE(PlanYear,11,1),0),IF(ISNUMBER($G190),$G190,$F190)&gt;=DATE(PlanYear,11,1)),1,0))</f>
        <v>0</v>
      </c>
      <c r="Z190">
        <f>IF($N190=0,0,IF(AND($F190&lt;=EOMONTH(DATE(PlanYear,12,1),0),IF(ISNUMBER($G190),$G190,$F190)&gt;=DATE(PlanYear,12,1)),1,0))</f>
        <v>0</v>
      </c>
      <c r="AA190">
        <f>SUM($O190:$Z190)</f>
        <v>0</v>
      </c>
    </row>
    <row r="191" spans="1:27">
      <c r="A191" s="42">
        <f>IF($B191="","","ACT-"&amp;TEXT(ROW()-4,"000"))</f>
        <v>0</v>
      </c>
      <c r="M191" s="43">
        <f>IF(COUNTA($B191:$K191)=0,"",IF($B191="","Missing activity name",IF($C191="","Missing practice",IF(COUNTIF(PracticeNames,$C191)=0,"Practice not in Lists",IF($D191="","Missing motion",IF(NOT(ISNUMBER($F191)),"Missing or invalid start date",IF(AND(ISNUMBER($G191),$G191&lt;$F191),"End date before start",IF(AND($N191=1,$AA191=0),"Outside planning year","OK"))))))))</f>
        <v>0</v>
      </c>
      <c r="N191">
        <f>IF(AND($B191&lt;&gt;"",$C191&lt;&gt;"",$D191&lt;&gt;"",ISNUMBER($F191),COUNTIF(PracticeNames,$C191)&gt;0,COUNTIF(MotionNames,$D191)&gt;0,NOT(AND(ISNUMBER($G191),$G191&lt;$F191))),IF(StatusFilter="All (excl. Cancelled)",IF($H191="Cancelled",0,1),IF(StatusFilter="All",1,IF($H191=StatusFilter,1,0))),0)</f>
        <v>0</v>
      </c>
      <c r="O191">
        <f>IF($N191=0,0,IF(AND($F191&lt;=EOMONTH(DATE(PlanYear,1,1),0),IF(ISNUMBER($G191),$G191,$F191)&gt;=DATE(PlanYear,1,1)),1,0))</f>
        <v>0</v>
      </c>
      <c r="P191">
        <f>IF($N191=0,0,IF(AND($F191&lt;=EOMONTH(DATE(PlanYear,2,1),0),IF(ISNUMBER($G191),$G191,$F191)&gt;=DATE(PlanYear,2,1)),1,0))</f>
        <v>0</v>
      </c>
      <c r="Q191">
        <f>IF($N191=0,0,IF(AND($F191&lt;=EOMONTH(DATE(PlanYear,3,1),0),IF(ISNUMBER($G191),$G191,$F191)&gt;=DATE(PlanYear,3,1)),1,0))</f>
        <v>0</v>
      </c>
      <c r="R191">
        <f>IF($N191=0,0,IF(AND($F191&lt;=EOMONTH(DATE(PlanYear,4,1),0),IF(ISNUMBER($G191),$G191,$F191)&gt;=DATE(PlanYear,4,1)),1,0))</f>
        <v>0</v>
      </c>
      <c r="S191">
        <f>IF($N191=0,0,IF(AND($F191&lt;=EOMONTH(DATE(PlanYear,5,1),0),IF(ISNUMBER($G191),$G191,$F191)&gt;=DATE(PlanYear,5,1)),1,0))</f>
        <v>0</v>
      </c>
      <c r="T191">
        <f>IF($N191=0,0,IF(AND($F191&lt;=EOMONTH(DATE(PlanYear,6,1),0),IF(ISNUMBER($G191),$G191,$F191)&gt;=DATE(PlanYear,6,1)),1,0))</f>
        <v>0</v>
      </c>
      <c r="U191">
        <f>IF($N191=0,0,IF(AND($F191&lt;=EOMONTH(DATE(PlanYear,7,1),0),IF(ISNUMBER($G191),$G191,$F191)&gt;=DATE(PlanYear,7,1)),1,0))</f>
        <v>0</v>
      </c>
      <c r="V191">
        <f>IF($N191=0,0,IF(AND($F191&lt;=EOMONTH(DATE(PlanYear,8,1),0),IF(ISNUMBER($G191),$G191,$F191)&gt;=DATE(PlanYear,8,1)),1,0))</f>
        <v>0</v>
      </c>
      <c r="W191">
        <f>IF($N191=0,0,IF(AND($F191&lt;=EOMONTH(DATE(PlanYear,9,1),0),IF(ISNUMBER($G191),$G191,$F191)&gt;=DATE(PlanYear,9,1)),1,0))</f>
        <v>0</v>
      </c>
      <c r="X191">
        <f>IF($N191=0,0,IF(AND($F191&lt;=EOMONTH(DATE(PlanYear,10,1),0),IF(ISNUMBER($G191),$G191,$F191)&gt;=DATE(PlanYear,10,1)),1,0))</f>
        <v>0</v>
      </c>
      <c r="Y191">
        <f>IF($N191=0,0,IF(AND($F191&lt;=EOMONTH(DATE(PlanYear,11,1),0),IF(ISNUMBER($G191),$G191,$F191)&gt;=DATE(PlanYear,11,1)),1,0))</f>
        <v>0</v>
      </c>
      <c r="Z191">
        <f>IF($N191=0,0,IF(AND($F191&lt;=EOMONTH(DATE(PlanYear,12,1),0),IF(ISNUMBER($G191),$G191,$F191)&gt;=DATE(PlanYear,12,1)),1,0))</f>
        <v>0</v>
      </c>
      <c r="AA191">
        <f>SUM($O191:$Z191)</f>
        <v>0</v>
      </c>
    </row>
    <row r="192" spans="1:27">
      <c r="A192" s="42">
        <f>IF($B192="","","ACT-"&amp;TEXT(ROW()-4,"000"))</f>
        <v>0</v>
      </c>
      <c r="M192" s="43">
        <f>IF(COUNTA($B192:$K192)=0,"",IF($B192="","Missing activity name",IF($C192="","Missing practice",IF(COUNTIF(PracticeNames,$C192)=0,"Practice not in Lists",IF($D192="","Missing motion",IF(NOT(ISNUMBER($F192)),"Missing or invalid start date",IF(AND(ISNUMBER($G192),$G192&lt;$F192),"End date before start",IF(AND($N192=1,$AA192=0),"Outside planning year","OK"))))))))</f>
        <v>0</v>
      </c>
      <c r="N192">
        <f>IF(AND($B192&lt;&gt;"",$C192&lt;&gt;"",$D192&lt;&gt;"",ISNUMBER($F192),COUNTIF(PracticeNames,$C192)&gt;0,COUNTIF(MotionNames,$D192)&gt;0,NOT(AND(ISNUMBER($G192),$G192&lt;$F192))),IF(StatusFilter="All (excl. Cancelled)",IF($H192="Cancelled",0,1),IF(StatusFilter="All",1,IF($H192=StatusFilter,1,0))),0)</f>
        <v>0</v>
      </c>
      <c r="O192">
        <f>IF($N192=0,0,IF(AND($F192&lt;=EOMONTH(DATE(PlanYear,1,1),0),IF(ISNUMBER($G192),$G192,$F192)&gt;=DATE(PlanYear,1,1)),1,0))</f>
        <v>0</v>
      </c>
      <c r="P192">
        <f>IF($N192=0,0,IF(AND($F192&lt;=EOMONTH(DATE(PlanYear,2,1),0),IF(ISNUMBER($G192),$G192,$F192)&gt;=DATE(PlanYear,2,1)),1,0))</f>
        <v>0</v>
      </c>
      <c r="Q192">
        <f>IF($N192=0,0,IF(AND($F192&lt;=EOMONTH(DATE(PlanYear,3,1),0),IF(ISNUMBER($G192),$G192,$F192)&gt;=DATE(PlanYear,3,1)),1,0))</f>
        <v>0</v>
      </c>
      <c r="R192">
        <f>IF($N192=0,0,IF(AND($F192&lt;=EOMONTH(DATE(PlanYear,4,1),0),IF(ISNUMBER($G192),$G192,$F192)&gt;=DATE(PlanYear,4,1)),1,0))</f>
        <v>0</v>
      </c>
      <c r="S192">
        <f>IF($N192=0,0,IF(AND($F192&lt;=EOMONTH(DATE(PlanYear,5,1),0),IF(ISNUMBER($G192),$G192,$F192)&gt;=DATE(PlanYear,5,1)),1,0))</f>
        <v>0</v>
      </c>
      <c r="T192">
        <f>IF($N192=0,0,IF(AND($F192&lt;=EOMONTH(DATE(PlanYear,6,1),0),IF(ISNUMBER($G192),$G192,$F192)&gt;=DATE(PlanYear,6,1)),1,0))</f>
        <v>0</v>
      </c>
      <c r="U192">
        <f>IF($N192=0,0,IF(AND($F192&lt;=EOMONTH(DATE(PlanYear,7,1),0),IF(ISNUMBER($G192),$G192,$F192)&gt;=DATE(PlanYear,7,1)),1,0))</f>
        <v>0</v>
      </c>
      <c r="V192">
        <f>IF($N192=0,0,IF(AND($F192&lt;=EOMONTH(DATE(PlanYear,8,1),0),IF(ISNUMBER($G192),$G192,$F192)&gt;=DATE(PlanYear,8,1)),1,0))</f>
        <v>0</v>
      </c>
      <c r="W192">
        <f>IF($N192=0,0,IF(AND($F192&lt;=EOMONTH(DATE(PlanYear,9,1),0),IF(ISNUMBER($G192),$G192,$F192)&gt;=DATE(PlanYear,9,1)),1,0))</f>
        <v>0</v>
      </c>
      <c r="X192">
        <f>IF($N192=0,0,IF(AND($F192&lt;=EOMONTH(DATE(PlanYear,10,1),0),IF(ISNUMBER($G192),$G192,$F192)&gt;=DATE(PlanYear,10,1)),1,0))</f>
        <v>0</v>
      </c>
      <c r="Y192">
        <f>IF($N192=0,0,IF(AND($F192&lt;=EOMONTH(DATE(PlanYear,11,1),0),IF(ISNUMBER($G192),$G192,$F192)&gt;=DATE(PlanYear,11,1)),1,0))</f>
        <v>0</v>
      </c>
      <c r="Z192">
        <f>IF($N192=0,0,IF(AND($F192&lt;=EOMONTH(DATE(PlanYear,12,1),0),IF(ISNUMBER($G192),$G192,$F192)&gt;=DATE(PlanYear,12,1)),1,0))</f>
        <v>0</v>
      </c>
      <c r="AA192">
        <f>SUM($O192:$Z192)</f>
        <v>0</v>
      </c>
    </row>
    <row r="193" spans="1:27">
      <c r="A193" s="42">
        <f>IF($B193="","","ACT-"&amp;TEXT(ROW()-4,"000"))</f>
        <v>0</v>
      </c>
      <c r="M193" s="43">
        <f>IF(COUNTA($B193:$K193)=0,"",IF($B193="","Missing activity name",IF($C193="","Missing practice",IF(COUNTIF(PracticeNames,$C193)=0,"Practice not in Lists",IF($D193="","Missing motion",IF(NOT(ISNUMBER($F193)),"Missing or invalid start date",IF(AND(ISNUMBER($G193),$G193&lt;$F193),"End date before start",IF(AND($N193=1,$AA193=0),"Outside planning year","OK"))))))))</f>
        <v>0</v>
      </c>
      <c r="N193">
        <f>IF(AND($B193&lt;&gt;"",$C193&lt;&gt;"",$D193&lt;&gt;"",ISNUMBER($F193),COUNTIF(PracticeNames,$C193)&gt;0,COUNTIF(MotionNames,$D193)&gt;0,NOT(AND(ISNUMBER($G193),$G193&lt;$F193))),IF(StatusFilter="All (excl. Cancelled)",IF($H193="Cancelled",0,1),IF(StatusFilter="All",1,IF($H193=StatusFilter,1,0))),0)</f>
        <v>0</v>
      </c>
      <c r="O193">
        <f>IF($N193=0,0,IF(AND($F193&lt;=EOMONTH(DATE(PlanYear,1,1),0),IF(ISNUMBER($G193),$G193,$F193)&gt;=DATE(PlanYear,1,1)),1,0))</f>
        <v>0</v>
      </c>
      <c r="P193">
        <f>IF($N193=0,0,IF(AND($F193&lt;=EOMONTH(DATE(PlanYear,2,1),0),IF(ISNUMBER($G193),$G193,$F193)&gt;=DATE(PlanYear,2,1)),1,0))</f>
        <v>0</v>
      </c>
      <c r="Q193">
        <f>IF($N193=0,0,IF(AND($F193&lt;=EOMONTH(DATE(PlanYear,3,1),0),IF(ISNUMBER($G193),$G193,$F193)&gt;=DATE(PlanYear,3,1)),1,0))</f>
        <v>0</v>
      </c>
      <c r="R193">
        <f>IF($N193=0,0,IF(AND($F193&lt;=EOMONTH(DATE(PlanYear,4,1),0),IF(ISNUMBER($G193),$G193,$F193)&gt;=DATE(PlanYear,4,1)),1,0))</f>
        <v>0</v>
      </c>
      <c r="S193">
        <f>IF($N193=0,0,IF(AND($F193&lt;=EOMONTH(DATE(PlanYear,5,1),0),IF(ISNUMBER($G193),$G193,$F193)&gt;=DATE(PlanYear,5,1)),1,0))</f>
        <v>0</v>
      </c>
      <c r="T193">
        <f>IF($N193=0,0,IF(AND($F193&lt;=EOMONTH(DATE(PlanYear,6,1),0),IF(ISNUMBER($G193),$G193,$F193)&gt;=DATE(PlanYear,6,1)),1,0))</f>
        <v>0</v>
      </c>
      <c r="U193">
        <f>IF($N193=0,0,IF(AND($F193&lt;=EOMONTH(DATE(PlanYear,7,1),0),IF(ISNUMBER($G193),$G193,$F193)&gt;=DATE(PlanYear,7,1)),1,0))</f>
        <v>0</v>
      </c>
      <c r="V193">
        <f>IF($N193=0,0,IF(AND($F193&lt;=EOMONTH(DATE(PlanYear,8,1),0),IF(ISNUMBER($G193),$G193,$F193)&gt;=DATE(PlanYear,8,1)),1,0))</f>
        <v>0</v>
      </c>
      <c r="W193">
        <f>IF($N193=0,0,IF(AND($F193&lt;=EOMONTH(DATE(PlanYear,9,1),0),IF(ISNUMBER($G193),$G193,$F193)&gt;=DATE(PlanYear,9,1)),1,0))</f>
        <v>0</v>
      </c>
      <c r="X193">
        <f>IF($N193=0,0,IF(AND($F193&lt;=EOMONTH(DATE(PlanYear,10,1),0),IF(ISNUMBER($G193),$G193,$F193)&gt;=DATE(PlanYear,10,1)),1,0))</f>
        <v>0</v>
      </c>
      <c r="Y193">
        <f>IF($N193=0,0,IF(AND($F193&lt;=EOMONTH(DATE(PlanYear,11,1),0),IF(ISNUMBER($G193),$G193,$F193)&gt;=DATE(PlanYear,11,1)),1,0))</f>
        <v>0</v>
      </c>
      <c r="Z193">
        <f>IF($N193=0,0,IF(AND($F193&lt;=EOMONTH(DATE(PlanYear,12,1),0),IF(ISNUMBER($G193),$G193,$F193)&gt;=DATE(PlanYear,12,1)),1,0))</f>
        <v>0</v>
      </c>
      <c r="AA193">
        <f>SUM($O193:$Z193)</f>
        <v>0</v>
      </c>
    </row>
    <row r="194" spans="1:27">
      <c r="A194" s="42">
        <f>IF($B194="","","ACT-"&amp;TEXT(ROW()-4,"000"))</f>
        <v>0</v>
      </c>
      <c r="M194" s="43">
        <f>IF(COUNTA($B194:$K194)=0,"",IF($B194="","Missing activity name",IF($C194="","Missing practice",IF(COUNTIF(PracticeNames,$C194)=0,"Practice not in Lists",IF($D194="","Missing motion",IF(NOT(ISNUMBER($F194)),"Missing or invalid start date",IF(AND(ISNUMBER($G194),$G194&lt;$F194),"End date before start",IF(AND($N194=1,$AA194=0),"Outside planning year","OK"))))))))</f>
        <v>0</v>
      </c>
      <c r="N194">
        <f>IF(AND($B194&lt;&gt;"",$C194&lt;&gt;"",$D194&lt;&gt;"",ISNUMBER($F194),COUNTIF(PracticeNames,$C194)&gt;0,COUNTIF(MotionNames,$D194)&gt;0,NOT(AND(ISNUMBER($G194),$G194&lt;$F194))),IF(StatusFilter="All (excl. Cancelled)",IF($H194="Cancelled",0,1),IF(StatusFilter="All",1,IF($H194=StatusFilter,1,0))),0)</f>
        <v>0</v>
      </c>
      <c r="O194">
        <f>IF($N194=0,0,IF(AND($F194&lt;=EOMONTH(DATE(PlanYear,1,1),0),IF(ISNUMBER($G194),$G194,$F194)&gt;=DATE(PlanYear,1,1)),1,0))</f>
        <v>0</v>
      </c>
      <c r="P194">
        <f>IF($N194=0,0,IF(AND($F194&lt;=EOMONTH(DATE(PlanYear,2,1),0),IF(ISNUMBER($G194),$G194,$F194)&gt;=DATE(PlanYear,2,1)),1,0))</f>
        <v>0</v>
      </c>
      <c r="Q194">
        <f>IF($N194=0,0,IF(AND($F194&lt;=EOMONTH(DATE(PlanYear,3,1),0),IF(ISNUMBER($G194),$G194,$F194)&gt;=DATE(PlanYear,3,1)),1,0))</f>
        <v>0</v>
      </c>
      <c r="R194">
        <f>IF($N194=0,0,IF(AND($F194&lt;=EOMONTH(DATE(PlanYear,4,1),0),IF(ISNUMBER($G194),$G194,$F194)&gt;=DATE(PlanYear,4,1)),1,0))</f>
        <v>0</v>
      </c>
      <c r="S194">
        <f>IF($N194=0,0,IF(AND($F194&lt;=EOMONTH(DATE(PlanYear,5,1),0),IF(ISNUMBER($G194),$G194,$F194)&gt;=DATE(PlanYear,5,1)),1,0))</f>
        <v>0</v>
      </c>
      <c r="T194">
        <f>IF($N194=0,0,IF(AND($F194&lt;=EOMONTH(DATE(PlanYear,6,1),0),IF(ISNUMBER($G194),$G194,$F194)&gt;=DATE(PlanYear,6,1)),1,0))</f>
        <v>0</v>
      </c>
      <c r="U194">
        <f>IF($N194=0,0,IF(AND($F194&lt;=EOMONTH(DATE(PlanYear,7,1),0),IF(ISNUMBER($G194),$G194,$F194)&gt;=DATE(PlanYear,7,1)),1,0))</f>
        <v>0</v>
      </c>
      <c r="V194">
        <f>IF($N194=0,0,IF(AND($F194&lt;=EOMONTH(DATE(PlanYear,8,1),0),IF(ISNUMBER($G194),$G194,$F194)&gt;=DATE(PlanYear,8,1)),1,0))</f>
        <v>0</v>
      </c>
      <c r="W194">
        <f>IF($N194=0,0,IF(AND($F194&lt;=EOMONTH(DATE(PlanYear,9,1),0),IF(ISNUMBER($G194),$G194,$F194)&gt;=DATE(PlanYear,9,1)),1,0))</f>
        <v>0</v>
      </c>
      <c r="X194">
        <f>IF($N194=0,0,IF(AND($F194&lt;=EOMONTH(DATE(PlanYear,10,1),0),IF(ISNUMBER($G194),$G194,$F194)&gt;=DATE(PlanYear,10,1)),1,0))</f>
        <v>0</v>
      </c>
      <c r="Y194">
        <f>IF($N194=0,0,IF(AND($F194&lt;=EOMONTH(DATE(PlanYear,11,1),0),IF(ISNUMBER($G194),$G194,$F194)&gt;=DATE(PlanYear,11,1)),1,0))</f>
        <v>0</v>
      </c>
      <c r="Z194">
        <f>IF($N194=0,0,IF(AND($F194&lt;=EOMONTH(DATE(PlanYear,12,1),0),IF(ISNUMBER($G194),$G194,$F194)&gt;=DATE(PlanYear,12,1)),1,0))</f>
        <v>0</v>
      </c>
      <c r="AA194">
        <f>SUM($O194:$Z194)</f>
        <v>0</v>
      </c>
    </row>
    <row r="195" spans="1:27">
      <c r="A195" s="42">
        <f>IF($B195="","","ACT-"&amp;TEXT(ROW()-4,"000"))</f>
        <v>0</v>
      </c>
      <c r="M195" s="43">
        <f>IF(COUNTA($B195:$K195)=0,"",IF($B195="","Missing activity name",IF($C195="","Missing practice",IF(COUNTIF(PracticeNames,$C195)=0,"Practice not in Lists",IF($D195="","Missing motion",IF(NOT(ISNUMBER($F195)),"Missing or invalid start date",IF(AND(ISNUMBER($G195),$G195&lt;$F195),"End date before start",IF(AND($N195=1,$AA195=0),"Outside planning year","OK"))))))))</f>
        <v>0</v>
      </c>
      <c r="N195">
        <f>IF(AND($B195&lt;&gt;"",$C195&lt;&gt;"",$D195&lt;&gt;"",ISNUMBER($F195),COUNTIF(PracticeNames,$C195)&gt;0,COUNTIF(MotionNames,$D195)&gt;0,NOT(AND(ISNUMBER($G195),$G195&lt;$F195))),IF(StatusFilter="All (excl. Cancelled)",IF($H195="Cancelled",0,1),IF(StatusFilter="All",1,IF($H195=StatusFilter,1,0))),0)</f>
        <v>0</v>
      </c>
      <c r="O195">
        <f>IF($N195=0,0,IF(AND($F195&lt;=EOMONTH(DATE(PlanYear,1,1),0),IF(ISNUMBER($G195),$G195,$F195)&gt;=DATE(PlanYear,1,1)),1,0))</f>
        <v>0</v>
      </c>
      <c r="P195">
        <f>IF($N195=0,0,IF(AND($F195&lt;=EOMONTH(DATE(PlanYear,2,1),0),IF(ISNUMBER($G195),$G195,$F195)&gt;=DATE(PlanYear,2,1)),1,0))</f>
        <v>0</v>
      </c>
      <c r="Q195">
        <f>IF($N195=0,0,IF(AND($F195&lt;=EOMONTH(DATE(PlanYear,3,1),0),IF(ISNUMBER($G195),$G195,$F195)&gt;=DATE(PlanYear,3,1)),1,0))</f>
        <v>0</v>
      </c>
      <c r="R195">
        <f>IF($N195=0,0,IF(AND($F195&lt;=EOMONTH(DATE(PlanYear,4,1),0),IF(ISNUMBER($G195),$G195,$F195)&gt;=DATE(PlanYear,4,1)),1,0))</f>
        <v>0</v>
      </c>
      <c r="S195">
        <f>IF($N195=0,0,IF(AND($F195&lt;=EOMONTH(DATE(PlanYear,5,1),0),IF(ISNUMBER($G195),$G195,$F195)&gt;=DATE(PlanYear,5,1)),1,0))</f>
        <v>0</v>
      </c>
      <c r="T195">
        <f>IF($N195=0,0,IF(AND($F195&lt;=EOMONTH(DATE(PlanYear,6,1),0),IF(ISNUMBER($G195),$G195,$F195)&gt;=DATE(PlanYear,6,1)),1,0))</f>
        <v>0</v>
      </c>
      <c r="U195">
        <f>IF($N195=0,0,IF(AND($F195&lt;=EOMONTH(DATE(PlanYear,7,1),0),IF(ISNUMBER($G195),$G195,$F195)&gt;=DATE(PlanYear,7,1)),1,0))</f>
        <v>0</v>
      </c>
      <c r="V195">
        <f>IF($N195=0,0,IF(AND($F195&lt;=EOMONTH(DATE(PlanYear,8,1),0),IF(ISNUMBER($G195),$G195,$F195)&gt;=DATE(PlanYear,8,1)),1,0))</f>
        <v>0</v>
      </c>
      <c r="W195">
        <f>IF($N195=0,0,IF(AND($F195&lt;=EOMONTH(DATE(PlanYear,9,1),0),IF(ISNUMBER($G195),$G195,$F195)&gt;=DATE(PlanYear,9,1)),1,0))</f>
        <v>0</v>
      </c>
      <c r="X195">
        <f>IF($N195=0,0,IF(AND($F195&lt;=EOMONTH(DATE(PlanYear,10,1),0),IF(ISNUMBER($G195),$G195,$F195)&gt;=DATE(PlanYear,10,1)),1,0))</f>
        <v>0</v>
      </c>
      <c r="Y195">
        <f>IF($N195=0,0,IF(AND($F195&lt;=EOMONTH(DATE(PlanYear,11,1),0),IF(ISNUMBER($G195),$G195,$F195)&gt;=DATE(PlanYear,11,1)),1,0))</f>
        <v>0</v>
      </c>
      <c r="Z195">
        <f>IF($N195=0,0,IF(AND($F195&lt;=EOMONTH(DATE(PlanYear,12,1),0),IF(ISNUMBER($G195),$G195,$F195)&gt;=DATE(PlanYear,12,1)),1,0))</f>
        <v>0</v>
      </c>
      <c r="AA195">
        <f>SUM($O195:$Z195)</f>
        <v>0</v>
      </c>
    </row>
    <row r="196" spans="1:27">
      <c r="A196" s="42">
        <f>IF($B196="","","ACT-"&amp;TEXT(ROW()-4,"000"))</f>
        <v>0</v>
      </c>
      <c r="M196" s="43">
        <f>IF(COUNTA($B196:$K196)=0,"",IF($B196="","Missing activity name",IF($C196="","Missing practice",IF(COUNTIF(PracticeNames,$C196)=0,"Practice not in Lists",IF($D196="","Missing motion",IF(NOT(ISNUMBER($F196)),"Missing or invalid start date",IF(AND(ISNUMBER($G196),$G196&lt;$F196),"End date before start",IF(AND($N196=1,$AA196=0),"Outside planning year","OK"))))))))</f>
        <v>0</v>
      </c>
      <c r="N196">
        <f>IF(AND($B196&lt;&gt;"",$C196&lt;&gt;"",$D196&lt;&gt;"",ISNUMBER($F196),COUNTIF(PracticeNames,$C196)&gt;0,COUNTIF(MotionNames,$D196)&gt;0,NOT(AND(ISNUMBER($G196),$G196&lt;$F196))),IF(StatusFilter="All (excl. Cancelled)",IF($H196="Cancelled",0,1),IF(StatusFilter="All",1,IF($H196=StatusFilter,1,0))),0)</f>
        <v>0</v>
      </c>
      <c r="O196">
        <f>IF($N196=0,0,IF(AND($F196&lt;=EOMONTH(DATE(PlanYear,1,1),0),IF(ISNUMBER($G196),$G196,$F196)&gt;=DATE(PlanYear,1,1)),1,0))</f>
        <v>0</v>
      </c>
      <c r="P196">
        <f>IF($N196=0,0,IF(AND($F196&lt;=EOMONTH(DATE(PlanYear,2,1),0),IF(ISNUMBER($G196),$G196,$F196)&gt;=DATE(PlanYear,2,1)),1,0))</f>
        <v>0</v>
      </c>
      <c r="Q196">
        <f>IF($N196=0,0,IF(AND($F196&lt;=EOMONTH(DATE(PlanYear,3,1),0),IF(ISNUMBER($G196),$G196,$F196)&gt;=DATE(PlanYear,3,1)),1,0))</f>
        <v>0</v>
      </c>
      <c r="R196">
        <f>IF($N196=0,0,IF(AND($F196&lt;=EOMONTH(DATE(PlanYear,4,1),0),IF(ISNUMBER($G196),$G196,$F196)&gt;=DATE(PlanYear,4,1)),1,0))</f>
        <v>0</v>
      </c>
      <c r="S196">
        <f>IF($N196=0,0,IF(AND($F196&lt;=EOMONTH(DATE(PlanYear,5,1),0),IF(ISNUMBER($G196),$G196,$F196)&gt;=DATE(PlanYear,5,1)),1,0))</f>
        <v>0</v>
      </c>
      <c r="T196">
        <f>IF($N196=0,0,IF(AND($F196&lt;=EOMONTH(DATE(PlanYear,6,1),0),IF(ISNUMBER($G196),$G196,$F196)&gt;=DATE(PlanYear,6,1)),1,0))</f>
        <v>0</v>
      </c>
      <c r="U196">
        <f>IF($N196=0,0,IF(AND($F196&lt;=EOMONTH(DATE(PlanYear,7,1),0),IF(ISNUMBER($G196),$G196,$F196)&gt;=DATE(PlanYear,7,1)),1,0))</f>
        <v>0</v>
      </c>
      <c r="V196">
        <f>IF($N196=0,0,IF(AND($F196&lt;=EOMONTH(DATE(PlanYear,8,1),0),IF(ISNUMBER($G196),$G196,$F196)&gt;=DATE(PlanYear,8,1)),1,0))</f>
        <v>0</v>
      </c>
      <c r="W196">
        <f>IF($N196=0,0,IF(AND($F196&lt;=EOMONTH(DATE(PlanYear,9,1),0),IF(ISNUMBER($G196),$G196,$F196)&gt;=DATE(PlanYear,9,1)),1,0))</f>
        <v>0</v>
      </c>
      <c r="X196">
        <f>IF($N196=0,0,IF(AND($F196&lt;=EOMONTH(DATE(PlanYear,10,1),0),IF(ISNUMBER($G196),$G196,$F196)&gt;=DATE(PlanYear,10,1)),1,0))</f>
        <v>0</v>
      </c>
      <c r="Y196">
        <f>IF($N196=0,0,IF(AND($F196&lt;=EOMONTH(DATE(PlanYear,11,1),0),IF(ISNUMBER($G196),$G196,$F196)&gt;=DATE(PlanYear,11,1)),1,0))</f>
        <v>0</v>
      </c>
      <c r="Z196">
        <f>IF($N196=0,0,IF(AND($F196&lt;=EOMONTH(DATE(PlanYear,12,1),0),IF(ISNUMBER($G196),$G196,$F196)&gt;=DATE(PlanYear,12,1)),1,0))</f>
        <v>0</v>
      </c>
      <c r="AA196">
        <f>SUM($O196:$Z196)</f>
        <v>0</v>
      </c>
    </row>
    <row r="197" spans="1:27">
      <c r="A197" s="42">
        <f>IF($B197="","","ACT-"&amp;TEXT(ROW()-4,"000"))</f>
        <v>0</v>
      </c>
      <c r="M197" s="43">
        <f>IF(COUNTA($B197:$K197)=0,"",IF($B197="","Missing activity name",IF($C197="","Missing practice",IF(COUNTIF(PracticeNames,$C197)=0,"Practice not in Lists",IF($D197="","Missing motion",IF(NOT(ISNUMBER($F197)),"Missing or invalid start date",IF(AND(ISNUMBER($G197),$G197&lt;$F197),"End date before start",IF(AND($N197=1,$AA197=0),"Outside planning year","OK"))))))))</f>
        <v>0</v>
      </c>
      <c r="N197">
        <f>IF(AND($B197&lt;&gt;"",$C197&lt;&gt;"",$D197&lt;&gt;"",ISNUMBER($F197),COUNTIF(PracticeNames,$C197)&gt;0,COUNTIF(MotionNames,$D197)&gt;0,NOT(AND(ISNUMBER($G197),$G197&lt;$F197))),IF(StatusFilter="All (excl. Cancelled)",IF($H197="Cancelled",0,1),IF(StatusFilter="All",1,IF($H197=StatusFilter,1,0))),0)</f>
        <v>0</v>
      </c>
      <c r="O197">
        <f>IF($N197=0,0,IF(AND($F197&lt;=EOMONTH(DATE(PlanYear,1,1),0),IF(ISNUMBER($G197),$G197,$F197)&gt;=DATE(PlanYear,1,1)),1,0))</f>
        <v>0</v>
      </c>
      <c r="P197">
        <f>IF($N197=0,0,IF(AND($F197&lt;=EOMONTH(DATE(PlanYear,2,1),0),IF(ISNUMBER($G197),$G197,$F197)&gt;=DATE(PlanYear,2,1)),1,0))</f>
        <v>0</v>
      </c>
      <c r="Q197">
        <f>IF($N197=0,0,IF(AND($F197&lt;=EOMONTH(DATE(PlanYear,3,1),0),IF(ISNUMBER($G197),$G197,$F197)&gt;=DATE(PlanYear,3,1)),1,0))</f>
        <v>0</v>
      </c>
      <c r="R197">
        <f>IF($N197=0,0,IF(AND($F197&lt;=EOMONTH(DATE(PlanYear,4,1),0),IF(ISNUMBER($G197),$G197,$F197)&gt;=DATE(PlanYear,4,1)),1,0))</f>
        <v>0</v>
      </c>
      <c r="S197">
        <f>IF($N197=0,0,IF(AND($F197&lt;=EOMONTH(DATE(PlanYear,5,1),0),IF(ISNUMBER($G197),$G197,$F197)&gt;=DATE(PlanYear,5,1)),1,0))</f>
        <v>0</v>
      </c>
      <c r="T197">
        <f>IF($N197=0,0,IF(AND($F197&lt;=EOMONTH(DATE(PlanYear,6,1),0),IF(ISNUMBER($G197),$G197,$F197)&gt;=DATE(PlanYear,6,1)),1,0))</f>
        <v>0</v>
      </c>
      <c r="U197">
        <f>IF($N197=0,0,IF(AND($F197&lt;=EOMONTH(DATE(PlanYear,7,1),0),IF(ISNUMBER($G197),$G197,$F197)&gt;=DATE(PlanYear,7,1)),1,0))</f>
        <v>0</v>
      </c>
      <c r="V197">
        <f>IF($N197=0,0,IF(AND($F197&lt;=EOMONTH(DATE(PlanYear,8,1),0),IF(ISNUMBER($G197),$G197,$F197)&gt;=DATE(PlanYear,8,1)),1,0))</f>
        <v>0</v>
      </c>
      <c r="W197">
        <f>IF($N197=0,0,IF(AND($F197&lt;=EOMONTH(DATE(PlanYear,9,1),0),IF(ISNUMBER($G197),$G197,$F197)&gt;=DATE(PlanYear,9,1)),1,0))</f>
        <v>0</v>
      </c>
      <c r="X197">
        <f>IF($N197=0,0,IF(AND($F197&lt;=EOMONTH(DATE(PlanYear,10,1),0),IF(ISNUMBER($G197),$G197,$F197)&gt;=DATE(PlanYear,10,1)),1,0))</f>
        <v>0</v>
      </c>
      <c r="Y197">
        <f>IF($N197=0,0,IF(AND($F197&lt;=EOMONTH(DATE(PlanYear,11,1),0),IF(ISNUMBER($G197),$G197,$F197)&gt;=DATE(PlanYear,11,1)),1,0))</f>
        <v>0</v>
      </c>
      <c r="Z197">
        <f>IF($N197=0,0,IF(AND($F197&lt;=EOMONTH(DATE(PlanYear,12,1),0),IF(ISNUMBER($G197),$G197,$F197)&gt;=DATE(PlanYear,12,1)),1,0))</f>
        <v>0</v>
      </c>
      <c r="AA197">
        <f>SUM($O197:$Z197)</f>
        <v>0</v>
      </c>
    </row>
    <row r="198" spans="1:27">
      <c r="A198" s="42">
        <f>IF($B198="","","ACT-"&amp;TEXT(ROW()-4,"000"))</f>
        <v>0</v>
      </c>
      <c r="M198" s="43">
        <f>IF(COUNTA($B198:$K198)=0,"",IF($B198="","Missing activity name",IF($C198="","Missing practice",IF(COUNTIF(PracticeNames,$C198)=0,"Practice not in Lists",IF($D198="","Missing motion",IF(NOT(ISNUMBER($F198)),"Missing or invalid start date",IF(AND(ISNUMBER($G198),$G198&lt;$F198),"End date before start",IF(AND($N198=1,$AA198=0),"Outside planning year","OK"))))))))</f>
        <v>0</v>
      </c>
      <c r="N198">
        <f>IF(AND($B198&lt;&gt;"",$C198&lt;&gt;"",$D198&lt;&gt;"",ISNUMBER($F198),COUNTIF(PracticeNames,$C198)&gt;0,COUNTIF(MotionNames,$D198)&gt;0,NOT(AND(ISNUMBER($G198),$G198&lt;$F198))),IF(StatusFilter="All (excl. Cancelled)",IF($H198="Cancelled",0,1),IF(StatusFilter="All",1,IF($H198=StatusFilter,1,0))),0)</f>
        <v>0</v>
      </c>
      <c r="O198">
        <f>IF($N198=0,0,IF(AND($F198&lt;=EOMONTH(DATE(PlanYear,1,1),0),IF(ISNUMBER($G198),$G198,$F198)&gt;=DATE(PlanYear,1,1)),1,0))</f>
        <v>0</v>
      </c>
      <c r="P198">
        <f>IF($N198=0,0,IF(AND($F198&lt;=EOMONTH(DATE(PlanYear,2,1),0),IF(ISNUMBER($G198),$G198,$F198)&gt;=DATE(PlanYear,2,1)),1,0))</f>
        <v>0</v>
      </c>
      <c r="Q198">
        <f>IF($N198=0,0,IF(AND($F198&lt;=EOMONTH(DATE(PlanYear,3,1),0),IF(ISNUMBER($G198),$G198,$F198)&gt;=DATE(PlanYear,3,1)),1,0))</f>
        <v>0</v>
      </c>
      <c r="R198">
        <f>IF($N198=0,0,IF(AND($F198&lt;=EOMONTH(DATE(PlanYear,4,1),0),IF(ISNUMBER($G198),$G198,$F198)&gt;=DATE(PlanYear,4,1)),1,0))</f>
        <v>0</v>
      </c>
      <c r="S198">
        <f>IF($N198=0,0,IF(AND($F198&lt;=EOMONTH(DATE(PlanYear,5,1),0),IF(ISNUMBER($G198),$G198,$F198)&gt;=DATE(PlanYear,5,1)),1,0))</f>
        <v>0</v>
      </c>
      <c r="T198">
        <f>IF($N198=0,0,IF(AND($F198&lt;=EOMONTH(DATE(PlanYear,6,1),0),IF(ISNUMBER($G198),$G198,$F198)&gt;=DATE(PlanYear,6,1)),1,0))</f>
        <v>0</v>
      </c>
      <c r="U198">
        <f>IF($N198=0,0,IF(AND($F198&lt;=EOMONTH(DATE(PlanYear,7,1),0),IF(ISNUMBER($G198),$G198,$F198)&gt;=DATE(PlanYear,7,1)),1,0))</f>
        <v>0</v>
      </c>
      <c r="V198">
        <f>IF($N198=0,0,IF(AND($F198&lt;=EOMONTH(DATE(PlanYear,8,1),0),IF(ISNUMBER($G198),$G198,$F198)&gt;=DATE(PlanYear,8,1)),1,0))</f>
        <v>0</v>
      </c>
      <c r="W198">
        <f>IF($N198=0,0,IF(AND($F198&lt;=EOMONTH(DATE(PlanYear,9,1),0),IF(ISNUMBER($G198),$G198,$F198)&gt;=DATE(PlanYear,9,1)),1,0))</f>
        <v>0</v>
      </c>
      <c r="X198">
        <f>IF($N198=0,0,IF(AND($F198&lt;=EOMONTH(DATE(PlanYear,10,1),0),IF(ISNUMBER($G198),$G198,$F198)&gt;=DATE(PlanYear,10,1)),1,0))</f>
        <v>0</v>
      </c>
      <c r="Y198">
        <f>IF($N198=0,0,IF(AND($F198&lt;=EOMONTH(DATE(PlanYear,11,1),0),IF(ISNUMBER($G198),$G198,$F198)&gt;=DATE(PlanYear,11,1)),1,0))</f>
        <v>0</v>
      </c>
      <c r="Z198">
        <f>IF($N198=0,0,IF(AND($F198&lt;=EOMONTH(DATE(PlanYear,12,1),0),IF(ISNUMBER($G198),$G198,$F198)&gt;=DATE(PlanYear,12,1)),1,0))</f>
        <v>0</v>
      </c>
      <c r="AA198">
        <f>SUM($O198:$Z198)</f>
        <v>0</v>
      </c>
    </row>
    <row r="199" spans="1:27">
      <c r="A199" s="42">
        <f>IF($B199="","","ACT-"&amp;TEXT(ROW()-4,"000"))</f>
        <v>0</v>
      </c>
      <c r="M199" s="43">
        <f>IF(COUNTA($B199:$K199)=0,"",IF($B199="","Missing activity name",IF($C199="","Missing practice",IF(COUNTIF(PracticeNames,$C199)=0,"Practice not in Lists",IF($D199="","Missing motion",IF(NOT(ISNUMBER($F199)),"Missing or invalid start date",IF(AND(ISNUMBER($G199),$G199&lt;$F199),"End date before start",IF(AND($N199=1,$AA199=0),"Outside planning year","OK"))))))))</f>
        <v>0</v>
      </c>
      <c r="N199">
        <f>IF(AND($B199&lt;&gt;"",$C199&lt;&gt;"",$D199&lt;&gt;"",ISNUMBER($F199),COUNTIF(PracticeNames,$C199)&gt;0,COUNTIF(MotionNames,$D199)&gt;0,NOT(AND(ISNUMBER($G199),$G199&lt;$F199))),IF(StatusFilter="All (excl. Cancelled)",IF($H199="Cancelled",0,1),IF(StatusFilter="All",1,IF($H199=StatusFilter,1,0))),0)</f>
        <v>0</v>
      </c>
      <c r="O199">
        <f>IF($N199=0,0,IF(AND($F199&lt;=EOMONTH(DATE(PlanYear,1,1),0),IF(ISNUMBER($G199),$G199,$F199)&gt;=DATE(PlanYear,1,1)),1,0))</f>
        <v>0</v>
      </c>
      <c r="P199">
        <f>IF($N199=0,0,IF(AND($F199&lt;=EOMONTH(DATE(PlanYear,2,1),0),IF(ISNUMBER($G199),$G199,$F199)&gt;=DATE(PlanYear,2,1)),1,0))</f>
        <v>0</v>
      </c>
      <c r="Q199">
        <f>IF($N199=0,0,IF(AND($F199&lt;=EOMONTH(DATE(PlanYear,3,1),0),IF(ISNUMBER($G199),$G199,$F199)&gt;=DATE(PlanYear,3,1)),1,0))</f>
        <v>0</v>
      </c>
      <c r="R199">
        <f>IF($N199=0,0,IF(AND($F199&lt;=EOMONTH(DATE(PlanYear,4,1),0),IF(ISNUMBER($G199),$G199,$F199)&gt;=DATE(PlanYear,4,1)),1,0))</f>
        <v>0</v>
      </c>
      <c r="S199">
        <f>IF($N199=0,0,IF(AND($F199&lt;=EOMONTH(DATE(PlanYear,5,1),0),IF(ISNUMBER($G199),$G199,$F199)&gt;=DATE(PlanYear,5,1)),1,0))</f>
        <v>0</v>
      </c>
      <c r="T199">
        <f>IF($N199=0,0,IF(AND($F199&lt;=EOMONTH(DATE(PlanYear,6,1),0),IF(ISNUMBER($G199),$G199,$F199)&gt;=DATE(PlanYear,6,1)),1,0))</f>
        <v>0</v>
      </c>
      <c r="U199">
        <f>IF($N199=0,0,IF(AND($F199&lt;=EOMONTH(DATE(PlanYear,7,1),0),IF(ISNUMBER($G199),$G199,$F199)&gt;=DATE(PlanYear,7,1)),1,0))</f>
        <v>0</v>
      </c>
      <c r="V199">
        <f>IF($N199=0,0,IF(AND($F199&lt;=EOMONTH(DATE(PlanYear,8,1),0),IF(ISNUMBER($G199),$G199,$F199)&gt;=DATE(PlanYear,8,1)),1,0))</f>
        <v>0</v>
      </c>
      <c r="W199">
        <f>IF($N199=0,0,IF(AND($F199&lt;=EOMONTH(DATE(PlanYear,9,1),0),IF(ISNUMBER($G199),$G199,$F199)&gt;=DATE(PlanYear,9,1)),1,0))</f>
        <v>0</v>
      </c>
      <c r="X199">
        <f>IF($N199=0,0,IF(AND($F199&lt;=EOMONTH(DATE(PlanYear,10,1),0),IF(ISNUMBER($G199),$G199,$F199)&gt;=DATE(PlanYear,10,1)),1,0))</f>
        <v>0</v>
      </c>
      <c r="Y199">
        <f>IF($N199=0,0,IF(AND($F199&lt;=EOMONTH(DATE(PlanYear,11,1),0),IF(ISNUMBER($G199),$G199,$F199)&gt;=DATE(PlanYear,11,1)),1,0))</f>
        <v>0</v>
      </c>
      <c r="Z199">
        <f>IF($N199=0,0,IF(AND($F199&lt;=EOMONTH(DATE(PlanYear,12,1),0),IF(ISNUMBER($G199),$G199,$F199)&gt;=DATE(PlanYear,12,1)),1,0))</f>
        <v>0</v>
      </c>
      <c r="AA199">
        <f>SUM($O199:$Z199)</f>
        <v>0</v>
      </c>
    </row>
    <row r="200" spans="1:27">
      <c r="A200" s="42">
        <f>IF($B200="","","ACT-"&amp;TEXT(ROW()-4,"000"))</f>
        <v>0</v>
      </c>
      <c r="M200" s="43">
        <f>IF(COUNTA($B200:$K200)=0,"",IF($B200="","Missing activity name",IF($C200="","Missing practice",IF(COUNTIF(PracticeNames,$C200)=0,"Practice not in Lists",IF($D200="","Missing motion",IF(NOT(ISNUMBER($F200)),"Missing or invalid start date",IF(AND(ISNUMBER($G200),$G200&lt;$F200),"End date before start",IF(AND($N200=1,$AA200=0),"Outside planning year","OK"))))))))</f>
        <v>0</v>
      </c>
      <c r="N200">
        <f>IF(AND($B200&lt;&gt;"",$C200&lt;&gt;"",$D200&lt;&gt;"",ISNUMBER($F200),COUNTIF(PracticeNames,$C200)&gt;0,COUNTIF(MotionNames,$D200)&gt;0,NOT(AND(ISNUMBER($G200),$G200&lt;$F200))),IF(StatusFilter="All (excl. Cancelled)",IF($H200="Cancelled",0,1),IF(StatusFilter="All",1,IF($H200=StatusFilter,1,0))),0)</f>
        <v>0</v>
      </c>
      <c r="O200">
        <f>IF($N200=0,0,IF(AND($F200&lt;=EOMONTH(DATE(PlanYear,1,1),0),IF(ISNUMBER($G200),$G200,$F200)&gt;=DATE(PlanYear,1,1)),1,0))</f>
        <v>0</v>
      </c>
      <c r="P200">
        <f>IF($N200=0,0,IF(AND($F200&lt;=EOMONTH(DATE(PlanYear,2,1),0),IF(ISNUMBER($G200),$G200,$F200)&gt;=DATE(PlanYear,2,1)),1,0))</f>
        <v>0</v>
      </c>
      <c r="Q200">
        <f>IF($N200=0,0,IF(AND($F200&lt;=EOMONTH(DATE(PlanYear,3,1),0),IF(ISNUMBER($G200),$G200,$F200)&gt;=DATE(PlanYear,3,1)),1,0))</f>
        <v>0</v>
      </c>
      <c r="R200">
        <f>IF($N200=0,0,IF(AND($F200&lt;=EOMONTH(DATE(PlanYear,4,1),0),IF(ISNUMBER($G200),$G200,$F200)&gt;=DATE(PlanYear,4,1)),1,0))</f>
        <v>0</v>
      </c>
      <c r="S200">
        <f>IF($N200=0,0,IF(AND($F200&lt;=EOMONTH(DATE(PlanYear,5,1),0),IF(ISNUMBER($G200),$G200,$F200)&gt;=DATE(PlanYear,5,1)),1,0))</f>
        <v>0</v>
      </c>
      <c r="T200">
        <f>IF($N200=0,0,IF(AND($F200&lt;=EOMONTH(DATE(PlanYear,6,1),0),IF(ISNUMBER($G200),$G200,$F200)&gt;=DATE(PlanYear,6,1)),1,0))</f>
        <v>0</v>
      </c>
      <c r="U200">
        <f>IF($N200=0,0,IF(AND($F200&lt;=EOMONTH(DATE(PlanYear,7,1),0),IF(ISNUMBER($G200),$G200,$F200)&gt;=DATE(PlanYear,7,1)),1,0))</f>
        <v>0</v>
      </c>
      <c r="V200">
        <f>IF($N200=0,0,IF(AND($F200&lt;=EOMONTH(DATE(PlanYear,8,1),0),IF(ISNUMBER($G200),$G200,$F200)&gt;=DATE(PlanYear,8,1)),1,0))</f>
        <v>0</v>
      </c>
      <c r="W200">
        <f>IF($N200=0,0,IF(AND($F200&lt;=EOMONTH(DATE(PlanYear,9,1),0),IF(ISNUMBER($G200),$G200,$F200)&gt;=DATE(PlanYear,9,1)),1,0))</f>
        <v>0</v>
      </c>
      <c r="X200">
        <f>IF($N200=0,0,IF(AND($F200&lt;=EOMONTH(DATE(PlanYear,10,1),0),IF(ISNUMBER($G200),$G200,$F200)&gt;=DATE(PlanYear,10,1)),1,0))</f>
        <v>0</v>
      </c>
      <c r="Y200">
        <f>IF($N200=0,0,IF(AND($F200&lt;=EOMONTH(DATE(PlanYear,11,1),0),IF(ISNUMBER($G200),$G200,$F200)&gt;=DATE(PlanYear,11,1)),1,0))</f>
        <v>0</v>
      </c>
      <c r="Z200">
        <f>IF($N200=0,0,IF(AND($F200&lt;=EOMONTH(DATE(PlanYear,12,1),0),IF(ISNUMBER($G200),$G200,$F200)&gt;=DATE(PlanYear,12,1)),1,0))</f>
        <v>0</v>
      </c>
      <c r="AA200">
        <f>SUM($O200:$Z200)</f>
        <v>0</v>
      </c>
    </row>
    <row r="201" spans="1:27">
      <c r="A201" s="42">
        <f>IF($B201="","","ACT-"&amp;TEXT(ROW()-4,"000"))</f>
        <v>0</v>
      </c>
      <c r="M201" s="43">
        <f>IF(COUNTA($B201:$K201)=0,"",IF($B201="","Missing activity name",IF($C201="","Missing practice",IF(COUNTIF(PracticeNames,$C201)=0,"Practice not in Lists",IF($D201="","Missing motion",IF(NOT(ISNUMBER($F201)),"Missing or invalid start date",IF(AND(ISNUMBER($G201),$G201&lt;$F201),"End date before start",IF(AND($N201=1,$AA201=0),"Outside planning year","OK"))))))))</f>
        <v>0</v>
      </c>
      <c r="N201">
        <f>IF(AND($B201&lt;&gt;"",$C201&lt;&gt;"",$D201&lt;&gt;"",ISNUMBER($F201),COUNTIF(PracticeNames,$C201)&gt;0,COUNTIF(MotionNames,$D201)&gt;0,NOT(AND(ISNUMBER($G201),$G201&lt;$F201))),IF(StatusFilter="All (excl. Cancelled)",IF($H201="Cancelled",0,1),IF(StatusFilter="All",1,IF($H201=StatusFilter,1,0))),0)</f>
        <v>0</v>
      </c>
      <c r="O201">
        <f>IF($N201=0,0,IF(AND($F201&lt;=EOMONTH(DATE(PlanYear,1,1),0),IF(ISNUMBER($G201),$G201,$F201)&gt;=DATE(PlanYear,1,1)),1,0))</f>
        <v>0</v>
      </c>
      <c r="P201">
        <f>IF($N201=0,0,IF(AND($F201&lt;=EOMONTH(DATE(PlanYear,2,1),0),IF(ISNUMBER($G201),$G201,$F201)&gt;=DATE(PlanYear,2,1)),1,0))</f>
        <v>0</v>
      </c>
      <c r="Q201">
        <f>IF($N201=0,0,IF(AND($F201&lt;=EOMONTH(DATE(PlanYear,3,1),0),IF(ISNUMBER($G201),$G201,$F201)&gt;=DATE(PlanYear,3,1)),1,0))</f>
        <v>0</v>
      </c>
      <c r="R201">
        <f>IF($N201=0,0,IF(AND($F201&lt;=EOMONTH(DATE(PlanYear,4,1),0),IF(ISNUMBER($G201),$G201,$F201)&gt;=DATE(PlanYear,4,1)),1,0))</f>
        <v>0</v>
      </c>
      <c r="S201">
        <f>IF($N201=0,0,IF(AND($F201&lt;=EOMONTH(DATE(PlanYear,5,1),0),IF(ISNUMBER($G201),$G201,$F201)&gt;=DATE(PlanYear,5,1)),1,0))</f>
        <v>0</v>
      </c>
      <c r="T201">
        <f>IF($N201=0,0,IF(AND($F201&lt;=EOMONTH(DATE(PlanYear,6,1),0),IF(ISNUMBER($G201),$G201,$F201)&gt;=DATE(PlanYear,6,1)),1,0))</f>
        <v>0</v>
      </c>
      <c r="U201">
        <f>IF($N201=0,0,IF(AND($F201&lt;=EOMONTH(DATE(PlanYear,7,1),0),IF(ISNUMBER($G201),$G201,$F201)&gt;=DATE(PlanYear,7,1)),1,0))</f>
        <v>0</v>
      </c>
      <c r="V201">
        <f>IF($N201=0,0,IF(AND($F201&lt;=EOMONTH(DATE(PlanYear,8,1),0),IF(ISNUMBER($G201),$G201,$F201)&gt;=DATE(PlanYear,8,1)),1,0))</f>
        <v>0</v>
      </c>
      <c r="W201">
        <f>IF($N201=0,0,IF(AND($F201&lt;=EOMONTH(DATE(PlanYear,9,1),0),IF(ISNUMBER($G201),$G201,$F201)&gt;=DATE(PlanYear,9,1)),1,0))</f>
        <v>0</v>
      </c>
      <c r="X201">
        <f>IF($N201=0,0,IF(AND($F201&lt;=EOMONTH(DATE(PlanYear,10,1),0),IF(ISNUMBER($G201),$G201,$F201)&gt;=DATE(PlanYear,10,1)),1,0))</f>
        <v>0</v>
      </c>
      <c r="Y201">
        <f>IF($N201=0,0,IF(AND($F201&lt;=EOMONTH(DATE(PlanYear,11,1),0),IF(ISNUMBER($G201),$G201,$F201)&gt;=DATE(PlanYear,11,1)),1,0))</f>
        <v>0</v>
      </c>
      <c r="Z201">
        <f>IF($N201=0,0,IF(AND($F201&lt;=EOMONTH(DATE(PlanYear,12,1),0),IF(ISNUMBER($G201),$G201,$F201)&gt;=DATE(PlanYear,12,1)),1,0))</f>
        <v>0</v>
      </c>
      <c r="AA201">
        <f>SUM($O201:$Z201)</f>
        <v>0</v>
      </c>
    </row>
    <row r="202" spans="1:27">
      <c r="A202" s="42">
        <f>IF($B202="","","ACT-"&amp;TEXT(ROW()-4,"000"))</f>
        <v>0</v>
      </c>
      <c r="M202" s="43">
        <f>IF(COUNTA($B202:$K202)=0,"",IF($B202="","Missing activity name",IF($C202="","Missing practice",IF(COUNTIF(PracticeNames,$C202)=0,"Practice not in Lists",IF($D202="","Missing motion",IF(NOT(ISNUMBER($F202)),"Missing or invalid start date",IF(AND(ISNUMBER($G202),$G202&lt;$F202),"End date before start",IF(AND($N202=1,$AA202=0),"Outside planning year","OK"))))))))</f>
        <v>0</v>
      </c>
      <c r="N202">
        <f>IF(AND($B202&lt;&gt;"",$C202&lt;&gt;"",$D202&lt;&gt;"",ISNUMBER($F202),COUNTIF(PracticeNames,$C202)&gt;0,COUNTIF(MotionNames,$D202)&gt;0,NOT(AND(ISNUMBER($G202),$G202&lt;$F202))),IF(StatusFilter="All (excl. Cancelled)",IF($H202="Cancelled",0,1),IF(StatusFilter="All",1,IF($H202=StatusFilter,1,0))),0)</f>
        <v>0</v>
      </c>
      <c r="O202">
        <f>IF($N202=0,0,IF(AND($F202&lt;=EOMONTH(DATE(PlanYear,1,1),0),IF(ISNUMBER($G202),$G202,$F202)&gt;=DATE(PlanYear,1,1)),1,0))</f>
        <v>0</v>
      </c>
      <c r="P202">
        <f>IF($N202=0,0,IF(AND($F202&lt;=EOMONTH(DATE(PlanYear,2,1),0),IF(ISNUMBER($G202),$G202,$F202)&gt;=DATE(PlanYear,2,1)),1,0))</f>
        <v>0</v>
      </c>
      <c r="Q202">
        <f>IF($N202=0,0,IF(AND($F202&lt;=EOMONTH(DATE(PlanYear,3,1),0),IF(ISNUMBER($G202),$G202,$F202)&gt;=DATE(PlanYear,3,1)),1,0))</f>
        <v>0</v>
      </c>
      <c r="R202">
        <f>IF($N202=0,0,IF(AND($F202&lt;=EOMONTH(DATE(PlanYear,4,1),0),IF(ISNUMBER($G202),$G202,$F202)&gt;=DATE(PlanYear,4,1)),1,0))</f>
        <v>0</v>
      </c>
      <c r="S202">
        <f>IF($N202=0,0,IF(AND($F202&lt;=EOMONTH(DATE(PlanYear,5,1),0),IF(ISNUMBER($G202),$G202,$F202)&gt;=DATE(PlanYear,5,1)),1,0))</f>
        <v>0</v>
      </c>
      <c r="T202">
        <f>IF($N202=0,0,IF(AND($F202&lt;=EOMONTH(DATE(PlanYear,6,1),0),IF(ISNUMBER($G202),$G202,$F202)&gt;=DATE(PlanYear,6,1)),1,0))</f>
        <v>0</v>
      </c>
      <c r="U202">
        <f>IF($N202=0,0,IF(AND($F202&lt;=EOMONTH(DATE(PlanYear,7,1),0),IF(ISNUMBER($G202),$G202,$F202)&gt;=DATE(PlanYear,7,1)),1,0))</f>
        <v>0</v>
      </c>
      <c r="V202">
        <f>IF($N202=0,0,IF(AND($F202&lt;=EOMONTH(DATE(PlanYear,8,1),0),IF(ISNUMBER($G202),$G202,$F202)&gt;=DATE(PlanYear,8,1)),1,0))</f>
        <v>0</v>
      </c>
      <c r="W202">
        <f>IF($N202=0,0,IF(AND($F202&lt;=EOMONTH(DATE(PlanYear,9,1),0),IF(ISNUMBER($G202),$G202,$F202)&gt;=DATE(PlanYear,9,1)),1,0))</f>
        <v>0</v>
      </c>
      <c r="X202">
        <f>IF($N202=0,0,IF(AND($F202&lt;=EOMONTH(DATE(PlanYear,10,1),0),IF(ISNUMBER($G202),$G202,$F202)&gt;=DATE(PlanYear,10,1)),1,0))</f>
        <v>0</v>
      </c>
      <c r="Y202">
        <f>IF($N202=0,0,IF(AND($F202&lt;=EOMONTH(DATE(PlanYear,11,1),0),IF(ISNUMBER($G202),$G202,$F202)&gt;=DATE(PlanYear,11,1)),1,0))</f>
        <v>0</v>
      </c>
      <c r="Z202">
        <f>IF($N202=0,0,IF(AND($F202&lt;=EOMONTH(DATE(PlanYear,12,1),0),IF(ISNUMBER($G202),$G202,$F202)&gt;=DATE(PlanYear,12,1)),1,0))</f>
        <v>0</v>
      </c>
      <c r="AA202">
        <f>SUM($O202:$Z202)</f>
        <v>0</v>
      </c>
    </row>
    <row r="203" spans="1:27">
      <c r="A203" s="42">
        <f>IF($B203="","","ACT-"&amp;TEXT(ROW()-4,"000"))</f>
        <v>0</v>
      </c>
      <c r="M203" s="43">
        <f>IF(COUNTA($B203:$K203)=0,"",IF($B203="","Missing activity name",IF($C203="","Missing practice",IF(COUNTIF(PracticeNames,$C203)=0,"Practice not in Lists",IF($D203="","Missing motion",IF(NOT(ISNUMBER($F203)),"Missing or invalid start date",IF(AND(ISNUMBER($G203),$G203&lt;$F203),"End date before start",IF(AND($N203=1,$AA203=0),"Outside planning year","OK"))))))))</f>
        <v>0</v>
      </c>
      <c r="N203">
        <f>IF(AND($B203&lt;&gt;"",$C203&lt;&gt;"",$D203&lt;&gt;"",ISNUMBER($F203),COUNTIF(PracticeNames,$C203)&gt;0,COUNTIF(MotionNames,$D203)&gt;0,NOT(AND(ISNUMBER($G203),$G203&lt;$F203))),IF(StatusFilter="All (excl. Cancelled)",IF($H203="Cancelled",0,1),IF(StatusFilter="All",1,IF($H203=StatusFilter,1,0))),0)</f>
        <v>0</v>
      </c>
      <c r="O203">
        <f>IF($N203=0,0,IF(AND($F203&lt;=EOMONTH(DATE(PlanYear,1,1),0),IF(ISNUMBER($G203),$G203,$F203)&gt;=DATE(PlanYear,1,1)),1,0))</f>
        <v>0</v>
      </c>
      <c r="P203">
        <f>IF($N203=0,0,IF(AND($F203&lt;=EOMONTH(DATE(PlanYear,2,1),0),IF(ISNUMBER($G203),$G203,$F203)&gt;=DATE(PlanYear,2,1)),1,0))</f>
        <v>0</v>
      </c>
      <c r="Q203">
        <f>IF($N203=0,0,IF(AND($F203&lt;=EOMONTH(DATE(PlanYear,3,1),0),IF(ISNUMBER($G203),$G203,$F203)&gt;=DATE(PlanYear,3,1)),1,0))</f>
        <v>0</v>
      </c>
      <c r="R203">
        <f>IF($N203=0,0,IF(AND($F203&lt;=EOMONTH(DATE(PlanYear,4,1),0),IF(ISNUMBER($G203),$G203,$F203)&gt;=DATE(PlanYear,4,1)),1,0))</f>
        <v>0</v>
      </c>
      <c r="S203">
        <f>IF($N203=0,0,IF(AND($F203&lt;=EOMONTH(DATE(PlanYear,5,1),0),IF(ISNUMBER($G203),$G203,$F203)&gt;=DATE(PlanYear,5,1)),1,0))</f>
        <v>0</v>
      </c>
      <c r="T203">
        <f>IF($N203=0,0,IF(AND($F203&lt;=EOMONTH(DATE(PlanYear,6,1),0),IF(ISNUMBER($G203),$G203,$F203)&gt;=DATE(PlanYear,6,1)),1,0))</f>
        <v>0</v>
      </c>
      <c r="U203">
        <f>IF($N203=0,0,IF(AND($F203&lt;=EOMONTH(DATE(PlanYear,7,1),0),IF(ISNUMBER($G203),$G203,$F203)&gt;=DATE(PlanYear,7,1)),1,0))</f>
        <v>0</v>
      </c>
      <c r="V203">
        <f>IF($N203=0,0,IF(AND($F203&lt;=EOMONTH(DATE(PlanYear,8,1),0),IF(ISNUMBER($G203),$G203,$F203)&gt;=DATE(PlanYear,8,1)),1,0))</f>
        <v>0</v>
      </c>
      <c r="W203">
        <f>IF($N203=0,0,IF(AND($F203&lt;=EOMONTH(DATE(PlanYear,9,1),0),IF(ISNUMBER($G203),$G203,$F203)&gt;=DATE(PlanYear,9,1)),1,0))</f>
        <v>0</v>
      </c>
      <c r="X203">
        <f>IF($N203=0,0,IF(AND($F203&lt;=EOMONTH(DATE(PlanYear,10,1),0),IF(ISNUMBER($G203),$G203,$F203)&gt;=DATE(PlanYear,10,1)),1,0))</f>
        <v>0</v>
      </c>
      <c r="Y203">
        <f>IF($N203=0,0,IF(AND($F203&lt;=EOMONTH(DATE(PlanYear,11,1),0),IF(ISNUMBER($G203),$G203,$F203)&gt;=DATE(PlanYear,11,1)),1,0))</f>
        <v>0</v>
      </c>
      <c r="Z203">
        <f>IF($N203=0,0,IF(AND($F203&lt;=EOMONTH(DATE(PlanYear,12,1),0),IF(ISNUMBER($G203),$G203,$F203)&gt;=DATE(PlanYear,12,1)),1,0))</f>
        <v>0</v>
      </c>
      <c r="AA203">
        <f>SUM($O203:$Z203)</f>
        <v>0</v>
      </c>
    </row>
    <row r="204" spans="1:27">
      <c r="A204" s="42">
        <f>IF($B204="","","ACT-"&amp;TEXT(ROW()-4,"000"))</f>
        <v>0</v>
      </c>
      <c r="M204" s="43">
        <f>IF(COUNTA($B204:$K204)=0,"",IF($B204="","Missing activity name",IF($C204="","Missing practice",IF(COUNTIF(PracticeNames,$C204)=0,"Practice not in Lists",IF($D204="","Missing motion",IF(NOT(ISNUMBER($F204)),"Missing or invalid start date",IF(AND(ISNUMBER($G204),$G204&lt;$F204),"End date before start",IF(AND($N204=1,$AA204=0),"Outside planning year","OK"))))))))</f>
        <v>0</v>
      </c>
      <c r="N204">
        <f>IF(AND($B204&lt;&gt;"",$C204&lt;&gt;"",$D204&lt;&gt;"",ISNUMBER($F204),COUNTIF(PracticeNames,$C204)&gt;0,COUNTIF(MotionNames,$D204)&gt;0,NOT(AND(ISNUMBER($G204),$G204&lt;$F204))),IF(StatusFilter="All (excl. Cancelled)",IF($H204="Cancelled",0,1),IF(StatusFilter="All",1,IF($H204=StatusFilter,1,0))),0)</f>
        <v>0</v>
      </c>
      <c r="O204">
        <f>IF($N204=0,0,IF(AND($F204&lt;=EOMONTH(DATE(PlanYear,1,1),0),IF(ISNUMBER($G204),$G204,$F204)&gt;=DATE(PlanYear,1,1)),1,0))</f>
        <v>0</v>
      </c>
      <c r="P204">
        <f>IF($N204=0,0,IF(AND($F204&lt;=EOMONTH(DATE(PlanYear,2,1),0),IF(ISNUMBER($G204),$G204,$F204)&gt;=DATE(PlanYear,2,1)),1,0))</f>
        <v>0</v>
      </c>
      <c r="Q204">
        <f>IF($N204=0,0,IF(AND($F204&lt;=EOMONTH(DATE(PlanYear,3,1),0),IF(ISNUMBER($G204),$G204,$F204)&gt;=DATE(PlanYear,3,1)),1,0))</f>
        <v>0</v>
      </c>
      <c r="R204">
        <f>IF($N204=0,0,IF(AND($F204&lt;=EOMONTH(DATE(PlanYear,4,1),0),IF(ISNUMBER($G204),$G204,$F204)&gt;=DATE(PlanYear,4,1)),1,0))</f>
        <v>0</v>
      </c>
      <c r="S204">
        <f>IF($N204=0,0,IF(AND($F204&lt;=EOMONTH(DATE(PlanYear,5,1),0),IF(ISNUMBER($G204),$G204,$F204)&gt;=DATE(PlanYear,5,1)),1,0))</f>
        <v>0</v>
      </c>
      <c r="T204">
        <f>IF($N204=0,0,IF(AND($F204&lt;=EOMONTH(DATE(PlanYear,6,1),0),IF(ISNUMBER($G204),$G204,$F204)&gt;=DATE(PlanYear,6,1)),1,0))</f>
        <v>0</v>
      </c>
      <c r="U204">
        <f>IF($N204=0,0,IF(AND($F204&lt;=EOMONTH(DATE(PlanYear,7,1),0),IF(ISNUMBER($G204),$G204,$F204)&gt;=DATE(PlanYear,7,1)),1,0))</f>
        <v>0</v>
      </c>
      <c r="V204">
        <f>IF($N204=0,0,IF(AND($F204&lt;=EOMONTH(DATE(PlanYear,8,1),0),IF(ISNUMBER($G204),$G204,$F204)&gt;=DATE(PlanYear,8,1)),1,0))</f>
        <v>0</v>
      </c>
      <c r="W204">
        <f>IF($N204=0,0,IF(AND($F204&lt;=EOMONTH(DATE(PlanYear,9,1),0),IF(ISNUMBER($G204),$G204,$F204)&gt;=DATE(PlanYear,9,1)),1,0))</f>
        <v>0</v>
      </c>
      <c r="X204">
        <f>IF($N204=0,0,IF(AND($F204&lt;=EOMONTH(DATE(PlanYear,10,1),0),IF(ISNUMBER($G204),$G204,$F204)&gt;=DATE(PlanYear,10,1)),1,0))</f>
        <v>0</v>
      </c>
      <c r="Y204">
        <f>IF($N204=0,0,IF(AND($F204&lt;=EOMONTH(DATE(PlanYear,11,1),0),IF(ISNUMBER($G204),$G204,$F204)&gt;=DATE(PlanYear,11,1)),1,0))</f>
        <v>0</v>
      </c>
      <c r="Z204">
        <f>IF($N204=0,0,IF(AND($F204&lt;=EOMONTH(DATE(PlanYear,12,1),0),IF(ISNUMBER($G204),$G204,$F204)&gt;=DATE(PlanYear,12,1)),1,0))</f>
        <v>0</v>
      </c>
      <c r="AA204">
        <f>SUM($O204:$Z204)</f>
        <v>0</v>
      </c>
    </row>
    <row r="205" spans="1:27">
      <c r="A205" s="42">
        <f>IF($B205="","","ACT-"&amp;TEXT(ROW()-4,"000"))</f>
        <v>0</v>
      </c>
      <c r="M205" s="43">
        <f>IF(COUNTA($B205:$K205)=0,"",IF($B205="","Missing activity name",IF($C205="","Missing practice",IF(COUNTIF(PracticeNames,$C205)=0,"Practice not in Lists",IF($D205="","Missing motion",IF(NOT(ISNUMBER($F205)),"Missing or invalid start date",IF(AND(ISNUMBER($G205),$G205&lt;$F205),"End date before start",IF(AND($N205=1,$AA205=0),"Outside planning year","OK"))))))))</f>
        <v>0</v>
      </c>
      <c r="N205">
        <f>IF(AND($B205&lt;&gt;"",$C205&lt;&gt;"",$D205&lt;&gt;"",ISNUMBER($F205),COUNTIF(PracticeNames,$C205)&gt;0,COUNTIF(MotionNames,$D205)&gt;0,NOT(AND(ISNUMBER($G205),$G205&lt;$F205))),IF(StatusFilter="All (excl. Cancelled)",IF($H205="Cancelled",0,1),IF(StatusFilter="All",1,IF($H205=StatusFilter,1,0))),0)</f>
        <v>0</v>
      </c>
      <c r="O205">
        <f>IF($N205=0,0,IF(AND($F205&lt;=EOMONTH(DATE(PlanYear,1,1),0),IF(ISNUMBER($G205),$G205,$F205)&gt;=DATE(PlanYear,1,1)),1,0))</f>
        <v>0</v>
      </c>
      <c r="P205">
        <f>IF($N205=0,0,IF(AND($F205&lt;=EOMONTH(DATE(PlanYear,2,1),0),IF(ISNUMBER($G205),$G205,$F205)&gt;=DATE(PlanYear,2,1)),1,0))</f>
        <v>0</v>
      </c>
      <c r="Q205">
        <f>IF($N205=0,0,IF(AND($F205&lt;=EOMONTH(DATE(PlanYear,3,1),0),IF(ISNUMBER($G205),$G205,$F205)&gt;=DATE(PlanYear,3,1)),1,0))</f>
        <v>0</v>
      </c>
      <c r="R205">
        <f>IF($N205=0,0,IF(AND($F205&lt;=EOMONTH(DATE(PlanYear,4,1),0),IF(ISNUMBER($G205),$G205,$F205)&gt;=DATE(PlanYear,4,1)),1,0))</f>
        <v>0</v>
      </c>
      <c r="S205">
        <f>IF($N205=0,0,IF(AND($F205&lt;=EOMONTH(DATE(PlanYear,5,1),0),IF(ISNUMBER($G205),$G205,$F205)&gt;=DATE(PlanYear,5,1)),1,0))</f>
        <v>0</v>
      </c>
      <c r="T205">
        <f>IF($N205=0,0,IF(AND($F205&lt;=EOMONTH(DATE(PlanYear,6,1),0),IF(ISNUMBER($G205),$G205,$F205)&gt;=DATE(PlanYear,6,1)),1,0))</f>
        <v>0</v>
      </c>
      <c r="U205">
        <f>IF($N205=0,0,IF(AND($F205&lt;=EOMONTH(DATE(PlanYear,7,1),0),IF(ISNUMBER($G205),$G205,$F205)&gt;=DATE(PlanYear,7,1)),1,0))</f>
        <v>0</v>
      </c>
      <c r="V205">
        <f>IF($N205=0,0,IF(AND($F205&lt;=EOMONTH(DATE(PlanYear,8,1),0),IF(ISNUMBER($G205),$G205,$F205)&gt;=DATE(PlanYear,8,1)),1,0))</f>
        <v>0</v>
      </c>
      <c r="W205">
        <f>IF($N205=0,0,IF(AND($F205&lt;=EOMONTH(DATE(PlanYear,9,1),0),IF(ISNUMBER($G205),$G205,$F205)&gt;=DATE(PlanYear,9,1)),1,0))</f>
        <v>0</v>
      </c>
      <c r="X205">
        <f>IF($N205=0,0,IF(AND($F205&lt;=EOMONTH(DATE(PlanYear,10,1),0),IF(ISNUMBER($G205),$G205,$F205)&gt;=DATE(PlanYear,10,1)),1,0))</f>
        <v>0</v>
      </c>
      <c r="Y205">
        <f>IF($N205=0,0,IF(AND($F205&lt;=EOMONTH(DATE(PlanYear,11,1),0),IF(ISNUMBER($G205),$G205,$F205)&gt;=DATE(PlanYear,11,1)),1,0))</f>
        <v>0</v>
      </c>
      <c r="Z205">
        <f>IF($N205=0,0,IF(AND($F205&lt;=EOMONTH(DATE(PlanYear,12,1),0),IF(ISNUMBER($G205),$G205,$F205)&gt;=DATE(PlanYear,12,1)),1,0))</f>
        <v>0</v>
      </c>
      <c r="AA205">
        <f>SUM($O205:$Z205)</f>
        <v>0</v>
      </c>
    </row>
    <row r="206" spans="1:27">
      <c r="A206" s="42">
        <f>IF($B206="","","ACT-"&amp;TEXT(ROW()-4,"000"))</f>
        <v>0</v>
      </c>
      <c r="M206" s="43">
        <f>IF(COUNTA($B206:$K206)=0,"",IF($B206="","Missing activity name",IF($C206="","Missing practice",IF(COUNTIF(PracticeNames,$C206)=0,"Practice not in Lists",IF($D206="","Missing motion",IF(NOT(ISNUMBER($F206)),"Missing or invalid start date",IF(AND(ISNUMBER($G206),$G206&lt;$F206),"End date before start",IF(AND($N206=1,$AA206=0),"Outside planning year","OK"))))))))</f>
        <v>0</v>
      </c>
      <c r="N206">
        <f>IF(AND($B206&lt;&gt;"",$C206&lt;&gt;"",$D206&lt;&gt;"",ISNUMBER($F206),COUNTIF(PracticeNames,$C206)&gt;0,COUNTIF(MotionNames,$D206)&gt;0,NOT(AND(ISNUMBER($G206),$G206&lt;$F206))),IF(StatusFilter="All (excl. Cancelled)",IF($H206="Cancelled",0,1),IF(StatusFilter="All",1,IF($H206=StatusFilter,1,0))),0)</f>
        <v>0</v>
      </c>
      <c r="O206">
        <f>IF($N206=0,0,IF(AND($F206&lt;=EOMONTH(DATE(PlanYear,1,1),0),IF(ISNUMBER($G206),$G206,$F206)&gt;=DATE(PlanYear,1,1)),1,0))</f>
        <v>0</v>
      </c>
      <c r="P206">
        <f>IF($N206=0,0,IF(AND($F206&lt;=EOMONTH(DATE(PlanYear,2,1),0),IF(ISNUMBER($G206),$G206,$F206)&gt;=DATE(PlanYear,2,1)),1,0))</f>
        <v>0</v>
      </c>
      <c r="Q206">
        <f>IF($N206=0,0,IF(AND($F206&lt;=EOMONTH(DATE(PlanYear,3,1),0),IF(ISNUMBER($G206),$G206,$F206)&gt;=DATE(PlanYear,3,1)),1,0))</f>
        <v>0</v>
      </c>
      <c r="R206">
        <f>IF($N206=0,0,IF(AND($F206&lt;=EOMONTH(DATE(PlanYear,4,1),0),IF(ISNUMBER($G206),$G206,$F206)&gt;=DATE(PlanYear,4,1)),1,0))</f>
        <v>0</v>
      </c>
      <c r="S206">
        <f>IF($N206=0,0,IF(AND($F206&lt;=EOMONTH(DATE(PlanYear,5,1),0),IF(ISNUMBER($G206),$G206,$F206)&gt;=DATE(PlanYear,5,1)),1,0))</f>
        <v>0</v>
      </c>
      <c r="T206">
        <f>IF($N206=0,0,IF(AND($F206&lt;=EOMONTH(DATE(PlanYear,6,1),0),IF(ISNUMBER($G206),$G206,$F206)&gt;=DATE(PlanYear,6,1)),1,0))</f>
        <v>0</v>
      </c>
      <c r="U206">
        <f>IF($N206=0,0,IF(AND($F206&lt;=EOMONTH(DATE(PlanYear,7,1),0),IF(ISNUMBER($G206),$G206,$F206)&gt;=DATE(PlanYear,7,1)),1,0))</f>
        <v>0</v>
      </c>
      <c r="V206">
        <f>IF($N206=0,0,IF(AND($F206&lt;=EOMONTH(DATE(PlanYear,8,1),0),IF(ISNUMBER($G206),$G206,$F206)&gt;=DATE(PlanYear,8,1)),1,0))</f>
        <v>0</v>
      </c>
      <c r="W206">
        <f>IF($N206=0,0,IF(AND($F206&lt;=EOMONTH(DATE(PlanYear,9,1),0),IF(ISNUMBER($G206),$G206,$F206)&gt;=DATE(PlanYear,9,1)),1,0))</f>
        <v>0</v>
      </c>
      <c r="X206">
        <f>IF($N206=0,0,IF(AND($F206&lt;=EOMONTH(DATE(PlanYear,10,1),0),IF(ISNUMBER($G206),$G206,$F206)&gt;=DATE(PlanYear,10,1)),1,0))</f>
        <v>0</v>
      </c>
      <c r="Y206">
        <f>IF($N206=0,0,IF(AND($F206&lt;=EOMONTH(DATE(PlanYear,11,1),0),IF(ISNUMBER($G206),$G206,$F206)&gt;=DATE(PlanYear,11,1)),1,0))</f>
        <v>0</v>
      </c>
      <c r="Z206">
        <f>IF($N206=0,0,IF(AND($F206&lt;=EOMONTH(DATE(PlanYear,12,1),0),IF(ISNUMBER($G206),$G206,$F206)&gt;=DATE(PlanYear,12,1)),1,0))</f>
        <v>0</v>
      </c>
      <c r="AA206">
        <f>SUM($O206:$Z206)</f>
        <v>0</v>
      </c>
    </row>
    <row r="207" spans="1:27">
      <c r="A207" s="42">
        <f>IF($B207="","","ACT-"&amp;TEXT(ROW()-4,"000"))</f>
        <v>0</v>
      </c>
      <c r="M207" s="43">
        <f>IF(COUNTA($B207:$K207)=0,"",IF($B207="","Missing activity name",IF($C207="","Missing practice",IF(COUNTIF(PracticeNames,$C207)=0,"Practice not in Lists",IF($D207="","Missing motion",IF(NOT(ISNUMBER($F207)),"Missing or invalid start date",IF(AND(ISNUMBER($G207),$G207&lt;$F207),"End date before start",IF(AND($N207=1,$AA207=0),"Outside planning year","OK"))))))))</f>
        <v>0</v>
      </c>
      <c r="N207">
        <f>IF(AND($B207&lt;&gt;"",$C207&lt;&gt;"",$D207&lt;&gt;"",ISNUMBER($F207),COUNTIF(PracticeNames,$C207)&gt;0,COUNTIF(MotionNames,$D207)&gt;0,NOT(AND(ISNUMBER($G207),$G207&lt;$F207))),IF(StatusFilter="All (excl. Cancelled)",IF($H207="Cancelled",0,1),IF(StatusFilter="All",1,IF($H207=StatusFilter,1,0))),0)</f>
        <v>0</v>
      </c>
      <c r="O207">
        <f>IF($N207=0,0,IF(AND($F207&lt;=EOMONTH(DATE(PlanYear,1,1),0),IF(ISNUMBER($G207),$G207,$F207)&gt;=DATE(PlanYear,1,1)),1,0))</f>
        <v>0</v>
      </c>
      <c r="P207">
        <f>IF($N207=0,0,IF(AND($F207&lt;=EOMONTH(DATE(PlanYear,2,1),0),IF(ISNUMBER($G207),$G207,$F207)&gt;=DATE(PlanYear,2,1)),1,0))</f>
        <v>0</v>
      </c>
      <c r="Q207">
        <f>IF($N207=0,0,IF(AND($F207&lt;=EOMONTH(DATE(PlanYear,3,1),0),IF(ISNUMBER($G207),$G207,$F207)&gt;=DATE(PlanYear,3,1)),1,0))</f>
        <v>0</v>
      </c>
      <c r="R207">
        <f>IF($N207=0,0,IF(AND($F207&lt;=EOMONTH(DATE(PlanYear,4,1),0),IF(ISNUMBER($G207),$G207,$F207)&gt;=DATE(PlanYear,4,1)),1,0))</f>
        <v>0</v>
      </c>
      <c r="S207">
        <f>IF($N207=0,0,IF(AND($F207&lt;=EOMONTH(DATE(PlanYear,5,1),0),IF(ISNUMBER($G207),$G207,$F207)&gt;=DATE(PlanYear,5,1)),1,0))</f>
        <v>0</v>
      </c>
      <c r="T207">
        <f>IF($N207=0,0,IF(AND($F207&lt;=EOMONTH(DATE(PlanYear,6,1),0),IF(ISNUMBER($G207),$G207,$F207)&gt;=DATE(PlanYear,6,1)),1,0))</f>
        <v>0</v>
      </c>
      <c r="U207">
        <f>IF($N207=0,0,IF(AND($F207&lt;=EOMONTH(DATE(PlanYear,7,1),0),IF(ISNUMBER($G207),$G207,$F207)&gt;=DATE(PlanYear,7,1)),1,0))</f>
        <v>0</v>
      </c>
      <c r="V207">
        <f>IF($N207=0,0,IF(AND($F207&lt;=EOMONTH(DATE(PlanYear,8,1),0),IF(ISNUMBER($G207),$G207,$F207)&gt;=DATE(PlanYear,8,1)),1,0))</f>
        <v>0</v>
      </c>
      <c r="W207">
        <f>IF($N207=0,0,IF(AND($F207&lt;=EOMONTH(DATE(PlanYear,9,1),0),IF(ISNUMBER($G207),$G207,$F207)&gt;=DATE(PlanYear,9,1)),1,0))</f>
        <v>0</v>
      </c>
      <c r="X207">
        <f>IF($N207=0,0,IF(AND($F207&lt;=EOMONTH(DATE(PlanYear,10,1),0),IF(ISNUMBER($G207),$G207,$F207)&gt;=DATE(PlanYear,10,1)),1,0))</f>
        <v>0</v>
      </c>
      <c r="Y207">
        <f>IF($N207=0,0,IF(AND($F207&lt;=EOMONTH(DATE(PlanYear,11,1),0),IF(ISNUMBER($G207),$G207,$F207)&gt;=DATE(PlanYear,11,1)),1,0))</f>
        <v>0</v>
      </c>
      <c r="Z207">
        <f>IF($N207=0,0,IF(AND($F207&lt;=EOMONTH(DATE(PlanYear,12,1),0),IF(ISNUMBER($G207),$G207,$F207)&gt;=DATE(PlanYear,12,1)),1,0))</f>
        <v>0</v>
      </c>
      <c r="AA207">
        <f>SUM($O207:$Z207)</f>
        <v>0</v>
      </c>
    </row>
    <row r="208" spans="1:27">
      <c r="A208" s="42">
        <f>IF($B208="","","ACT-"&amp;TEXT(ROW()-4,"000"))</f>
        <v>0</v>
      </c>
      <c r="M208" s="43">
        <f>IF(COUNTA($B208:$K208)=0,"",IF($B208="","Missing activity name",IF($C208="","Missing practice",IF(COUNTIF(PracticeNames,$C208)=0,"Practice not in Lists",IF($D208="","Missing motion",IF(NOT(ISNUMBER($F208)),"Missing or invalid start date",IF(AND(ISNUMBER($G208),$G208&lt;$F208),"End date before start",IF(AND($N208=1,$AA208=0),"Outside planning year","OK"))))))))</f>
        <v>0</v>
      </c>
      <c r="N208">
        <f>IF(AND($B208&lt;&gt;"",$C208&lt;&gt;"",$D208&lt;&gt;"",ISNUMBER($F208),COUNTIF(PracticeNames,$C208)&gt;0,COUNTIF(MotionNames,$D208)&gt;0,NOT(AND(ISNUMBER($G208),$G208&lt;$F208))),IF(StatusFilter="All (excl. Cancelled)",IF($H208="Cancelled",0,1),IF(StatusFilter="All",1,IF($H208=StatusFilter,1,0))),0)</f>
        <v>0</v>
      </c>
      <c r="O208">
        <f>IF($N208=0,0,IF(AND($F208&lt;=EOMONTH(DATE(PlanYear,1,1),0),IF(ISNUMBER($G208),$G208,$F208)&gt;=DATE(PlanYear,1,1)),1,0))</f>
        <v>0</v>
      </c>
      <c r="P208">
        <f>IF($N208=0,0,IF(AND($F208&lt;=EOMONTH(DATE(PlanYear,2,1),0),IF(ISNUMBER($G208),$G208,$F208)&gt;=DATE(PlanYear,2,1)),1,0))</f>
        <v>0</v>
      </c>
      <c r="Q208">
        <f>IF($N208=0,0,IF(AND($F208&lt;=EOMONTH(DATE(PlanYear,3,1),0),IF(ISNUMBER($G208),$G208,$F208)&gt;=DATE(PlanYear,3,1)),1,0))</f>
        <v>0</v>
      </c>
      <c r="R208">
        <f>IF($N208=0,0,IF(AND($F208&lt;=EOMONTH(DATE(PlanYear,4,1),0),IF(ISNUMBER($G208),$G208,$F208)&gt;=DATE(PlanYear,4,1)),1,0))</f>
        <v>0</v>
      </c>
      <c r="S208">
        <f>IF($N208=0,0,IF(AND($F208&lt;=EOMONTH(DATE(PlanYear,5,1),0),IF(ISNUMBER($G208),$G208,$F208)&gt;=DATE(PlanYear,5,1)),1,0))</f>
        <v>0</v>
      </c>
      <c r="T208">
        <f>IF($N208=0,0,IF(AND($F208&lt;=EOMONTH(DATE(PlanYear,6,1),0),IF(ISNUMBER($G208),$G208,$F208)&gt;=DATE(PlanYear,6,1)),1,0))</f>
        <v>0</v>
      </c>
      <c r="U208">
        <f>IF($N208=0,0,IF(AND($F208&lt;=EOMONTH(DATE(PlanYear,7,1),0),IF(ISNUMBER($G208),$G208,$F208)&gt;=DATE(PlanYear,7,1)),1,0))</f>
        <v>0</v>
      </c>
      <c r="V208">
        <f>IF($N208=0,0,IF(AND($F208&lt;=EOMONTH(DATE(PlanYear,8,1),0),IF(ISNUMBER($G208),$G208,$F208)&gt;=DATE(PlanYear,8,1)),1,0))</f>
        <v>0</v>
      </c>
      <c r="W208">
        <f>IF($N208=0,0,IF(AND($F208&lt;=EOMONTH(DATE(PlanYear,9,1),0),IF(ISNUMBER($G208),$G208,$F208)&gt;=DATE(PlanYear,9,1)),1,0))</f>
        <v>0</v>
      </c>
      <c r="X208">
        <f>IF($N208=0,0,IF(AND($F208&lt;=EOMONTH(DATE(PlanYear,10,1),0),IF(ISNUMBER($G208),$G208,$F208)&gt;=DATE(PlanYear,10,1)),1,0))</f>
        <v>0</v>
      </c>
      <c r="Y208">
        <f>IF($N208=0,0,IF(AND($F208&lt;=EOMONTH(DATE(PlanYear,11,1),0),IF(ISNUMBER($G208),$G208,$F208)&gt;=DATE(PlanYear,11,1)),1,0))</f>
        <v>0</v>
      </c>
      <c r="Z208">
        <f>IF($N208=0,0,IF(AND($F208&lt;=EOMONTH(DATE(PlanYear,12,1),0),IF(ISNUMBER($G208),$G208,$F208)&gt;=DATE(PlanYear,12,1)),1,0))</f>
        <v>0</v>
      </c>
      <c r="AA208">
        <f>SUM($O208:$Z208)</f>
        <v>0</v>
      </c>
    </row>
    <row r="209" spans="1:27">
      <c r="A209" s="42">
        <f>IF($B209="","","ACT-"&amp;TEXT(ROW()-4,"000"))</f>
        <v>0</v>
      </c>
      <c r="M209" s="43">
        <f>IF(COUNTA($B209:$K209)=0,"",IF($B209="","Missing activity name",IF($C209="","Missing practice",IF(COUNTIF(PracticeNames,$C209)=0,"Practice not in Lists",IF($D209="","Missing motion",IF(NOT(ISNUMBER($F209)),"Missing or invalid start date",IF(AND(ISNUMBER($G209),$G209&lt;$F209),"End date before start",IF(AND($N209=1,$AA209=0),"Outside planning year","OK"))))))))</f>
        <v>0</v>
      </c>
      <c r="N209">
        <f>IF(AND($B209&lt;&gt;"",$C209&lt;&gt;"",$D209&lt;&gt;"",ISNUMBER($F209),COUNTIF(PracticeNames,$C209)&gt;0,COUNTIF(MotionNames,$D209)&gt;0,NOT(AND(ISNUMBER($G209),$G209&lt;$F209))),IF(StatusFilter="All (excl. Cancelled)",IF($H209="Cancelled",0,1),IF(StatusFilter="All",1,IF($H209=StatusFilter,1,0))),0)</f>
        <v>0</v>
      </c>
      <c r="O209">
        <f>IF($N209=0,0,IF(AND($F209&lt;=EOMONTH(DATE(PlanYear,1,1),0),IF(ISNUMBER($G209),$G209,$F209)&gt;=DATE(PlanYear,1,1)),1,0))</f>
        <v>0</v>
      </c>
      <c r="P209">
        <f>IF($N209=0,0,IF(AND($F209&lt;=EOMONTH(DATE(PlanYear,2,1),0),IF(ISNUMBER($G209),$G209,$F209)&gt;=DATE(PlanYear,2,1)),1,0))</f>
        <v>0</v>
      </c>
      <c r="Q209">
        <f>IF($N209=0,0,IF(AND($F209&lt;=EOMONTH(DATE(PlanYear,3,1),0),IF(ISNUMBER($G209),$G209,$F209)&gt;=DATE(PlanYear,3,1)),1,0))</f>
        <v>0</v>
      </c>
      <c r="R209">
        <f>IF($N209=0,0,IF(AND($F209&lt;=EOMONTH(DATE(PlanYear,4,1),0),IF(ISNUMBER($G209),$G209,$F209)&gt;=DATE(PlanYear,4,1)),1,0))</f>
        <v>0</v>
      </c>
      <c r="S209">
        <f>IF($N209=0,0,IF(AND($F209&lt;=EOMONTH(DATE(PlanYear,5,1),0),IF(ISNUMBER($G209),$G209,$F209)&gt;=DATE(PlanYear,5,1)),1,0))</f>
        <v>0</v>
      </c>
      <c r="T209">
        <f>IF($N209=0,0,IF(AND($F209&lt;=EOMONTH(DATE(PlanYear,6,1),0),IF(ISNUMBER($G209),$G209,$F209)&gt;=DATE(PlanYear,6,1)),1,0))</f>
        <v>0</v>
      </c>
      <c r="U209">
        <f>IF($N209=0,0,IF(AND($F209&lt;=EOMONTH(DATE(PlanYear,7,1),0),IF(ISNUMBER($G209),$G209,$F209)&gt;=DATE(PlanYear,7,1)),1,0))</f>
        <v>0</v>
      </c>
      <c r="V209">
        <f>IF($N209=0,0,IF(AND($F209&lt;=EOMONTH(DATE(PlanYear,8,1),0),IF(ISNUMBER($G209),$G209,$F209)&gt;=DATE(PlanYear,8,1)),1,0))</f>
        <v>0</v>
      </c>
      <c r="W209">
        <f>IF($N209=0,0,IF(AND($F209&lt;=EOMONTH(DATE(PlanYear,9,1),0),IF(ISNUMBER($G209),$G209,$F209)&gt;=DATE(PlanYear,9,1)),1,0))</f>
        <v>0</v>
      </c>
      <c r="X209">
        <f>IF($N209=0,0,IF(AND($F209&lt;=EOMONTH(DATE(PlanYear,10,1),0),IF(ISNUMBER($G209),$G209,$F209)&gt;=DATE(PlanYear,10,1)),1,0))</f>
        <v>0</v>
      </c>
      <c r="Y209">
        <f>IF($N209=0,0,IF(AND($F209&lt;=EOMONTH(DATE(PlanYear,11,1),0),IF(ISNUMBER($G209),$G209,$F209)&gt;=DATE(PlanYear,11,1)),1,0))</f>
        <v>0</v>
      </c>
      <c r="Z209">
        <f>IF($N209=0,0,IF(AND($F209&lt;=EOMONTH(DATE(PlanYear,12,1),0),IF(ISNUMBER($G209),$G209,$F209)&gt;=DATE(PlanYear,12,1)),1,0))</f>
        <v>0</v>
      </c>
      <c r="AA209">
        <f>SUM($O209:$Z209)</f>
        <v>0</v>
      </c>
    </row>
    <row r="210" spans="1:27">
      <c r="A210" s="42">
        <f>IF($B210="","","ACT-"&amp;TEXT(ROW()-4,"000"))</f>
        <v>0</v>
      </c>
      <c r="M210" s="43">
        <f>IF(COUNTA($B210:$K210)=0,"",IF($B210="","Missing activity name",IF($C210="","Missing practice",IF(COUNTIF(PracticeNames,$C210)=0,"Practice not in Lists",IF($D210="","Missing motion",IF(NOT(ISNUMBER($F210)),"Missing or invalid start date",IF(AND(ISNUMBER($G210),$G210&lt;$F210),"End date before start",IF(AND($N210=1,$AA210=0),"Outside planning year","OK"))))))))</f>
        <v>0</v>
      </c>
      <c r="N210">
        <f>IF(AND($B210&lt;&gt;"",$C210&lt;&gt;"",$D210&lt;&gt;"",ISNUMBER($F210),COUNTIF(PracticeNames,$C210)&gt;0,COUNTIF(MotionNames,$D210)&gt;0,NOT(AND(ISNUMBER($G210),$G210&lt;$F210))),IF(StatusFilter="All (excl. Cancelled)",IF($H210="Cancelled",0,1),IF(StatusFilter="All",1,IF($H210=StatusFilter,1,0))),0)</f>
        <v>0</v>
      </c>
      <c r="O210">
        <f>IF($N210=0,0,IF(AND($F210&lt;=EOMONTH(DATE(PlanYear,1,1),0),IF(ISNUMBER($G210),$G210,$F210)&gt;=DATE(PlanYear,1,1)),1,0))</f>
        <v>0</v>
      </c>
      <c r="P210">
        <f>IF($N210=0,0,IF(AND($F210&lt;=EOMONTH(DATE(PlanYear,2,1),0),IF(ISNUMBER($G210),$G210,$F210)&gt;=DATE(PlanYear,2,1)),1,0))</f>
        <v>0</v>
      </c>
      <c r="Q210">
        <f>IF($N210=0,0,IF(AND($F210&lt;=EOMONTH(DATE(PlanYear,3,1),0),IF(ISNUMBER($G210),$G210,$F210)&gt;=DATE(PlanYear,3,1)),1,0))</f>
        <v>0</v>
      </c>
      <c r="R210">
        <f>IF($N210=0,0,IF(AND($F210&lt;=EOMONTH(DATE(PlanYear,4,1),0),IF(ISNUMBER($G210),$G210,$F210)&gt;=DATE(PlanYear,4,1)),1,0))</f>
        <v>0</v>
      </c>
      <c r="S210">
        <f>IF($N210=0,0,IF(AND($F210&lt;=EOMONTH(DATE(PlanYear,5,1),0),IF(ISNUMBER($G210),$G210,$F210)&gt;=DATE(PlanYear,5,1)),1,0))</f>
        <v>0</v>
      </c>
      <c r="T210">
        <f>IF($N210=0,0,IF(AND($F210&lt;=EOMONTH(DATE(PlanYear,6,1),0),IF(ISNUMBER($G210),$G210,$F210)&gt;=DATE(PlanYear,6,1)),1,0))</f>
        <v>0</v>
      </c>
      <c r="U210">
        <f>IF($N210=0,0,IF(AND($F210&lt;=EOMONTH(DATE(PlanYear,7,1),0),IF(ISNUMBER($G210),$G210,$F210)&gt;=DATE(PlanYear,7,1)),1,0))</f>
        <v>0</v>
      </c>
      <c r="V210">
        <f>IF($N210=0,0,IF(AND($F210&lt;=EOMONTH(DATE(PlanYear,8,1),0),IF(ISNUMBER($G210),$G210,$F210)&gt;=DATE(PlanYear,8,1)),1,0))</f>
        <v>0</v>
      </c>
      <c r="W210">
        <f>IF($N210=0,0,IF(AND($F210&lt;=EOMONTH(DATE(PlanYear,9,1),0),IF(ISNUMBER($G210),$G210,$F210)&gt;=DATE(PlanYear,9,1)),1,0))</f>
        <v>0</v>
      </c>
      <c r="X210">
        <f>IF($N210=0,0,IF(AND($F210&lt;=EOMONTH(DATE(PlanYear,10,1),0),IF(ISNUMBER($G210),$G210,$F210)&gt;=DATE(PlanYear,10,1)),1,0))</f>
        <v>0</v>
      </c>
      <c r="Y210">
        <f>IF($N210=0,0,IF(AND($F210&lt;=EOMONTH(DATE(PlanYear,11,1),0),IF(ISNUMBER($G210),$G210,$F210)&gt;=DATE(PlanYear,11,1)),1,0))</f>
        <v>0</v>
      </c>
      <c r="Z210">
        <f>IF($N210=0,0,IF(AND($F210&lt;=EOMONTH(DATE(PlanYear,12,1),0),IF(ISNUMBER($G210),$G210,$F210)&gt;=DATE(PlanYear,12,1)),1,0))</f>
        <v>0</v>
      </c>
      <c r="AA210">
        <f>SUM($O210:$Z210)</f>
        <v>0</v>
      </c>
    </row>
    <row r="211" spans="1:27">
      <c r="A211" s="42">
        <f>IF($B211="","","ACT-"&amp;TEXT(ROW()-4,"000"))</f>
        <v>0</v>
      </c>
      <c r="M211" s="43">
        <f>IF(COUNTA($B211:$K211)=0,"",IF($B211="","Missing activity name",IF($C211="","Missing practice",IF(COUNTIF(PracticeNames,$C211)=0,"Practice not in Lists",IF($D211="","Missing motion",IF(NOT(ISNUMBER($F211)),"Missing or invalid start date",IF(AND(ISNUMBER($G211),$G211&lt;$F211),"End date before start",IF(AND($N211=1,$AA211=0),"Outside planning year","OK"))))))))</f>
        <v>0</v>
      </c>
      <c r="N211">
        <f>IF(AND($B211&lt;&gt;"",$C211&lt;&gt;"",$D211&lt;&gt;"",ISNUMBER($F211),COUNTIF(PracticeNames,$C211)&gt;0,COUNTIF(MotionNames,$D211)&gt;0,NOT(AND(ISNUMBER($G211),$G211&lt;$F211))),IF(StatusFilter="All (excl. Cancelled)",IF($H211="Cancelled",0,1),IF(StatusFilter="All",1,IF($H211=StatusFilter,1,0))),0)</f>
        <v>0</v>
      </c>
      <c r="O211">
        <f>IF($N211=0,0,IF(AND($F211&lt;=EOMONTH(DATE(PlanYear,1,1),0),IF(ISNUMBER($G211),$G211,$F211)&gt;=DATE(PlanYear,1,1)),1,0))</f>
        <v>0</v>
      </c>
      <c r="P211">
        <f>IF($N211=0,0,IF(AND($F211&lt;=EOMONTH(DATE(PlanYear,2,1),0),IF(ISNUMBER($G211),$G211,$F211)&gt;=DATE(PlanYear,2,1)),1,0))</f>
        <v>0</v>
      </c>
      <c r="Q211">
        <f>IF($N211=0,0,IF(AND($F211&lt;=EOMONTH(DATE(PlanYear,3,1),0),IF(ISNUMBER($G211),$G211,$F211)&gt;=DATE(PlanYear,3,1)),1,0))</f>
        <v>0</v>
      </c>
      <c r="R211">
        <f>IF($N211=0,0,IF(AND($F211&lt;=EOMONTH(DATE(PlanYear,4,1),0),IF(ISNUMBER($G211),$G211,$F211)&gt;=DATE(PlanYear,4,1)),1,0))</f>
        <v>0</v>
      </c>
      <c r="S211">
        <f>IF($N211=0,0,IF(AND($F211&lt;=EOMONTH(DATE(PlanYear,5,1),0),IF(ISNUMBER($G211),$G211,$F211)&gt;=DATE(PlanYear,5,1)),1,0))</f>
        <v>0</v>
      </c>
      <c r="T211">
        <f>IF($N211=0,0,IF(AND($F211&lt;=EOMONTH(DATE(PlanYear,6,1),0),IF(ISNUMBER($G211),$G211,$F211)&gt;=DATE(PlanYear,6,1)),1,0))</f>
        <v>0</v>
      </c>
      <c r="U211">
        <f>IF($N211=0,0,IF(AND($F211&lt;=EOMONTH(DATE(PlanYear,7,1),0),IF(ISNUMBER($G211),$G211,$F211)&gt;=DATE(PlanYear,7,1)),1,0))</f>
        <v>0</v>
      </c>
      <c r="V211">
        <f>IF($N211=0,0,IF(AND($F211&lt;=EOMONTH(DATE(PlanYear,8,1),0),IF(ISNUMBER($G211),$G211,$F211)&gt;=DATE(PlanYear,8,1)),1,0))</f>
        <v>0</v>
      </c>
      <c r="W211">
        <f>IF($N211=0,0,IF(AND($F211&lt;=EOMONTH(DATE(PlanYear,9,1),0),IF(ISNUMBER($G211),$G211,$F211)&gt;=DATE(PlanYear,9,1)),1,0))</f>
        <v>0</v>
      </c>
      <c r="X211">
        <f>IF($N211=0,0,IF(AND($F211&lt;=EOMONTH(DATE(PlanYear,10,1),0),IF(ISNUMBER($G211),$G211,$F211)&gt;=DATE(PlanYear,10,1)),1,0))</f>
        <v>0</v>
      </c>
      <c r="Y211">
        <f>IF($N211=0,0,IF(AND($F211&lt;=EOMONTH(DATE(PlanYear,11,1),0),IF(ISNUMBER($G211),$G211,$F211)&gt;=DATE(PlanYear,11,1)),1,0))</f>
        <v>0</v>
      </c>
      <c r="Z211">
        <f>IF($N211=0,0,IF(AND($F211&lt;=EOMONTH(DATE(PlanYear,12,1),0),IF(ISNUMBER($G211),$G211,$F211)&gt;=DATE(PlanYear,12,1)),1,0))</f>
        <v>0</v>
      </c>
      <c r="AA211">
        <f>SUM($O211:$Z211)</f>
        <v>0</v>
      </c>
    </row>
    <row r="212" spans="1:27">
      <c r="A212" s="42">
        <f>IF($B212="","","ACT-"&amp;TEXT(ROW()-4,"000"))</f>
        <v>0</v>
      </c>
      <c r="M212" s="43">
        <f>IF(COUNTA($B212:$K212)=0,"",IF($B212="","Missing activity name",IF($C212="","Missing practice",IF(COUNTIF(PracticeNames,$C212)=0,"Practice not in Lists",IF($D212="","Missing motion",IF(NOT(ISNUMBER($F212)),"Missing or invalid start date",IF(AND(ISNUMBER($G212),$G212&lt;$F212),"End date before start",IF(AND($N212=1,$AA212=0),"Outside planning year","OK"))))))))</f>
        <v>0</v>
      </c>
      <c r="N212">
        <f>IF(AND($B212&lt;&gt;"",$C212&lt;&gt;"",$D212&lt;&gt;"",ISNUMBER($F212),COUNTIF(PracticeNames,$C212)&gt;0,COUNTIF(MotionNames,$D212)&gt;0,NOT(AND(ISNUMBER($G212),$G212&lt;$F212))),IF(StatusFilter="All (excl. Cancelled)",IF($H212="Cancelled",0,1),IF(StatusFilter="All",1,IF($H212=StatusFilter,1,0))),0)</f>
        <v>0</v>
      </c>
      <c r="O212">
        <f>IF($N212=0,0,IF(AND($F212&lt;=EOMONTH(DATE(PlanYear,1,1),0),IF(ISNUMBER($G212),$G212,$F212)&gt;=DATE(PlanYear,1,1)),1,0))</f>
        <v>0</v>
      </c>
      <c r="P212">
        <f>IF($N212=0,0,IF(AND($F212&lt;=EOMONTH(DATE(PlanYear,2,1),0),IF(ISNUMBER($G212),$G212,$F212)&gt;=DATE(PlanYear,2,1)),1,0))</f>
        <v>0</v>
      </c>
      <c r="Q212">
        <f>IF($N212=0,0,IF(AND($F212&lt;=EOMONTH(DATE(PlanYear,3,1),0),IF(ISNUMBER($G212),$G212,$F212)&gt;=DATE(PlanYear,3,1)),1,0))</f>
        <v>0</v>
      </c>
      <c r="R212">
        <f>IF($N212=0,0,IF(AND($F212&lt;=EOMONTH(DATE(PlanYear,4,1),0),IF(ISNUMBER($G212),$G212,$F212)&gt;=DATE(PlanYear,4,1)),1,0))</f>
        <v>0</v>
      </c>
      <c r="S212">
        <f>IF($N212=0,0,IF(AND($F212&lt;=EOMONTH(DATE(PlanYear,5,1),0),IF(ISNUMBER($G212),$G212,$F212)&gt;=DATE(PlanYear,5,1)),1,0))</f>
        <v>0</v>
      </c>
      <c r="T212">
        <f>IF($N212=0,0,IF(AND($F212&lt;=EOMONTH(DATE(PlanYear,6,1),0),IF(ISNUMBER($G212),$G212,$F212)&gt;=DATE(PlanYear,6,1)),1,0))</f>
        <v>0</v>
      </c>
      <c r="U212">
        <f>IF($N212=0,0,IF(AND($F212&lt;=EOMONTH(DATE(PlanYear,7,1),0),IF(ISNUMBER($G212),$G212,$F212)&gt;=DATE(PlanYear,7,1)),1,0))</f>
        <v>0</v>
      </c>
      <c r="V212">
        <f>IF($N212=0,0,IF(AND($F212&lt;=EOMONTH(DATE(PlanYear,8,1),0),IF(ISNUMBER($G212),$G212,$F212)&gt;=DATE(PlanYear,8,1)),1,0))</f>
        <v>0</v>
      </c>
      <c r="W212">
        <f>IF($N212=0,0,IF(AND($F212&lt;=EOMONTH(DATE(PlanYear,9,1),0),IF(ISNUMBER($G212),$G212,$F212)&gt;=DATE(PlanYear,9,1)),1,0))</f>
        <v>0</v>
      </c>
      <c r="X212">
        <f>IF($N212=0,0,IF(AND($F212&lt;=EOMONTH(DATE(PlanYear,10,1),0),IF(ISNUMBER($G212),$G212,$F212)&gt;=DATE(PlanYear,10,1)),1,0))</f>
        <v>0</v>
      </c>
      <c r="Y212">
        <f>IF($N212=0,0,IF(AND($F212&lt;=EOMONTH(DATE(PlanYear,11,1),0),IF(ISNUMBER($G212),$G212,$F212)&gt;=DATE(PlanYear,11,1)),1,0))</f>
        <v>0</v>
      </c>
      <c r="Z212">
        <f>IF($N212=0,0,IF(AND($F212&lt;=EOMONTH(DATE(PlanYear,12,1),0),IF(ISNUMBER($G212),$G212,$F212)&gt;=DATE(PlanYear,12,1)),1,0))</f>
        <v>0</v>
      </c>
      <c r="AA212">
        <f>SUM($O212:$Z212)</f>
        <v>0</v>
      </c>
    </row>
    <row r="213" spans="1:27">
      <c r="A213" s="42">
        <f>IF($B213="","","ACT-"&amp;TEXT(ROW()-4,"000"))</f>
        <v>0</v>
      </c>
      <c r="M213" s="43">
        <f>IF(COUNTA($B213:$K213)=0,"",IF($B213="","Missing activity name",IF($C213="","Missing practice",IF(COUNTIF(PracticeNames,$C213)=0,"Practice not in Lists",IF($D213="","Missing motion",IF(NOT(ISNUMBER($F213)),"Missing or invalid start date",IF(AND(ISNUMBER($G213),$G213&lt;$F213),"End date before start",IF(AND($N213=1,$AA213=0),"Outside planning year","OK"))))))))</f>
        <v>0</v>
      </c>
      <c r="N213">
        <f>IF(AND($B213&lt;&gt;"",$C213&lt;&gt;"",$D213&lt;&gt;"",ISNUMBER($F213),COUNTIF(PracticeNames,$C213)&gt;0,COUNTIF(MotionNames,$D213)&gt;0,NOT(AND(ISNUMBER($G213),$G213&lt;$F213))),IF(StatusFilter="All (excl. Cancelled)",IF($H213="Cancelled",0,1),IF(StatusFilter="All",1,IF($H213=StatusFilter,1,0))),0)</f>
        <v>0</v>
      </c>
      <c r="O213">
        <f>IF($N213=0,0,IF(AND($F213&lt;=EOMONTH(DATE(PlanYear,1,1),0),IF(ISNUMBER($G213),$G213,$F213)&gt;=DATE(PlanYear,1,1)),1,0))</f>
        <v>0</v>
      </c>
      <c r="P213">
        <f>IF($N213=0,0,IF(AND($F213&lt;=EOMONTH(DATE(PlanYear,2,1),0),IF(ISNUMBER($G213),$G213,$F213)&gt;=DATE(PlanYear,2,1)),1,0))</f>
        <v>0</v>
      </c>
      <c r="Q213">
        <f>IF($N213=0,0,IF(AND($F213&lt;=EOMONTH(DATE(PlanYear,3,1),0),IF(ISNUMBER($G213),$G213,$F213)&gt;=DATE(PlanYear,3,1)),1,0))</f>
        <v>0</v>
      </c>
      <c r="R213">
        <f>IF($N213=0,0,IF(AND($F213&lt;=EOMONTH(DATE(PlanYear,4,1),0),IF(ISNUMBER($G213),$G213,$F213)&gt;=DATE(PlanYear,4,1)),1,0))</f>
        <v>0</v>
      </c>
      <c r="S213">
        <f>IF($N213=0,0,IF(AND($F213&lt;=EOMONTH(DATE(PlanYear,5,1),0),IF(ISNUMBER($G213),$G213,$F213)&gt;=DATE(PlanYear,5,1)),1,0))</f>
        <v>0</v>
      </c>
      <c r="T213">
        <f>IF($N213=0,0,IF(AND($F213&lt;=EOMONTH(DATE(PlanYear,6,1),0),IF(ISNUMBER($G213),$G213,$F213)&gt;=DATE(PlanYear,6,1)),1,0))</f>
        <v>0</v>
      </c>
      <c r="U213">
        <f>IF($N213=0,0,IF(AND($F213&lt;=EOMONTH(DATE(PlanYear,7,1),0),IF(ISNUMBER($G213),$G213,$F213)&gt;=DATE(PlanYear,7,1)),1,0))</f>
        <v>0</v>
      </c>
      <c r="V213">
        <f>IF($N213=0,0,IF(AND($F213&lt;=EOMONTH(DATE(PlanYear,8,1),0),IF(ISNUMBER($G213),$G213,$F213)&gt;=DATE(PlanYear,8,1)),1,0))</f>
        <v>0</v>
      </c>
      <c r="W213">
        <f>IF($N213=0,0,IF(AND($F213&lt;=EOMONTH(DATE(PlanYear,9,1),0),IF(ISNUMBER($G213),$G213,$F213)&gt;=DATE(PlanYear,9,1)),1,0))</f>
        <v>0</v>
      </c>
      <c r="X213">
        <f>IF($N213=0,0,IF(AND($F213&lt;=EOMONTH(DATE(PlanYear,10,1),0),IF(ISNUMBER($G213),$G213,$F213)&gt;=DATE(PlanYear,10,1)),1,0))</f>
        <v>0</v>
      </c>
      <c r="Y213">
        <f>IF($N213=0,0,IF(AND($F213&lt;=EOMONTH(DATE(PlanYear,11,1),0),IF(ISNUMBER($G213),$G213,$F213)&gt;=DATE(PlanYear,11,1)),1,0))</f>
        <v>0</v>
      </c>
      <c r="Z213">
        <f>IF($N213=0,0,IF(AND($F213&lt;=EOMONTH(DATE(PlanYear,12,1),0),IF(ISNUMBER($G213),$G213,$F213)&gt;=DATE(PlanYear,12,1)),1,0))</f>
        <v>0</v>
      </c>
      <c r="AA213">
        <f>SUM($O213:$Z213)</f>
        <v>0</v>
      </c>
    </row>
    <row r="214" spans="1:27">
      <c r="A214" s="42">
        <f>IF($B214="","","ACT-"&amp;TEXT(ROW()-4,"000"))</f>
        <v>0</v>
      </c>
      <c r="M214" s="43">
        <f>IF(COUNTA($B214:$K214)=0,"",IF($B214="","Missing activity name",IF($C214="","Missing practice",IF(COUNTIF(PracticeNames,$C214)=0,"Practice not in Lists",IF($D214="","Missing motion",IF(NOT(ISNUMBER($F214)),"Missing or invalid start date",IF(AND(ISNUMBER($G214),$G214&lt;$F214),"End date before start",IF(AND($N214=1,$AA214=0),"Outside planning year","OK"))))))))</f>
        <v>0</v>
      </c>
      <c r="N214">
        <f>IF(AND($B214&lt;&gt;"",$C214&lt;&gt;"",$D214&lt;&gt;"",ISNUMBER($F214),COUNTIF(PracticeNames,$C214)&gt;0,COUNTIF(MotionNames,$D214)&gt;0,NOT(AND(ISNUMBER($G214),$G214&lt;$F214))),IF(StatusFilter="All (excl. Cancelled)",IF($H214="Cancelled",0,1),IF(StatusFilter="All",1,IF($H214=StatusFilter,1,0))),0)</f>
        <v>0</v>
      </c>
      <c r="O214">
        <f>IF($N214=0,0,IF(AND($F214&lt;=EOMONTH(DATE(PlanYear,1,1),0),IF(ISNUMBER($G214),$G214,$F214)&gt;=DATE(PlanYear,1,1)),1,0))</f>
        <v>0</v>
      </c>
      <c r="P214">
        <f>IF($N214=0,0,IF(AND($F214&lt;=EOMONTH(DATE(PlanYear,2,1),0),IF(ISNUMBER($G214),$G214,$F214)&gt;=DATE(PlanYear,2,1)),1,0))</f>
        <v>0</v>
      </c>
      <c r="Q214">
        <f>IF($N214=0,0,IF(AND($F214&lt;=EOMONTH(DATE(PlanYear,3,1),0),IF(ISNUMBER($G214),$G214,$F214)&gt;=DATE(PlanYear,3,1)),1,0))</f>
        <v>0</v>
      </c>
      <c r="R214">
        <f>IF($N214=0,0,IF(AND($F214&lt;=EOMONTH(DATE(PlanYear,4,1),0),IF(ISNUMBER($G214),$G214,$F214)&gt;=DATE(PlanYear,4,1)),1,0))</f>
        <v>0</v>
      </c>
      <c r="S214">
        <f>IF($N214=0,0,IF(AND($F214&lt;=EOMONTH(DATE(PlanYear,5,1),0),IF(ISNUMBER($G214),$G214,$F214)&gt;=DATE(PlanYear,5,1)),1,0))</f>
        <v>0</v>
      </c>
      <c r="T214">
        <f>IF($N214=0,0,IF(AND($F214&lt;=EOMONTH(DATE(PlanYear,6,1),0),IF(ISNUMBER($G214),$G214,$F214)&gt;=DATE(PlanYear,6,1)),1,0))</f>
        <v>0</v>
      </c>
      <c r="U214">
        <f>IF($N214=0,0,IF(AND($F214&lt;=EOMONTH(DATE(PlanYear,7,1),0),IF(ISNUMBER($G214),$G214,$F214)&gt;=DATE(PlanYear,7,1)),1,0))</f>
        <v>0</v>
      </c>
      <c r="V214">
        <f>IF($N214=0,0,IF(AND($F214&lt;=EOMONTH(DATE(PlanYear,8,1),0),IF(ISNUMBER($G214),$G214,$F214)&gt;=DATE(PlanYear,8,1)),1,0))</f>
        <v>0</v>
      </c>
      <c r="W214">
        <f>IF($N214=0,0,IF(AND($F214&lt;=EOMONTH(DATE(PlanYear,9,1),0),IF(ISNUMBER($G214),$G214,$F214)&gt;=DATE(PlanYear,9,1)),1,0))</f>
        <v>0</v>
      </c>
      <c r="X214">
        <f>IF($N214=0,0,IF(AND($F214&lt;=EOMONTH(DATE(PlanYear,10,1),0),IF(ISNUMBER($G214),$G214,$F214)&gt;=DATE(PlanYear,10,1)),1,0))</f>
        <v>0</v>
      </c>
      <c r="Y214">
        <f>IF($N214=0,0,IF(AND($F214&lt;=EOMONTH(DATE(PlanYear,11,1),0),IF(ISNUMBER($G214),$G214,$F214)&gt;=DATE(PlanYear,11,1)),1,0))</f>
        <v>0</v>
      </c>
      <c r="Z214">
        <f>IF($N214=0,0,IF(AND($F214&lt;=EOMONTH(DATE(PlanYear,12,1),0),IF(ISNUMBER($G214),$G214,$F214)&gt;=DATE(PlanYear,12,1)),1,0))</f>
        <v>0</v>
      </c>
      <c r="AA214">
        <f>SUM($O214:$Z214)</f>
        <v>0</v>
      </c>
    </row>
    <row r="215" spans="1:27">
      <c r="A215" s="42">
        <f>IF($B215="","","ACT-"&amp;TEXT(ROW()-4,"000"))</f>
        <v>0</v>
      </c>
      <c r="M215" s="43">
        <f>IF(COUNTA($B215:$K215)=0,"",IF($B215="","Missing activity name",IF($C215="","Missing practice",IF(COUNTIF(PracticeNames,$C215)=0,"Practice not in Lists",IF($D215="","Missing motion",IF(NOT(ISNUMBER($F215)),"Missing or invalid start date",IF(AND(ISNUMBER($G215),$G215&lt;$F215),"End date before start",IF(AND($N215=1,$AA215=0),"Outside planning year","OK"))))))))</f>
        <v>0</v>
      </c>
      <c r="N215">
        <f>IF(AND($B215&lt;&gt;"",$C215&lt;&gt;"",$D215&lt;&gt;"",ISNUMBER($F215),COUNTIF(PracticeNames,$C215)&gt;0,COUNTIF(MotionNames,$D215)&gt;0,NOT(AND(ISNUMBER($G215),$G215&lt;$F215))),IF(StatusFilter="All (excl. Cancelled)",IF($H215="Cancelled",0,1),IF(StatusFilter="All",1,IF($H215=StatusFilter,1,0))),0)</f>
        <v>0</v>
      </c>
      <c r="O215">
        <f>IF($N215=0,0,IF(AND($F215&lt;=EOMONTH(DATE(PlanYear,1,1),0),IF(ISNUMBER($G215),$G215,$F215)&gt;=DATE(PlanYear,1,1)),1,0))</f>
        <v>0</v>
      </c>
      <c r="P215">
        <f>IF($N215=0,0,IF(AND($F215&lt;=EOMONTH(DATE(PlanYear,2,1),0),IF(ISNUMBER($G215),$G215,$F215)&gt;=DATE(PlanYear,2,1)),1,0))</f>
        <v>0</v>
      </c>
      <c r="Q215">
        <f>IF($N215=0,0,IF(AND($F215&lt;=EOMONTH(DATE(PlanYear,3,1),0),IF(ISNUMBER($G215),$G215,$F215)&gt;=DATE(PlanYear,3,1)),1,0))</f>
        <v>0</v>
      </c>
      <c r="R215">
        <f>IF($N215=0,0,IF(AND($F215&lt;=EOMONTH(DATE(PlanYear,4,1),0),IF(ISNUMBER($G215),$G215,$F215)&gt;=DATE(PlanYear,4,1)),1,0))</f>
        <v>0</v>
      </c>
      <c r="S215">
        <f>IF($N215=0,0,IF(AND($F215&lt;=EOMONTH(DATE(PlanYear,5,1),0),IF(ISNUMBER($G215),$G215,$F215)&gt;=DATE(PlanYear,5,1)),1,0))</f>
        <v>0</v>
      </c>
      <c r="T215">
        <f>IF($N215=0,0,IF(AND($F215&lt;=EOMONTH(DATE(PlanYear,6,1),0),IF(ISNUMBER($G215),$G215,$F215)&gt;=DATE(PlanYear,6,1)),1,0))</f>
        <v>0</v>
      </c>
      <c r="U215">
        <f>IF($N215=0,0,IF(AND($F215&lt;=EOMONTH(DATE(PlanYear,7,1),0),IF(ISNUMBER($G215),$G215,$F215)&gt;=DATE(PlanYear,7,1)),1,0))</f>
        <v>0</v>
      </c>
      <c r="V215">
        <f>IF($N215=0,0,IF(AND($F215&lt;=EOMONTH(DATE(PlanYear,8,1),0),IF(ISNUMBER($G215),$G215,$F215)&gt;=DATE(PlanYear,8,1)),1,0))</f>
        <v>0</v>
      </c>
      <c r="W215">
        <f>IF($N215=0,0,IF(AND($F215&lt;=EOMONTH(DATE(PlanYear,9,1),0),IF(ISNUMBER($G215),$G215,$F215)&gt;=DATE(PlanYear,9,1)),1,0))</f>
        <v>0</v>
      </c>
      <c r="X215">
        <f>IF($N215=0,0,IF(AND($F215&lt;=EOMONTH(DATE(PlanYear,10,1),0),IF(ISNUMBER($G215),$G215,$F215)&gt;=DATE(PlanYear,10,1)),1,0))</f>
        <v>0</v>
      </c>
      <c r="Y215">
        <f>IF($N215=0,0,IF(AND($F215&lt;=EOMONTH(DATE(PlanYear,11,1),0),IF(ISNUMBER($G215),$G215,$F215)&gt;=DATE(PlanYear,11,1)),1,0))</f>
        <v>0</v>
      </c>
      <c r="Z215">
        <f>IF($N215=0,0,IF(AND($F215&lt;=EOMONTH(DATE(PlanYear,12,1),0),IF(ISNUMBER($G215),$G215,$F215)&gt;=DATE(PlanYear,12,1)),1,0))</f>
        <v>0</v>
      </c>
      <c r="AA215">
        <f>SUM($O215:$Z215)</f>
        <v>0</v>
      </c>
    </row>
    <row r="216" spans="1:27">
      <c r="A216" s="42">
        <f>IF($B216="","","ACT-"&amp;TEXT(ROW()-4,"000"))</f>
        <v>0</v>
      </c>
      <c r="M216" s="43">
        <f>IF(COUNTA($B216:$K216)=0,"",IF($B216="","Missing activity name",IF($C216="","Missing practice",IF(COUNTIF(PracticeNames,$C216)=0,"Practice not in Lists",IF($D216="","Missing motion",IF(NOT(ISNUMBER($F216)),"Missing or invalid start date",IF(AND(ISNUMBER($G216),$G216&lt;$F216),"End date before start",IF(AND($N216=1,$AA216=0),"Outside planning year","OK"))))))))</f>
        <v>0</v>
      </c>
      <c r="N216">
        <f>IF(AND($B216&lt;&gt;"",$C216&lt;&gt;"",$D216&lt;&gt;"",ISNUMBER($F216),COUNTIF(PracticeNames,$C216)&gt;0,COUNTIF(MotionNames,$D216)&gt;0,NOT(AND(ISNUMBER($G216),$G216&lt;$F216))),IF(StatusFilter="All (excl. Cancelled)",IF($H216="Cancelled",0,1),IF(StatusFilter="All",1,IF($H216=StatusFilter,1,0))),0)</f>
        <v>0</v>
      </c>
      <c r="O216">
        <f>IF($N216=0,0,IF(AND($F216&lt;=EOMONTH(DATE(PlanYear,1,1),0),IF(ISNUMBER($G216),$G216,$F216)&gt;=DATE(PlanYear,1,1)),1,0))</f>
        <v>0</v>
      </c>
      <c r="P216">
        <f>IF($N216=0,0,IF(AND($F216&lt;=EOMONTH(DATE(PlanYear,2,1),0),IF(ISNUMBER($G216),$G216,$F216)&gt;=DATE(PlanYear,2,1)),1,0))</f>
        <v>0</v>
      </c>
      <c r="Q216">
        <f>IF($N216=0,0,IF(AND($F216&lt;=EOMONTH(DATE(PlanYear,3,1),0),IF(ISNUMBER($G216),$G216,$F216)&gt;=DATE(PlanYear,3,1)),1,0))</f>
        <v>0</v>
      </c>
      <c r="R216">
        <f>IF($N216=0,0,IF(AND($F216&lt;=EOMONTH(DATE(PlanYear,4,1),0),IF(ISNUMBER($G216),$G216,$F216)&gt;=DATE(PlanYear,4,1)),1,0))</f>
        <v>0</v>
      </c>
      <c r="S216">
        <f>IF($N216=0,0,IF(AND($F216&lt;=EOMONTH(DATE(PlanYear,5,1),0),IF(ISNUMBER($G216),$G216,$F216)&gt;=DATE(PlanYear,5,1)),1,0))</f>
        <v>0</v>
      </c>
      <c r="T216">
        <f>IF($N216=0,0,IF(AND($F216&lt;=EOMONTH(DATE(PlanYear,6,1),0),IF(ISNUMBER($G216),$G216,$F216)&gt;=DATE(PlanYear,6,1)),1,0))</f>
        <v>0</v>
      </c>
      <c r="U216">
        <f>IF($N216=0,0,IF(AND($F216&lt;=EOMONTH(DATE(PlanYear,7,1),0),IF(ISNUMBER($G216),$G216,$F216)&gt;=DATE(PlanYear,7,1)),1,0))</f>
        <v>0</v>
      </c>
      <c r="V216">
        <f>IF($N216=0,0,IF(AND($F216&lt;=EOMONTH(DATE(PlanYear,8,1),0),IF(ISNUMBER($G216),$G216,$F216)&gt;=DATE(PlanYear,8,1)),1,0))</f>
        <v>0</v>
      </c>
      <c r="W216">
        <f>IF($N216=0,0,IF(AND($F216&lt;=EOMONTH(DATE(PlanYear,9,1),0),IF(ISNUMBER($G216),$G216,$F216)&gt;=DATE(PlanYear,9,1)),1,0))</f>
        <v>0</v>
      </c>
      <c r="X216">
        <f>IF($N216=0,0,IF(AND($F216&lt;=EOMONTH(DATE(PlanYear,10,1),0),IF(ISNUMBER($G216),$G216,$F216)&gt;=DATE(PlanYear,10,1)),1,0))</f>
        <v>0</v>
      </c>
      <c r="Y216">
        <f>IF($N216=0,0,IF(AND($F216&lt;=EOMONTH(DATE(PlanYear,11,1),0),IF(ISNUMBER($G216),$G216,$F216)&gt;=DATE(PlanYear,11,1)),1,0))</f>
        <v>0</v>
      </c>
      <c r="Z216">
        <f>IF($N216=0,0,IF(AND($F216&lt;=EOMONTH(DATE(PlanYear,12,1),0),IF(ISNUMBER($G216),$G216,$F216)&gt;=DATE(PlanYear,12,1)),1,0))</f>
        <v>0</v>
      </c>
      <c r="AA216">
        <f>SUM($O216:$Z216)</f>
        <v>0</v>
      </c>
    </row>
    <row r="217" spans="1:27">
      <c r="A217" s="42">
        <f>IF($B217="","","ACT-"&amp;TEXT(ROW()-4,"000"))</f>
        <v>0</v>
      </c>
      <c r="M217" s="43">
        <f>IF(COUNTA($B217:$K217)=0,"",IF($B217="","Missing activity name",IF($C217="","Missing practice",IF(COUNTIF(PracticeNames,$C217)=0,"Practice not in Lists",IF($D217="","Missing motion",IF(NOT(ISNUMBER($F217)),"Missing or invalid start date",IF(AND(ISNUMBER($G217),$G217&lt;$F217),"End date before start",IF(AND($N217=1,$AA217=0),"Outside planning year","OK"))))))))</f>
        <v>0</v>
      </c>
      <c r="N217">
        <f>IF(AND($B217&lt;&gt;"",$C217&lt;&gt;"",$D217&lt;&gt;"",ISNUMBER($F217),COUNTIF(PracticeNames,$C217)&gt;0,COUNTIF(MotionNames,$D217)&gt;0,NOT(AND(ISNUMBER($G217),$G217&lt;$F217))),IF(StatusFilter="All (excl. Cancelled)",IF($H217="Cancelled",0,1),IF(StatusFilter="All",1,IF($H217=StatusFilter,1,0))),0)</f>
        <v>0</v>
      </c>
      <c r="O217">
        <f>IF($N217=0,0,IF(AND($F217&lt;=EOMONTH(DATE(PlanYear,1,1),0),IF(ISNUMBER($G217),$G217,$F217)&gt;=DATE(PlanYear,1,1)),1,0))</f>
        <v>0</v>
      </c>
      <c r="P217">
        <f>IF($N217=0,0,IF(AND($F217&lt;=EOMONTH(DATE(PlanYear,2,1),0),IF(ISNUMBER($G217),$G217,$F217)&gt;=DATE(PlanYear,2,1)),1,0))</f>
        <v>0</v>
      </c>
      <c r="Q217">
        <f>IF($N217=0,0,IF(AND($F217&lt;=EOMONTH(DATE(PlanYear,3,1),0),IF(ISNUMBER($G217),$G217,$F217)&gt;=DATE(PlanYear,3,1)),1,0))</f>
        <v>0</v>
      </c>
      <c r="R217">
        <f>IF($N217=0,0,IF(AND($F217&lt;=EOMONTH(DATE(PlanYear,4,1),0),IF(ISNUMBER($G217),$G217,$F217)&gt;=DATE(PlanYear,4,1)),1,0))</f>
        <v>0</v>
      </c>
      <c r="S217">
        <f>IF($N217=0,0,IF(AND($F217&lt;=EOMONTH(DATE(PlanYear,5,1),0),IF(ISNUMBER($G217),$G217,$F217)&gt;=DATE(PlanYear,5,1)),1,0))</f>
        <v>0</v>
      </c>
      <c r="T217">
        <f>IF($N217=0,0,IF(AND($F217&lt;=EOMONTH(DATE(PlanYear,6,1),0),IF(ISNUMBER($G217),$G217,$F217)&gt;=DATE(PlanYear,6,1)),1,0))</f>
        <v>0</v>
      </c>
      <c r="U217">
        <f>IF($N217=0,0,IF(AND($F217&lt;=EOMONTH(DATE(PlanYear,7,1),0),IF(ISNUMBER($G217),$G217,$F217)&gt;=DATE(PlanYear,7,1)),1,0))</f>
        <v>0</v>
      </c>
      <c r="V217">
        <f>IF($N217=0,0,IF(AND($F217&lt;=EOMONTH(DATE(PlanYear,8,1),0),IF(ISNUMBER($G217),$G217,$F217)&gt;=DATE(PlanYear,8,1)),1,0))</f>
        <v>0</v>
      </c>
      <c r="W217">
        <f>IF($N217=0,0,IF(AND($F217&lt;=EOMONTH(DATE(PlanYear,9,1),0),IF(ISNUMBER($G217),$G217,$F217)&gt;=DATE(PlanYear,9,1)),1,0))</f>
        <v>0</v>
      </c>
      <c r="X217">
        <f>IF($N217=0,0,IF(AND($F217&lt;=EOMONTH(DATE(PlanYear,10,1),0),IF(ISNUMBER($G217),$G217,$F217)&gt;=DATE(PlanYear,10,1)),1,0))</f>
        <v>0</v>
      </c>
      <c r="Y217">
        <f>IF($N217=0,0,IF(AND($F217&lt;=EOMONTH(DATE(PlanYear,11,1),0),IF(ISNUMBER($G217),$G217,$F217)&gt;=DATE(PlanYear,11,1)),1,0))</f>
        <v>0</v>
      </c>
      <c r="Z217">
        <f>IF($N217=0,0,IF(AND($F217&lt;=EOMONTH(DATE(PlanYear,12,1),0),IF(ISNUMBER($G217),$G217,$F217)&gt;=DATE(PlanYear,12,1)),1,0))</f>
        <v>0</v>
      </c>
      <c r="AA217">
        <f>SUM($O217:$Z217)</f>
        <v>0</v>
      </c>
    </row>
    <row r="218" spans="1:27">
      <c r="A218" s="42">
        <f>IF($B218="","","ACT-"&amp;TEXT(ROW()-4,"000"))</f>
        <v>0</v>
      </c>
      <c r="M218" s="43">
        <f>IF(COUNTA($B218:$K218)=0,"",IF($B218="","Missing activity name",IF($C218="","Missing practice",IF(COUNTIF(PracticeNames,$C218)=0,"Practice not in Lists",IF($D218="","Missing motion",IF(NOT(ISNUMBER($F218)),"Missing or invalid start date",IF(AND(ISNUMBER($G218),$G218&lt;$F218),"End date before start",IF(AND($N218=1,$AA218=0),"Outside planning year","OK"))))))))</f>
        <v>0</v>
      </c>
      <c r="N218">
        <f>IF(AND($B218&lt;&gt;"",$C218&lt;&gt;"",$D218&lt;&gt;"",ISNUMBER($F218),COUNTIF(PracticeNames,$C218)&gt;0,COUNTIF(MotionNames,$D218)&gt;0,NOT(AND(ISNUMBER($G218),$G218&lt;$F218))),IF(StatusFilter="All (excl. Cancelled)",IF($H218="Cancelled",0,1),IF(StatusFilter="All",1,IF($H218=StatusFilter,1,0))),0)</f>
        <v>0</v>
      </c>
      <c r="O218">
        <f>IF($N218=0,0,IF(AND($F218&lt;=EOMONTH(DATE(PlanYear,1,1),0),IF(ISNUMBER($G218),$G218,$F218)&gt;=DATE(PlanYear,1,1)),1,0))</f>
        <v>0</v>
      </c>
      <c r="P218">
        <f>IF($N218=0,0,IF(AND($F218&lt;=EOMONTH(DATE(PlanYear,2,1),0),IF(ISNUMBER($G218),$G218,$F218)&gt;=DATE(PlanYear,2,1)),1,0))</f>
        <v>0</v>
      </c>
      <c r="Q218">
        <f>IF($N218=0,0,IF(AND($F218&lt;=EOMONTH(DATE(PlanYear,3,1),0),IF(ISNUMBER($G218),$G218,$F218)&gt;=DATE(PlanYear,3,1)),1,0))</f>
        <v>0</v>
      </c>
      <c r="R218">
        <f>IF($N218=0,0,IF(AND($F218&lt;=EOMONTH(DATE(PlanYear,4,1),0),IF(ISNUMBER($G218),$G218,$F218)&gt;=DATE(PlanYear,4,1)),1,0))</f>
        <v>0</v>
      </c>
      <c r="S218">
        <f>IF($N218=0,0,IF(AND($F218&lt;=EOMONTH(DATE(PlanYear,5,1),0),IF(ISNUMBER($G218),$G218,$F218)&gt;=DATE(PlanYear,5,1)),1,0))</f>
        <v>0</v>
      </c>
      <c r="T218">
        <f>IF($N218=0,0,IF(AND($F218&lt;=EOMONTH(DATE(PlanYear,6,1),0),IF(ISNUMBER($G218),$G218,$F218)&gt;=DATE(PlanYear,6,1)),1,0))</f>
        <v>0</v>
      </c>
      <c r="U218">
        <f>IF($N218=0,0,IF(AND($F218&lt;=EOMONTH(DATE(PlanYear,7,1),0),IF(ISNUMBER($G218),$G218,$F218)&gt;=DATE(PlanYear,7,1)),1,0))</f>
        <v>0</v>
      </c>
      <c r="V218">
        <f>IF($N218=0,0,IF(AND($F218&lt;=EOMONTH(DATE(PlanYear,8,1),0),IF(ISNUMBER($G218),$G218,$F218)&gt;=DATE(PlanYear,8,1)),1,0))</f>
        <v>0</v>
      </c>
      <c r="W218">
        <f>IF($N218=0,0,IF(AND($F218&lt;=EOMONTH(DATE(PlanYear,9,1),0),IF(ISNUMBER($G218),$G218,$F218)&gt;=DATE(PlanYear,9,1)),1,0))</f>
        <v>0</v>
      </c>
      <c r="X218">
        <f>IF($N218=0,0,IF(AND($F218&lt;=EOMONTH(DATE(PlanYear,10,1),0),IF(ISNUMBER($G218),$G218,$F218)&gt;=DATE(PlanYear,10,1)),1,0))</f>
        <v>0</v>
      </c>
      <c r="Y218">
        <f>IF($N218=0,0,IF(AND($F218&lt;=EOMONTH(DATE(PlanYear,11,1),0),IF(ISNUMBER($G218),$G218,$F218)&gt;=DATE(PlanYear,11,1)),1,0))</f>
        <v>0</v>
      </c>
      <c r="Z218">
        <f>IF($N218=0,0,IF(AND($F218&lt;=EOMONTH(DATE(PlanYear,12,1),0),IF(ISNUMBER($G218),$G218,$F218)&gt;=DATE(PlanYear,12,1)),1,0))</f>
        <v>0</v>
      </c>
      <c r="AA218">
        <f>SUM($O218:$Z218)</f>
        <v>0</v>
      </c>
    </row>
    <row r="219" spans="1:27">
      <c r="A219" s="42">
        <f>IF($B219="","","ACT-"&amp;TEXT(ROW()-4,"000"))</f>
        <v>0</v>
      </c>
      <c r="M219" s="43">
        <f>IF(COUNTA($B219:$K219)=0,"",IF($B219="","Missing activity name",IF($C219="","Missing practice",IF(COUNTIF(PracticeNames,$C219)=0,"Practice not in Lists",IF($D219="","Missing motion",IF(NOT(ISNUMBER($F219)),"Missing or invalid start date",IF(AND(ISNUMBER($G219),$G219&lt;$F219),"End date before start",IF(AND($N219=1,$AA219=0),"Outside planning year","OK"))))))))</f>
        <v>0</v>
      </c>
      <c r="N219">
        <f>IF(AND($B219&lt;&gt;"",$C219&lt;&gt;"",$D219&lt;&gt;"",ISNUMBER($F219),COUNTIF(PracticeNames,$C219)&gt;0,COUNTIF(MotionNames,$D219)&gt;0,NOT(AND(ISNUMBER($G219),$G219&lt;$F219))),IF(StatusFilter="All (excl. Cancelled)",IF($H219="Cancelled",0,1),IF(StatusFilter="All",1,IF($H219=StatusFilter,1,0))),0)</f>
        <v>0</v>
      </c>
      <c r="O219">
        <f>IF($N219=0,0,IF(AND($F219&lt;=EOMONTH(DATE(PlanYear,1,1),0),IF(ISNUMBER($G219),$G219,$F219)&gt;=DATE(PlanYear,1,1)),1,0))</f>
        <v>0</v>
      </c>
      <c r="P219">
        <f>IF($N219=0,0,IF(AND($F219&lt;=EOMONTH(DATE(PlanYear,2,1),0),IF(ISNUMBER($G219),$G219,$F219)&gt;=DATE(PlanYear,2,1)),1,0))</f>
        <v>0</v>
      </c>
      <c r="Q219">
        <f>IF($N219=0,0,IF(AND($F219&lt;=EOMONTH(DATE(PlanYear,3,1),0),IF(ISNUMBER($G219),$G219,$F219)&gt;=DATE(PlanYear,3,1)),1,0))</f>
        <v>0</v>
      </c>
      <c r="R219">
        <f>IF($N219=0,0,IF(AND($F219&lt;=EOMONTH(DATE(PlanYear,4,1),0),IF(ISNUMBER($G219),$G219,$F219)&gt;=DATE(PlanYear,4,1)),1,0))</f>
        <v>0</v>
      </c>
      <c r="S219">
        <f>IF($N219=0,0,IF(AND($F219&lt;=EOMONTH(DATE(PlanYear,5,1),0),IF(ISNUMBER($G219),$G219,$F219)&gt;=DATE(PlanYear,5,1)),1,0))</f>
        <v>0</v>
      </c>
      <c r="T219">
        <f>IF($N219=0,0,IF(AND($F219&lt;=EOMONTH(DATE(PlanYear,6,1),0),IF(ISNUMBER($G219),$G219,$F219)&gt;=DATE(PlanYear,6,1)),1,0))</f>
        <v>0</v>
      </c>
      <c r="U219">
        <f>IF($N219=0,0,IF(AND($F219&lt;=EOMONTH(DATE(PlanYear,7,1),0),IF(ISNUMBER($G219),$G219,$F219)&gt;=DATE(PlanYear,7,1)),1,0))</f>
        <v>0</v>
      </c>
      <c r="V219">
        <f>IF($N219=0,0,IF(AND($F219&lt;=EOMONTH(DATE(PlanYear,8,1),0),IF(ISNUMBER($G219),$G219,$F219)&gt;=DATE(PlanYear,8,1)),1,0))</f>
        <v>0</v>
      </c>
      <c r="W219">
        <f>IF($N219=0,0,IF(AND($F219&lt;=EOMONTH(DATE(PlanYear,9,1),0),IF(ISNUMBER($G219),$G219,$F219)&gt;=DATE(PlanYear,9,1)),1,0))</f>
        <v>0</v>
      </c>
      <c r="X219">
        <f>IF($N219=0,0,IF(AND($F219&lt;=EOMONTH(DATE(PlanYear,10,1),0),IF(ISNUMBER($G219),$G219,$F219)&gt;=DATE(PlanYear,10,1)),1,0))</f>
        <v>0</v>
      </c>
      <c r="Y219">
        <f>IF($N219=0,0,IF(AND($F219&lt;=EOMONTH(DATE(PlanYear,11,1),0),IF(ISNUMBER($G219),$G219,$F219)&gt;=DATE(PlanYear,11,1)),1,0))</f>
        <v>0</v>
      </c>
      <c r="Z219">
        <f>IF($N219=0,0,IF(AND($F219&lt;=EOMONTH(DATE(PlanYear,12,1),0),IF(ISNUMBER($G219),$G219,$F219)&gt;=DATE(PlanYear,12,1)),1,0))</f>
        <v>0</v>
      </c>
      <c r="AA219">
        <f>SUM($O219:$Z219)</f>
        <v>0</v>
      </c>
    </row>
    <row r="220" spans="1:27">
      <c r="A220" s="42">
        <f>IF($B220="","","ACT-"&amp;TEXT(ROW()-4,"000"))</f>
        <v>0</v>
      </c>
      <c r="M220" s="43">
        <f>IF(COUNTA($B220:$K220)=0,"",IF($B220="","Missing activity name",IF($C220="","Missing practice",IF(COUNTIF(PracticeNames,$C220)=0,"Practice not in Lists",IF($D220="","Missing motion",IF(NOT(ISNUMBER($F220)),"Missing or invalid start date",IF(AND(ISNUMBER($G220),$G220&lt;$F220),"End date before start",IF(AND($N220=1,$AA220=0),"Outside planning year","OK"))))))))</f>
        <v>0</v>
      </c>
      <c r="N220">
        <f>IF(AND($B220&lt;&gt;"",$C220&lt;&gt;"",$D220&lt;&gt;"",ISNUMBER($F220),COUNTIF(PracticeNames,$C220)&gt;0,COUNTIF(MotionNames,$D220)&gt;0,NOT(AND(ISNUMBER($G220),$G220&lt;$F220))),IF(StatusFilter="All (excl. Cancelled)",IF($H220="Cancelled",0,1),IF(StatusFilter="All",1,IF($H220=StatusFilter,1,0))),0)</f>
        <v>0</v>
      </c>
      <c r="O220">
        <f>IF($N220=0,0,IF(AND($F220&lt;=EOMONTH(DATE(PlanYear,1,1),0),IF(ISNUMBER($G220),$G220,$F220)&gt;=DATE(PlanYear,1,1)),1,0))</f>
        <v>0</v>
      </c>
      <c r="P220">
        <f>IF($N220=0,0,IF(AND($F220&lt;=EOMONTH(DATE(PlanYear,2,1),0),IF(ISNUMBER($G220),$G220,$F220)&gt;=DATE(PlanYear,2,1)),1,0))</f>
        <v>0</v>
      </c>
      <c r="Q220">
        <f>IF($N220=0,0,IF(AND($F220&lt;=EOMONTH(DATE(PlanYear,3,1),0),IF(ISNUMBER($G220),$G220,$F220)&gt;=DATE(PlanYear,3,1)),1,0))</f>
        <v>0</v>
      </c>
      <c r="R220">
        <f>IF($N220=0,0,IF(AND($F220&lt;=EOMONTH(DATE(PlanYear,4,1),0),IF(ISNUMBER($G220),$G220,$F220)&gt;=DATE(PlanYear,4,1)),1,0))</f>
        <v>0</v>
      </c>
      <c r="S220">
        <f>IF($N220=0,0,IF(AND($F220&lt;=EOMONTH(DATE(PlanYear,5,1),0),IF(ISNUMBER($G220),$G220,$F220)&gt;=DATE(PlanYear,5,1)),1,0))</f>
        <v>0</v>
      </c>
      <c r="T220">
        <f>IF($N220=0,0,IF(AND($F220&lt;=EOMONTH(DATE(PlanYear,6,1),0),IF(ISNUMBER($G220),$G220,$F220)&gt;=DATE(PlanYear,6,1)),1,0))</f>
        <v>0</v>
      </c>
      <c r="U220">
        <f>IF($N220=0,0,IF(AND($F220&lt;=EOMONTH(DATE(PlanYear,7,1),0),IF(ISNUMBER($G220),$G220,$F220)&gt;=DATE(PlanYear,7,1)),1,0))</f>
        <v>0</v>
      </c>
      <c r="V220">
        <f>IF($N220=0,0,IF(AND($F220&lt;=EOMONTH(DATE(PlanYear,8,1),0),IF(ISNUMBER($G220),$G220,$F220)&gt;=DATE(PlanYear,8,1)),1,0))</f>
        <v>0</v>
      </c>
      <c r="W220">
        <f>IF($N220=0,0,IF(AND($F220&lt;=EOMONTH(DATE(PlanYear,9,1),0),IF(ISNUMBER($G220),$G220,$F220)&gt;=DATE(PlanYear,9,1)),1,0))</f>
        <v>0</v>
      </c>
      <c r="X220">
        <f>IF($N220=0,0,IF(AND($F220&lt;=EOMONTH(DATE(PlanYear,10,1),0),IF(ISNUMBER($G220),$G220,$F220)&gt;=DATE(PlanYear,10,1)),1,0))</f>
        <v>0</v>
      </c>
      <c r="Y220">
        <f>IF($N220=0,0,IF(AND($F220&lt;=EOMONTH(DATE(PlanYear,11,1),0),IF(ISNUMBER($G220),$G220,$F220)&gt;=DATE(PlanYear,11,1)),1,0))</f>
        <v>0</v>
      </c>
      <c r="Z220">
        <f>IF($N220=0,0,IF(AND($F220&lt;=EOMONTH(DATE(PlanYear,12,1),0),IF(ISNUMBER($G220),$G220,$F220)&gt;=DATE(PlanYear,12,1)),1,0))</f>
        <v>0</v>
      </c>
      <c r="AA220">
        <f>SUM($O220:$Z220)</f>
        <v>0</v>
      </c>
    </row>
    <row r="221" spans="1:27">
      <c r="A221" s="42">
        <f>IF($B221="","","ACT-"&amp;TEXT(ROW()-4,"000"))</f>
        <v>0</v>
      </c>
      <c r="M221" s="43">
        <f>IF(COUNTA($B221:$K221)=0,"",IF($B221="","Missing activity name",IF($C221="","Missing practice",IF(COUNTIF(PracticeNames,$C221)=0,"Practice not in Lists",IF($D221="","Missing motion",IF(NOT(ISNUMBER($F221)),"Missing or invalid start date",IF(AND(ISNUMBER($G221),$G221&lt;$F221),"End date before start",IF(AND($N221=1,$AA221=0),"Outside planning year","OK"))))))))</f>
        <v>0</v>
      </c>
      <c r="N221">
        <f>IF(AND($B221&lt;&gt;"",$C221&lt;&gt;"",$D221&lt;&gt;"",ISNUMBER($F221),COUNTIF(PracticeNames,$C221)&gt;0,COUNTIF(MotionNames,$D221)&gt;0,NOT(AND(ISNUMBER($G221),$G221&lt;$F221))),IF(StatusFilter="All (excl. Cancelled)",IF($H221="Cancelled",0,1),IF(StatusFilter="All",1,IF($H221=StatusFilter,1,0))),0)</f>
        <v>0</v>
      </c>
      <c r="O221">
        <f>IF($N221=0,0,IF(AND($F221&lt;=EOMONTH(DATE(PlanYear,1,1),0),IF(ISNUMBER($G221),$G221,$F221)&gt;=DATE(PlanYear,1,1)),1,0))</f>
        <v>0</v>
      </c>
      <c r="P221">
        <f>IF($N221=0,0,IF(AND($F221&lt;=EOMONTH(DATE(PlanYear,2,1),0),IF(ISNUMBER($G221),$G221,$F221)&gt;=DATE(PlanYear,2,1)),1,0))</f>
        <v>0</v>
      </c>
      <c r="Q221">
        <f>IF($N221=0,0,IF(AND($F221&lt;=EOMONTH(DATE(PlanYear,3,1),0),IF(ISNUMBER($G221),$G221,$F221)&gt;=DATE(PlanYear,3,1)),1,0))</f>
        <v>0</v>
      </c>
      <c r="R221">
        <f>IF($N221=0,0,IF(AND($F221&lt;=EOMONTH(DATE(PlanYear,4,1),0),IF(ISNUMBER($G221),$G221,$F221)&gt;=DATE(PlanYear,4,1)),1,0))</f>
        <v>0</v>
      </c>
      <c r="S221">
        <f>IF($N221=0,0,IF(AND($F221&lt;=EOMONTH(DATE(PlanYear,5,1),0),IF(ISNUMBER($G221),$G221,$F221)&gt;=DATE(PlanYear,5,1)),1,0))</f>
        <v>0</v>
      </c>
      <c r="T221">
        <f>IF($N221=0,0,IF(AND($F221&lt;=EOMONTH(DATE(PlanYear,6,1),0),IF(ISNUMBER($G221),$G221,$F221)&gt;=DATE(PlanYear,6,1)),1,0))</f>
        <v>0</v>
      </c>
      <c r="U221">
        <f>IF($N221=0,0,IF(AND($F221&lt;=EOMONTH(DATE(PlanYear,7,1),0),IF(ISNUMBER($G221),$G221,$F221)&gt;=DATE(PlanYear,7,1)),1,0))</f>
        <v>0</v>
      </c>
      <c r="V221">
        <f>IF($N221=0,0,IF(AND($F221&lt;=EOMONTH(DATE(PlanYear,8,1),0),IF(ISNUMBER($G221),$G221,$F221)&gt;=DATE(PlanYear,8,1)),1,0))</f>
        <v>0</v>
      </c>
      <c r="W221">
        <f>IF($N221=0,0,IF(AND($F221&lt;=EOMONTH(DATE(PlanYear,9,1),0),IF(ISNUMBER($G221),$G221,$F221)&gt;=DATE(PlanYear,9,1)),1,0))</f>
        <v>0</v>
      </c>
      <c r="X221">
        <f>IF($N221=0,0,IF(AND($F221&lt;=EOMONTH(DATE(PlanYear,10,1),0),IF(ISNUMBER($G221),$G221,$F221)&gt;=DATE(PlanYear,10,1)),1,0))</f>
        <v>0</v>
      </c>
      <c r="Y221">
        <f>IF($N221=0,0,IF(AND($F221&lt;=EOMONTH(DATE(PlanYear,11,1),0),IF(ISNUMBER($G221),$G221,$F221)&gt;=DATE(PlanYear,11,1)),1,0))</f>
        <v>0</v>
      </c>
      <c r="Z221">
        <f>IF($N221=0,0,IF(AND($F221&lt;=EOMONTH(DATE(PlanYear,12,1),0),IF(ISNUMBER($G221),$G221,$F221)&gt;=DATE(PlanYear,12,1)),1,0))</f>
        <v>0</v>
      </c>
      <c r="AA221">
        <f>SUM($O221:$Z221)</f>
        <v>0</v>
      </c>
    </row>
    <row r="222" spans="1:27">
      <c r="A222" s="42">
        <f>IF($B222="","","ACT-"&amp;TEXT(ROW()-4,"000"))</f>
        <v>0</v>
      </c>
      <c r="M222" s="43">
        <f>IF(COUNTA($B222:$K222)=0,"",IF($B222="","Missing activity name",IF($C222="","Missing practice",IF(COUNTIF(PracticeNames,$C222)=0,"Practice not in Lists",IF($D222="","Missing motion",IF(NOT(ISNUMBER($F222)),"Missing or invalid start date",IF(AND(ISNUMBER($G222),$G222&lt;$F222),"End date before start",IF(AND($N222=1,$AA222=0),"Outside planning year","OK"))))))))</f>
        <v>0</v>
      </c>
      <c r="N222">
        <f>IF(AND($B222&lt;&gt;"",$C222&lt;&gt;"",$D222&lt;&gt;"",ISNUMBER($F222),COUNTIF(PracticeNames,$C222)&gt;0,COUNTIF(MotionNames,$D222)&gt;0,NOT(AND(ISNUMBER($G222),$G222&lt;$F222))),IF(StatusFilter="All (excl. Cancelled)",IF($H222="Cancelled",0,1),IF(StatusFilter="All",1,IF($H222=StatusFilter,1,0))),0)</f>
        <v>0</v>
      </c>
      <c r="O222">
        <f>IF($N222=0,0,IF(AND($F222&lt;=EOMONTH(DATE(PlanYear,1,1),0),IF(ISNUMBER($G222),$G222,$F222)&gt;=DATE(PlanYear,1,1)),1,0))</f>
        <v>0</v>
      </c>
      <c r="P222">
        <f>IF($N222=0,0,IF(AND($F222&lt;=EOMONTH(DATE(PlanYear,2,1),0),IF(ISNUMBER($G222),$G222,$F222)&gt;=DATE(PlanYear,2,1)),1,0))</f>
        <v>0</v>
      </c>
      <c r="Q222">
        <f>IF($N222=0,0,IF(AND($F222&lt;=EOMONTH(DATE(PlanYear,3,1),0),IF(ISNUMBER($G222),$G222,$F222)&gt;=DATE(PlanYear,3,1)),1,0))</f>
        <v>0</v>
      </c>
      <c r="R222">
        <f>IF($N222=0,0,IF(AND($F222&lt;=EOMONTH(DATE(PlanYear,4,1),0),IF(ISNUMBER($G222),$G222,$F222)&gt;=DATE(PlanYear,4,1)),1,0))</f>
        <v>0</v>
      </c>
      <c r="S222">
        <f>IF($N222=0,0,IF(AND($F222&lt;=EOMONTH(DATE(PlanYear,5,1),0),IF(ISNUMBER($G222),$G222,$F222)&gt;=DATE(PlanYear,5,1)),1,0))</f>
        <v>0</v>
      </c>
      <c r="T222">
        <f>IF($N222=0,0,IF(AND($F222&lt;=EOMONTH(DATE(PlanYear,6,1),0),IF(ISNUMBER($G222),$G222,$F222)&gt;=DATE(PlanYear,6,1)),1,0))</f>
        <v>0</v>
      </c>
      <c r="U222">
        <f>IF($N222=0,0,IF(AND($F222&lt;=EOMONTH(DATE(PlanYear,7,1),0),IF(ISNUMBER($G222),$G222,$F222)&gt;=DATE(PlanYear,7,1)),1,0))</f>
        <v>0</v>
      </c>
      <c r="V222">
        <f>IF($N222=0,0,IF(AND($F222&lt;=EOMONTH(DATE(PlanYear,8,1),0),IF(ISNUMBER($G222),$G222,$F222)&gt;=DATE(PlanYear,8,1)),1,0))</f>
        <v>0</v>
      </c>
      <c r="W222">
        <f>IF($N222=0,0,IF(AND($F222&lt;=EOMONTH(DATE(PlanYear,9,1),0),IF(ISNUMBER($G222),$G222,$F222)&gt;=DATE(PlanYear,9,1)),1,0))</f>
        <v>0</v>
      </c>
      <c r="X222">
        <f>IF($N222=0,0,IF(AND($F222&lt;=EOMONTH(DATE(PlanYear,10,1),0),IF(ISNUMBER($G222),$G222,$F222)&gt;=DATE(PlanYear,10,1)),1,0))</f>
        <v>0</v>
      </c>
      <c r="Y222">
        <f>IF($N222=0,0,IF(AND($F222&lt;=EOMONTH(DATE(PlanYear,11,1),0),IF(ISNUMBER($G222),$G222,$F222)&gt;=DATE(PlanYear,11,1)),1,0))</f>
        <v>0</v>
      </c>
      <c r="Z222">
        <f>IF($N222=0,0,IF(AND($F222&lt;=EOMONTH(DATE(PlanYear,12,1),0),IF(ISNUMBER($G222),$G222,$F222)&gt;=DATE(PlanYear,12,1)),1,0))</f>
        <v>0</v>
      </c>
      <c r="AA222">
        <f>SUM($O222:$Z222)</f>
        <v>0</v>
      </c>
    </row>
    <row r="223" spans="1:27">
      <c r="A223" s="42">
        <f>IF($B223="","","ACT-"&amp;TEXT(ROW()-4,"000"))</f>
        <v>0</v>
      </c>
      <c r="M223" s="43">
        <f>IF(COUNTA($B223:$K223)=0,"",IF($B223="","Missing activity name",IF($C223="","Missing practice",IF(COUNTIF(PracticeNames,$C223)=0,"Practice not in Lists",IF($D223="","Missing motion",IF(NOT(ISNUMBER($F223)),"Missing or invalid start date",IF(AND(ISNUMBER($G223),$G223&lt;$F223),"End date before start",IF(AND($N223=1,$AA223=0),"Outside planning year","OK"))))))))</f>
        <v>0</v>
      </c>
      <c r="N223">
        <f>IF(AND($B223&lt;&gt;"",$C223&lt;&gt;"",$D223&lt;&gt;"",ISNUMBER($F223),COUNTIF(PracticeNames,$C223)&gt;0,COUNTIF(MotionNames,$D223)&gt;0,NOT(AND(ISNUMBER($G223),$G223&lt;$F223))),IF(StatusFilter="All (excl. Cancelled)",IF($H223="Cancelled",0,1),IF(StatusFilter="All",1,IF($H223=StatusFilter,1,0))),0)</f>
        <v>0</v>
      </c>
      <c r="O223">
        <f>IF($N223=0,0,IF(AND($F223&lt;=EOMONTH(DATE(PlanYear,1,1),0),IF(ISNUMBER($G223),$G223,$F223)&gt;=DATE(PlanYear,1,1)),1,0))</f>
        <v>0</v>
      </c>
      <c r="P223">
        <f>IF($N223=0,0,IF(AND($F223&lt;=EOMONTH(DATE(PlanYear,2,1),0),IF(ISNUMBER($G223),$G223,$F223)&gt;=DATE(PlanYear,2,1)),1,0))</f>
        <v>0</v>
      </c>
      <c r="Q223">
        <f>IF($N223=0,0,IF(AND($F223&lt;=EOMONTH(DATE(PlanYear,3,1),0),IF(ISNUMBER($G223),$G223,$F223)&gt;=DATE(PlanYear,3,1)),1,0))</f>
        <v>0</v>
      </c>
      <c r="R223">
        <f>IF($N223=0,0,IF(AND($F223&lt;=EOMONTH(DATE(PlanYear,4,1),0),IF(ISNUMBER($G223),$G223,$F223)&gt;=DATE(PlanYear,4,1)),1,0))</f>
        <v>0</v>
      </c>
      <c r="S223">
        <f>IF($N223=0,0,IF(AND($F223&lt;=EOMONTH(DATE(PlanYear,5,1),0),IF(ISNUMBER($G223),$G223,$F223)&gt;=DATE(PlanYear,5,1)),1,0))</f>
        <v>0</v>
      </c>
      <c r="T223">
        <f>IF($N223=0,0,IF(AND($F223&lt;=EOMONTH(DATE(PlanYear,6,1),0),IF(ISNUMBER($G223),$G223,$F223)&gt;=DATE(PlanYear,6,1)),1,0))</f>
        <v>0</v>
      </c>
      <c r="U223">
        <f>IF($N223=0,0,IF(AND($F223&lt;=EOMONTH(DATE(PlanYear,7,1),0),IF(ISNUMBER($G223),$G223,$F223)&gt;=DATE(PlanYear,7,1)),1,0))</f>
        <v>0</v>
      </c>
      <c r="V223">
        <f>IF($N223=0,0,IF(AND($F223&lt;=EOMONTH(DATE(PlanYear,8,1),0),IF(ISNUMBER($G223),$G223,$F223)&gt;=DATE(PlanYear,8,1)),1,0))</f>
        <v>0</v>
      </c>
      <c r="W223">
        <f>IF($N223=0,0,IF(AND($F223&lt;=EOMONTH(DATE(PlanYear,9,1),0),IF(ISNUMBER($G223),$G223,$F223)&gt;=DATE(PlanYear,9,1)),1,0))</f>
        <v>0</v>
      </c>
      <c r="X223">
        <f>IF($N223=0,0,IF(AND($F223&lt;=EOMONTH(DATE(PlanYear,10,1),0),IF(ISNUMBER($G223),$G223,$F223)&gt;=DATE(PlanYear,10,1)),1,0))</f>
        <v>0</v>
      </c>
      <c r="Y223">
        <f>IF($N223=0,0,IF(AND($F223&lt;=EOMONTH(DATE(PlanYear,11,1),0),IF(ISNUMBER($G223),$G223,$F223)&gt;=DATE(PlanYear,11,1)),1,0))</f>
        <v>0</v>
      </c>
      <c r="Z223">
        <f>IF($N223=0,0,IF(AND($F223&lt;=EOMONTH(DATE(PlanYear,12,1),0),IF(ISNUMBER($G223),$G223,$F223)&gt;=DATE(PlanYear,12,1)),1,0))</f>
        <v>0</v>
      </c>
      <c r="AA223">
        <f>SUM($O223:$Z223)</f>
        <v>0</v>
      </c>
    </row>
    <row r="224" spans="1:27">
      <c r="A224" s="42">
        <f>IF($B224="","","ACT-"&amp;TEXT(ROW()-4,"000"))</f>
        <v>0</v>
      </c>
      <c r="M224" s="43">
        <f>IF(COUNTA($B224:$K224)=0,"",IF($B224="","Missing activity name",IF($C224="","Missing practice",IF(COUNTIF(PracticeNames,$C224)=0,"Practice not in Lists",IF($D224="","Missing motion",IF(NOT(ISNUMBER($F224)),"Missing or invalid start date",IF(AND(ISNUMBER($G224),$G224&lt;$F224),"End date before start",IF(AND($N224=1,$AA224=0),"Outside planning year","OK"))))))))</f>
        <v>0</v>
      </c>
      <c r="N224">
        <f>IF(AND($B224&lt;&gt;"",$C224&lt;&gt;"",$D224&lt;&gt;"",ISNUMBER($F224),COUNTIF(PracticeNames,$C224)&gt;0,COUNTIF(MotionNames,$D224)&gt;0,NOT(AND(ISNUMBER($G224),$G224&lt;$F224))),IF(StatusFilter="All (excl. Cancelled)",IF($H224="Cancelled",0,1),IF(StatusFilter="All",1,IF($H224=StatusFilter,1,0))),0)</f>
        <v>0</v>
      </c>
      <c r="O224">
        <f>IF($N224=0,0,IF(AND($F224&lt;=EOMONTH(DATE(PlanYear,1,1),0),IF(ISNUMBER($G224),$G224,$F224)&gt;=DATE(PlanYear,1,1)),1,0))</f>
        <v>0</v>
      </c>
      <c r="P224">
        <f>IF($N224=0,0,IF(AND($F224&lt;=EOMONTH(DATE(PlanYear,2,1),0),IF(ISNUMBER($G224),$G224,$F224)&gt;=DATE(PlanYear,2,1)),1,0))</f>
        <v>0</v>
      </c>
      <c r="Q224">
        <f>IF($N224=0,0,IF(AND($F224&lt;=EOMONTH(DATE(PlanYear,3,1),0),IF(ISNUMBER($G224),$G224,$F224)&gt;=DATE(PlanYear,3,1)),1,0))</f>
        <v>0</v>
      </c>
      <c r="R224">
        <f>IF($N224=0,0,IF(AND($F224&lt;=EOMONTH(DATE(PlanYear,4,1),0),IF(ISNUMBER($G224),$G224,$F224)&gt;=DATE(PlanYear,4,1)),1,0))</f>
        <v>0</v>
      </c>
      <c r="S224">
        <f>IF($N224=0,0,IF(AND($F224&lt;=EOMONTH(DATE(PlanYear,5,1),0),IF(ISNUMBER($G224),$G224,$F224)&gt;=DATE(PlanYear,5,1)),1,0))</f>
        <v>0</v>
      </c>
      <c r="T224">
        <f>IF($N224=0,0,IF(AND($F224&lt;=EOMONTH(DATE(PlanYear,6,1),0),IF(ISNUMBER($G224),$G224,$F224)&gt;=DATE(PlanYear,6,1)),1,0))</f>
        <v>0</v>
      </c>
      <c r="U224">
        <f>IF($N224=0,0,IF(AND($F224&lt;=EOMONTH(DATE(PlanYear,7,1),0),IF(ISNUMBER($G224),$G224,$F224)&gt;=DATE(PlanYear,7,1)),1,0))</f>
        <v>0</v>
      </c>
      <c r="V224">
        <f>IF($N224=0,0,IF(AND($F224&lt;=EOMONTH(DATE(PlanYear,8,1),0),IF(ISNUMBER($G224),$G224,$F224)&gt;=DATE(PlanYear,8,1)),1,0))</f>
        <v>0</v>
      </c>
      <c r="W224">
        <f>IF($N224=0,0,IF(AND($F224&lt;=EOMONTH(DATE(PlanYear,9,1),0),IF(ISNUMBER($G224),$G224,$F224)&gt;=DATE(PlanYear,9,1)),1,0))</f>
        <v>0</v>
      </c>
      <c r="X224">
        <f>IF($N224=0,0,IF(AND($F224&lt;=EOMONTH(DATE(PlanYear,10,1),0),IF(ISNUMBER($G224),$G224,$F224)&gt;=DATE(PlanYear,10,1)),1,0))</f>
        <v>0</v>
      </c>
      <c r="Y224">
        <f>IF($N224=0,0,IF(AND($F224&lt;=EOMONTH(DATE(PlanYear,11,1),0),IF(ISNUMBER($G224),$G224,$F224)&gt;=DATE(PlanYear,11,1)),1,0))</f>
        <v>0</v>
      </c>
      <c r="Z224">
        <f>IF($N224=0,0,IF(AND($F224&lt;=EOMONTH(DATE(PlanYear,12,1),0),IF(ISNUMBER($G224),$G224,$F224)&gt;=DATE(PlanYear,12,1)),1,0))</f>
        <v>0</v>
      </c>
      <c r="AA224">
        <f>SUM($O224:$Z224)</f>
        <v>0</v>
      </c>
    </row>
    <row r="225" spans="1:27">
      <c r="A225" s="42">
        <f>IF($B225="","","ACT-"&amp;TEXT(ROW()-4,"000"))</f>
        <v>0</v>
      </c>
      <c r="M225" s="43">
        <f>IF(COUNTA($B225:$K225)=0,"",IF($B225="","Missing activity name",IF($C225="","Missing practice",IF(COUNTIF(PracticeNames,$C225)=0,"Practice not in Lists",IF($D225="","Missing motion",IF(NOT(ISNUMBER($F225)),"Missing or invalid start date",IF(AND(ISNUMBER($G225),$G225&lt;$F225),"End date before start",IF(AND($N225=1,$AA225=0),"Outside planning year","OK"))))))))</f>
        <v>0</v>
      </c>
      <c r="N225">
        <f>IF(AND($B225&lt;&gt;"",$C225&lt;&gt;"",$D225&lt;&gt;"",ISNUMBER($F225),COUNTIF(PracticeNames,$C225)&gt;0,COUNTIF(MotionNames,$D225)&gt;0,NOT(AND(ISNUMBER($G225),$G225&lt;$F225))),IF(StatusFilter="All (excl. Cancelled)",IF($H225="Cancelled",0,1),IF(StatusFilter="All",1,IF($H225=StatusFilter,1,0))),0)</f>
        <v>0</v>
      </c>
      <c r="O225">
        <f>IF($N225=0,0,IF(AND($F225&lt;=EOMONTH(DATE(PlanYear,1,1),0),IF(ISNUMBER($G225),$G225,$F225)&gt;=DATE(PlanYear,1,1)),1,0))</f>
        <v>0</v>
      </c>
      <c r="P225">
        <f>IF($N225=0,0,IF(AND($F225&lt;=EOMONTH(DATE(PlanYear,2,1),0),IF(ISNUMBER($G225),$G225,$F225)&gt;=DATE(PlanYear,2,1)),1,0))</f>
        <v>0</v>
      </c>
      <c r="Q225">
        <f>IF($N225=0,0,IF(AND($F225&lt;=EOMONTH(DATE(PlanYear,3,1),0),IF(ISNUMBER($G225),$G225,$F225)&gt;=DATE(PlanYear,3,1)),1,0))</f>
        <v>0</v>
      </c>
      <c r="R225">
        <f>IF($N225=0,0,IF(AND($F225&lt;=EOMONTH(DATE(PlanYear,4,1),0),IF(ISNUMBER($G225),$G225,$F225)&gt;=DATE(PlanYear,4,1)),1,0))</f>
        <v>0</v>
      </c>
      <c r="S225">
        <f>IF($N225=0,0,IF(AND($F225&lt;=EOMONTH(DATE(PlanYear,5,1),0),IF(ISNUMBER($G225),$G225,$F225)&gt;=DATE(PlanYear,5,1)),1,0))</f>
        <v>0</v>
      </c>
      <c r="T225">
        <f>IF($N225=0,0,IF(AND($F225&lt;=EOMONTH(DATE(PlanYear,6,1),0),IF(ISNUMBER($G225),$G225,$F225)&gt;=DATE(PlanYear,6,1)),1,0))</f>
        <v>0</v>
      </c>
      <c r="U225">
        <f>IF($N225=0,0,IF(AND($F225&lt;=EOMONTH(DATE(PlanYear,7,1),0),IF(ISNUMBER($G225),$G225,$F225)&gt;=DATE(PlanYear,7,1)),1,0))</f>
        <v>0</v>
      </c>
      <c r="V225">
        <f>IF($N225=0,0,IF(AND($F225&lt;=EOMONTH(DATE(PlanYear,8,1),0),IF(ISNUMBER($G225),$G225,$F225)&gt;=DATE(PlanYear,8,1)),1,0))</f>
        <v>0</v>
      </c>
      <c r="W225">
        <f>IF($N225=0,0,IF(AND($F225&lt;=EOMONTH(DATE(PlanYear,9,1),0),IF(ISNUMBER($G225),$G225,$F225)&gt;=DATE(PlanYear,9,1)),1,0))</f>
        <v>0</v>
      </c>
      <c r="X225">
        <f>IF($N225=0,0,IF(AND($F225&lt;=EOMONTH(DATE(PlanYear,10,1),0),IF(ISNUMBER($G225),$G225,$F225)&gt;=DATE(PlanYear,10,1)),1,0))</f>
        <v>0</v>
      </c>
      <c r="Y225">
        <f>IF($N225=0,0,IF(AND($F225&lt;=EOMONTH(DATE(PlanYear,11,1),0),IF(ISNUMBER($G225),$G225,$F225)&gt;=DATE(PlanYear,11,1)),1,0))</f>
        <v>0</v>
      </c>
      <c r="Z225">
        <f>IF($N225=0,0,IF(AND($F225&lt;=EOMONTH(DATE(PlanYear,12,1),0),IF(ISNUMBER($G225),$G225,$F225)&gt;=DATE(PlanYear,12,1)),1,0))</f>
        <v>0</v>
      </c>
      <c r="AA225">
        <f>SUM($O225:$Z225)</f>
        <v>0</v>
      </c>
    </row>
    <row r="226" spans="1:27">
      <c r="A226" s="42">
        <f>IF($B226="","","ACT-"&amp;TEXT(ROW()-4,"000"))</f>
        <v>0</v>
      </c>
      <c r="M226" s="43">
        <f>IF(COUNTA($B226:$K226)=0,"",IF($B226="","Missing activity name",IF($C226="","Missing practice",IF(COUNTIF(PracticeNames,$C226)=0,"Practice not in Lists",IF($D226="","Missing motion",IF(NOT(ISNUMBER($F226)),"Missing or invalid start date",IF(AND(ISNUMBER($G226),$G226&lt;$F226),"End date before start",IF(AND($N226=1,$AA226=0),"Outside planning year","OK"))))))))</f>
        <v>0</v>
      </c>
      <c r="N226">
        <f>IF(AND($B226&lt;&gt;"",$C226&lt;&gt;"",$D226&lt;&gt;"",ISNUMBER($F226),COUNTIF(PracticeNames,$C226)&gt;0,COUNTIF(MotionNames,$D226)&gt;0,NOT(AND(ISNUMBER($G226),$G226&lt;$F226))),IF(StatusFilter="All (excl. Cancelled)",IF($H226="Cancelled",0,1),IF(StatusFilter="All",1,IF($H226=StatusFilter,1,0))),0)</f>
        <v>0</v>
      </c>
      <c r="O226">
        <f>IF($N226=0,0,IF(AND($F226&lt;=EOMONTH(DATE(PlanYear,1,1),0),IF(ISNUMBER($G226),$G226,$F226)&gt;=DATE(PlanYear,1,1)),1,0))</f>
        <v>0</v>
      </c>
      <c r="P226">
        <f>IF($N226=0,0,IF(AND($F226&lt;=EOMONTH(DATE(PlanYear,2,1),0),IF(ISNUMBER($G226),$G226,$F226)&gt;=DATE(PlanYear,2,1)),1,0))</f>
        <v>0</v>
      </c>
      <c r="Q226">
        <f>IF($N226=0,0,IF(AND($F226&lt;=EOMONTH(DATE(PlanYear,3,1),0),IF(ISNUMBER($G226),$G226,$F226)&gt;=DATE(PlanYear,3,1)),1,0))</f>
        <v>0</v>
      </c>
      <c r="R226">
        <f>IF($N226=0,0,IF(AND($F226&lt;=EOMONTH(DATE(PlanYear,4,1),0),IF(ISNUMBER($G226),$G226,$F226)&gt;=DATE(PlanYear,4,1)),1,0))</f>
        <v>0</v>
      </c>
      <c r="S226">
        <f>IF($N226=0,0,IF(AND($F226&lt;=EOMONTH(DATE(PlanYear,5,1),0),IF(ISNUMBER($G226),$G226,$F226)&gt;=DATE(PlanYear,5,1)),1,0))</f>
        <v>0</v>
      </c>
      <c r="T226">
        <f>IF($N226=0,0,IF(AND($F226&lt;=EOMONTH(DATE(PlanYear,6,1),0),IF(ISNUMBER($G226),$G226,$F226)&gt;=DATE(PlanYear,6,1)),1,0))</f>
        <v>0</v>
      </c>
      <c r="U226">
        <f>IF($N226=0,0,IF(AND($F226&lt;=EOMONTH(DATE(PlanYear,7,1),0),IF(ISNUMBER($G226),$G226,$F226)&gt;=DATE(PlanYear,7,1)),1,0))</f>
        <v>0</v>
      </c>
      <c r="V226">
        <f>IF($N226=0,0,IF(AND($F226&lt;=EOMONTH(DATE(PlanYear,8,1),0),IF(ISNUMBER($G226),$G226,$F226)&gt;=DATE(PlanYear,8,1)),1,0))</f>
        <v>0</v>
      </c>
      <c r="W226">
        <f>IF($N226=0,0,IF(AND($F226&lt;=EOMONTH(DATE(PlanYear,9,1),0),IF(ISNUMBER($G226),$G226,$F226)&gt;=DATE(PlanYear,9,1)),1,0))</f>
        <v>0</v>
      </c>
      <c r="X226">
        <f>IF($N226=0,0,IF(AND($F226&lt;=EOMONTH(DATE(PlanYear,10,1),0),IF(ISNUMBER($G226),$G226,$F226)&gt;=DATE(PlanYear,10,1)),1,0))</f>
        <v>0</v>
      </c>
      <c r="Y226">
        <f>IF($N226=0,0,IF(AND($F226&lt;=EOMONTH(DATE(PlanYear,11,1),0),IF(ISNUMBER($G226),$G226,$F226)&gt;=DATE(PlanYear,11,1)),1,0))</f>
        <v>0</v>
      </c>
      <c r="Z226">
        <f>IF($N226=0,0,IF(AND($F226&lt;=EOMONTH(DATE(PlanYear,12,1),0),IF(ISNUMBER($G226),$G226,$F226)&gt;=DATE(PlanYear,12,1)),1,0))</f>
        <v>0</v>
      </c>
      <c r="AA226">
        <f>SUM($O226:$Z226)</f>
        <v>0</v>
      </c>
    </row>
    <row r="227" spans="1:27">
      <c r="A227" s="42">
        <f>IF($B227="","","ACT-"&amp;TEXT(ROW()-4,"000"))</f>
        <v>0</v>
      </c>
      <c r="M227" s="43">
        <f>IF(COUNTA($B227:$K227)=0,"",IF($B227="","Missing activity name",IF($C227="","Missing practice",IF(COUNTIF(PracticeNames,$C227)=0,"Practice not in Lists",IF($D227="","Missing motion",IF(NOT(ISNUMBER($F227)),"Missing or invalid start date",IF(AND(ISNUMBER($G227),$G227&lt;$F227),"End date before start",IF(AND($N227=1,$AA227=0),"Outside planning year","OK"))))))))</f>
        <v>0</v>
      </c>
      <c r="N227">
        <f>IF(AND($B227&lt;&gt;"",$C227&lt;&gt;"",$D227&lt;&gt;"",ISNUMBER($F227),COUNTIF(PracticeNames,$C227)&gt;0,COUNTIF(MotionNames,$D227)&gt;0,NOT(AND(ISNUMBER($G227),$G227&lt;$F227))),IF(StatusFilter="All (excl. Cancelled)",IF($H227="Cancelled",0,1),IF(StatusFilter="All",1,IF($H227=StatusFilter,1,0))),0)</f>
        <v>0</v>
      </c>
      <c r="O227">
        <f>IF($N227=0,0,IF(AND($F227&lt;=EOMONTH(DATE(PlanYear,1,1),0),IF(ISNUMBER($G227),$G227,$F227)&gt;=DATE(PlanYear,1,1)),1,0))</f>
        <v>0</v>
      </c>
      <c r="P227">
        <f>IF($N227=0,0,IF(AND($F227&lt;=EOMONTH(DATE(PlanYear,2,1),0),IF(ISNUMBER($G227),$G227,$F227)&gt;=DATE(PlanYear,2,1)),1,0))</f>
        <v>0</v>
      </c>
      <c r="Q227">
        <f>IF($N227=0,0,IF(AND($F227&lt;=EOMONTH(DATE(PlanYear,3,1),0),IF(ISNUMBER($G227),$G227,$F227)&gt;=DATE(PlanYear,3,1)),1,0))</f>
        <v>0</v>
      </c>
      <c r="R227">
        <f>IF($N227=0,0,IF(AND($F227&lt;=EOMONTH(DATE(PlanYear,4,1),0),IF(ISNUMBER($G227),$G227,$F227)&gt;=DATE(PlanYear,4,1)),1,0))</f>
        <v>0</v>
      </c>
      <c r="S227">
        <f>IF($N227=0,0,IF(AND($F227&lt;=EOMONTH(DATE(PlanYear,5,1),0),IF(ISNUMBER($G227),$G227,$F227)&gt;=DATE(PlanYear,5,1)),1,0))</f>
        <v>0</v>
      </c>
      <c r="T227">
        <f>IF($N227=0,0,IF(AND($F227&lt;=EOMONTH(DATE(PlanYear,6,1),0),IF(ISNUMBER($G227),$G227,$F227)&gt;=DATE(PlanYear,6,1)),1,0))</f>
        <v>0</v>
      </c>
      <c r="U227">
        <f>IF($N227=0,0,IF(AND($F227&lt;=EOMONTH(DATE(PlanYear,7,1),0),IF(ISNUMBER($G227),$G227,$F227)&gt;=DATE(PlanYear,7,1)),1,0))</f>
        <v>0</v>
      </c>
      <c r="V227">
        <f>IF($N227=0,0,IF(AND($F227&lt;=EOMONTH(DATE(PlanYear,8,1),0),IF(ISNUMBER($G227),$G227,$F227)&gt;=DATE(PlanYear,8,1)),1,0))</f>
        <v>0</v>
      </c>
      <c r="W227">
        <f>IF($N227=0,0,IF(AND($F227&lt;=EOMONTH(DATE(PlanYear,9,1),0),IF(ISNUMBER($G227),$G227,$F227)&gt;=DATE(PlanYear,9,1)),1,0))</f>
        <v>0</v>
      </c>
      <c r="X227">
        <f>IF($N227=0,0,IF(AND($F227&lt;=EOMONTH(DATE(PlanYear,10,1),0),IF(ISNUMBER($G227),$G227,$F227)&gt;=DATE(PlanYear,10,1)),1,0))</f>
        <v>0</v>
      </c>
      <c r="Y227">
        <f>IF($N227=0,0,IF(AND($F227&lt;=EOMONTH(DATE(PlanYear,11,1),0),IF(ISNUMBER($G227),$G227,$F227)&gt;=DATE(PlanYear,11,1)),1,0))</f>
        <v>0</v>
      </c>
      <c r="Z227">
        <f>IF($N227=0,0,IF(AND($F227&lt;=EOMONTH(DATE(PlanYear,12,1),0),IF(ISNUMBER($G227),$G227,$F227)&gt;=DATE(PlanYear,12,1)),1,0))</f>
        <v>0</v>
      </c>
      <c r="AA227">
        <f>SUM($O227:$Z227)</f>
        <v>0</v>
      </c>
    </row>
    <row r="228" spans="1:27">
      <c r="A228" s="42">
        <f>IF($B228="","","ACT-"&amp;TEXT(ROW()-4,"000"))</f>
        <v>0</v>
      </c>
      <c r="M228" s="43">
        <f>IF(COUNTA($B228:$K228)=0,"",IF($B228="","Missing activity name",IF($C228="","Missing practice",IF(COUNTIF(PracticeNames,$C228)=0,"Practice not in Lists",IF($D228="","Missing motion",IF(NOT(ISNUMBER($F228)),"Missing or invalid start date",IF(AND(ISNUMBER($G228),$G228&lt;$F228),"End date before start",IF(AND($N228=1,$AA228=0),"Outside planning year","OK"))))))))</f>
        <v>0</v>
      </c>
      <c r="N228">
        <f>IF(AND($B228&lt;&gt;"",$C228&lt;&gt;"",$D228&lt;&gt;"",ISNUMBER($F228),COUNTIF(PracticeNames,$C228)&gt;0,COUNTIF(MotionNames,$D228)&gt;0,NOT(AND(ISNUMBER($G228),$G228&lt;$F228))),IF(StatusFilter="All (excl. Cancelled)",IF($H228="Cancelled",0,1),IF(StatusFilter="All",1,IF($H228=StatusFilter,1,0))),0)</f>
        <v>0</v>
      </c>
      <c r="O228">
        <f>IF($N228=0,0,IF(AND($F228&lt;=EOMONTH(DATE(PlanYear,1,1),0),IF(ISNUMBER($G228),$G228,$F228)&gt;=DATE(PlanYear,1,1)),1,0))</f>
        <v>0</v>
      </c>
      <c r="P228">
        <f>IF($N228=0,0,IF(AND($F228&lt;=EOMONTH(DATE(PlanYear,2,1),0),IF(ISNUMBER($G228),$G228,$F228)&gt;=DATE(PlanYear,2,1)),1,0))</f>
        <v>0</v>
      </c>
      <c r="Q228">
        <f>IF($N228=0,0,IF(AND($F228&lt;=EOMONTH(DATE(PlanYear,3,1),0),IF(ISNUMBER($G228),$G228,$F228)&gt;=DATE(PlanYear,3,1)),1,0))</f>
        <v>0</v>
      </c>
      <c r="R228">
        <f>IF($N228=0,0,IF(AND($F228&lt;=EOMONTH(DATE(PlanYear,4,1),0),IF(ISNUMBER($G228),$G228,$F228)&gt;=DATE(PlanYear,4,1)),1,0))</f>
        <v>0</v>
      </c>
      <c r="S228">
        <f>IF($N228=0,0,IF(AND($F228&lt;=EOMONTH(DATE(PlanYear,5,1),0),IF(ISNUMBER($G228),$G228,$F228)&gt;=DATE(PlanYear,5,1)),1,0))</f>
        <v>0</v>
      </c>
      <c r="T228">
        <f>IF($N228=0,0,IF(AND($F228&lt;=EOMONTH(DATE(PlanYear,6,1),0),IF(ISNUMBER($G228),$G228,$F228)&gt;=DATE(PlanYear,6,1)),1,0))</f>
        <v>0</v>
      </c>
      <c r="U228">
        <f>IF($N228=0,0,IF(AND($F228&lt;=EOMONTH(DATE(PlanYear,7,1),0),IF(ISNUMBER($G228),$G228,$F228)&gt;=DATE(PlanYear,7,1)),1,0))</f>
        <v>0</v>
      </c>
      <c r="V228">
        <f>IF($N228=0,0,IF(AND($F228&lt;=EOMONTH(DATE(PlanYear,8,1),0),IF(ISNUMBER($G228),$G228,$F228)&gt;=DATE(PlanYear,8,1)),1,0))</f>
        <v>0</v>
      </c>
      <c r="W228">
        <f>IF($N228=0,0,IF(AND($F228&lt;=EOMONTH(DATE(PlanYear,9,1),0),IF(ISNUMBER($G228),$G228,$F228)&gt;=DATE(PlanYear,9,1)),1,0))</f>
        <v>0</v>
      </c>
      <c r="X228">
        <f>IF($N228=0,0,IF(AND($F228&lt;=EOMONTH(DATE(PlanYear,10,1),0),IF(ISNUMBER($G228),$G228,$F228)&gt;=DATE(PlanYear,10,1)),1,0))</f>
        <v>0</v>
      </c>
      <c r="Y228">
        <f>IF($N228=0,0,IF(AND($F228&lt;=EOMONTH(DATE(PlanYear,11,1),0),IF(ISNUMBER($G228),$G228,$F228)&gt;=DATE(PlanYear,11,1)),1,0))</f>
        <v>0</v>
      </c>
      <c r="Z228">
        <f>IF($N228=0,0,IF(AND($F228&lt;=EOMONTH(DATE(PlanYear,12,1),0),IF(ISNUMBER($G228),$G228,$F228)&gt;=DATE(PlanYear,12,1)),1,0))</f>
        <v>0</v>
      </c>
      <c r="AA228">
        <f>SUM($O228:$Z228)</f>
        <v>0</v>
      </c>
    </row>
    <row r="229" spans="1:27">
      <c r="A229" s="42">
        <f>IF($B229="","","ACT-"&amp;TEXT(ROW()-4,"000"))</f>
        <v>0</v>
      </c>
      <c r="M229" s="43">
        <f>IF(COUNTA($B229:$K229)=0,"",IF($B229="","Missing activity name",IF($C229="","Missing practice",IF(COUNTIF(PracticeNames,$C229)=0,"Practice not in Lists",IF($D229="","Missing motion",IF(NOT(ISNUMBER($F229)),"Missing or invalid start date",IF(AND(ISNUMBER($G229),$G229&lt;$F229),"End date before start",IF(AND($N229=1,$AA229=0),"Outside planning year","OK"))))))))</f>
        <v>0</v>
      </c>
      <c r="N229">
        <f>IF(AND($B229&lt;&gt;"",$C229&lt;&gt;"",$D229&lt;&gt;"",ISNUMBER($F229),COUNTIF(PracticeNames,$C229)&gt;0,COUNTIF(MotionNames,$D229)&gt;0,NOT(AND(ISNUMBER($G229),$G229&lt;$F229))),IF(StatusFilter="All (excl. Cancelled)",IF($H229="Cancelled",0,1),IF(StatusFilter="All",1,IF($H229=StatusFilter,1,0))),0)</f>
        <v>0</v>
      </c>
      <c r="O229">
        <f>IF($N229=0,0,IF(AND($F229&lt;=EOMONTH(DATE(PlanYear,1,1),0),IF(ISNUMBER($G229),$G229,$F229)&gt;=DATE(PlanYear,1,1)),1,0))</f>
        <v>0</v>
      </c>
      <c r="P229">
        <f>IF($N229=0,0,IF(AND($F229&lt;=EOMONTH(DATE(PlanYear,2,1),0),IF(ISNUMBER($G229),$G229,$F229)&gt;=DATE(PlanYear,2,1)),1,0))</f>
        <v>0</v>
      </c>
      <c r="Q229">
        <f>IF($N229=0,0,IF(AND($F229&lt;=EOMONTH(DATE(PlanYear,3,1),0),IF(ISNUMBER($G229),$G229,$F229)&gt;=DATE(PlanYear,3,1)),1,0))</f>
        <v>0</v>
      </c>
      <c r="R229">
        <f>IF($N229=0,0,IF(AND($F229&lt;=EOMONTH(DATE(PlanYear,4,1),0),IF(ISNUMBER($G229),$G229,$F229)&gt;=DATE(PlanYear,4,1)),1,0))</f>
        <v>0</v>
      </c>
      <c r="S229">
        <f>IF($N229=0,0,IF(AND($F229&lt;=EOMONTH(DATE(PlanYear,5,1),0),IF(ISNUMBER($G229),$G229,$F229)&gt;=DATE(PlanYear,5,1)),1,0))</f>
        <v>0</v>
      </c>
      <c r="T229">
        <f>IF($N229=0,0,IF(AND($F229&lt;=EOMONTH(DATE(PlanYear,6,1),0),IF(ISNUMBER($G229),$G229,$F229)&gt;=DATE(PlanYear,6,1)),1,0))</f>
        <v>0</v>
      </c>
      <c r="U229">
        <f>IF($N229=0,0,IF(AND($F229&lt;=EOMONTH(DATE(PlanYear,7,1),0),IF(ISNUMBER($G229),$G229,$F229)&gt;=DATE(PlanYear,7,1)),1,0))</f>
        <v>0</v>
      </c>
      <c r="V229">
        <f>IF($N229=0,0,IF(AND($F229&lt;=EOMONTH(DATE(PlanYear,8,1),0),IF(ISNUMBER($G229),$G229,$F229)&gt;=DATE(PlanYear,8,1)),1,0))</f>
        <v>0</v>
      </c>
      <c r="W229">
        <f>IF($N229=0,0,IF(AND($F229&lt;=EOMONTH(DATE(PlanYear,9,1),0),IF(ISNUMBER($G229),$G229,$F229)&gt;=DATE(PlanYear,9,1)),1,0))</f>
        <v>0</v>
      </c>
      <c r="X229">
        <f>IF($N229=0,0,IF(AND($F229&lt;=EOMONTH(DATE(PlanYear,10,1),0),IF(ISNUMBER($G229),$G229,$F229)&gt;=DATE(PlanYear,10,1)),1,0))</f>
        <v>0</v>
      </c>
      <c r="Y229">
        <f>IF($N229=0,0,IF(AND($F229&lt;=EOMONTH(DATE(PlanYear,11,1),0),IF(ISNUMBER($G229),$G229,$F229)&gt;=DATE(PlanYear,11,1)),1,0))</f>
        <v>0</v>
      </c>
      <c r="Z229">
        <f>IF($N229=0,0,IF(AND($F229&lt;=EOMONTH(DATE(PlanYear,12,1),0),IF(ISNUMBER($G229),$G229,$F229)&gt;=DATE(PlanYear,12,1)),1,0))</f>
        <v>0</v>
      </c>
      <c r="AA229">
        <f>SUM($O229:$Z229)</f>
        <v>0</v>
      </c>
    </row>
    <row r="230" spans="1:27">
      <c r="A230" s="42">
        <f>IF($B230="","","ACT-"&amp;TEXT(ROW()-4,"000"))</f>
        <v>0</v>
      </c>
      <c r="M230" s="43">
        <f>IF(COUNTA($B230:$K230)=0,"",IF($B230="","Missing activity name",IF($C230="","Missing practice",IF(COUNTIF(PracticeNames,$C230)=0,"Practice not in Lists",IF($D230="","Missing motion",IF(NOT(ISNUMBER($F230)),"Missing or invalid start date",IF(AND(ISNUMBER($G230),$G230&lt;$F230),"End date before start",IF(AND($N230=1,$AA230=0),"Outside planning year","OK"))))))))</f>
        <v>0</v>
      </c>
      <c r="N230">
        <f>IF(AND($B230&lt;&gt;"",$C230&lt;&gt;"",$D230&lt;&gt;"",ISNUMBER($F230),COUNTIF(PracticeNames,$C230)&gt;0,COUNTIF(MotionNames,$D230)&gt;0,NOT(AND(ISNUMBER($G230),$G230&lt;$F230))),IF(StatusFilter="All (excl. Cancelled)",IF($H230="Cancelled",0,1),IF(StatusFilter="All",1,IF($H230=StatusFilter,1,0))),0)</f>
        <v>0</v>
      </c>
      <c r="O230">
        <f>IF($N230=0,0,IF(AND($F230&lt;=EOMONTH(DATE(PlanYear,1,1),0),IF(ISNUMBER($G230),$G230,$F230)&gt;=DATE(PlanYear,1,1)),1,0))</f>
        <v>0</v>
      </c>
      <c r="P230">
        <f>IF($N230=0,0,IF(AND($F230&lt;=EOMONTH(DATE(PlanYear,2,1),0),IF(ISNUMBER($G230),$G230,$F230)&gt;=DATE(PlanYear,2,1)),1,0))</f>
        <v>0</v>
      </c>
      <c r="Q230">
        <f>IF($N230=0,0,IF(AND($F230&lt;=EOMONTH(DATE(PlanYear,3,1),0),IF(ISNUMBER($G230),$G230,$F230)&gt;=DATE(PlanYear,3,1)),1,0))</f>
        <v>0</v>
      </c>
      <c r="R230">
        <f>IF($N230=0,0,IF(AND($F230&lt;=EOMONTH(DATE(PlanYear,4,1),0),IF(ISNUMBER($G230),$G230,$F230)&gt;=DATE(PlanYear,4,1)),1,0))</f>
        <v>0</v>
      </c>
      <c r="S230">
        <f>IF($N230=0,0,IF(AND($F230&lt;=EOMONTH(DATE(PlanYear,5,1),0),IF(ISNUMBER($G230),$G230,$F230)&gt;=DATE(PlanYear,5,1)),1,0))</f>
        <v>0</v>
      </c>
      <c r="T230">
        <f>IF($N230=0,0,IF(AND($F230&lt;=EOMONTH(DATE(PlanYear,6,1),0),IF(ISNUMBER($G230),$G230,$F230)&gt;=DATE(PlanYear,6,1)),1,0))</f>
        <v>0</v>
      </c>
      <c r="U230">
        <f>IF($N230=0,0,IF(AND($F230&lt;=EOMONTH(DATE(PlanYear,7,1),0),IF(ISNUMBER($G230),$G230,$F230)&gt;=DATE(PlanYear,7,1)),1,0))</f>
        <v>0</v>
      </c>
      <c r="V230">
        <f>IF($N230=0,0,IF(AND($F230&lt;=EOMONTH(DATE(PlanYear,8,1),0),IF(ISNUMBER($G230),$G230,$F230)&gt;=DATE(PlanYear,8,1)),1,0))</f>
        <v>0</v>
      </c>
      <c r="W230">
        <f>IF($N230=0,0,IF(AND($F230&lt;=EOMONTH(DATE(PlanYear,9,1),0),IF(ISNUMBER($G230),$G230,$F230)&gt;=DATE(PlanYear,9,1)),1,0))</f>
        <v>0</v>
      </c>
      <c r="X230">
        <f>IF($N230=0,0,IF(AND($F230&lt;=EOMONTH(DATE(PlanYear,10,1),0),IF(ISNUMBER($G230),$G230,$F230)&gt;=DATE(PlanYear,10,1)),1,0))</f>
        <v>0</v>
      </c>
      <c r="Y230">
        <f>IF($N230=0,0,IF(AND($F230&lt;=EOMONTH(DATE(PlanYear,11,1),0),IF(ISNUMBER($G230),$G230,$F230)&gt;=DATE(PlanYear,11,1)),1,0))</f>
        <v>0</v>
      </c>
      <c r="Z230">
        <f>IF($N230=0,0,IF(AND($F230&lt;=EOMONTH(DATE(PlanYear,12,1),0),IF(ISNUMBER($G230),$G230,$F230)&gt;=DATE(PlanYear,12,1)),1,0))</f>
        <v>0</v>
      </c>
      <c r="AA230">
        <f>SUM($O230:$Z230)</f>
        <v>0</v>
      </c>
    </row>
    <row r="231" spans="1:27">
      <c r="A231" s="42">
        <f>IF($B231="","","ACT-"&amp;TEXT(ROW()-4,"000"))</f>
        <v>0</v>
      </c>
      <c r="M231" s="43">
        <f>IF(COUNTA($B231:$K231)=0,"",IF($B231="","Missing activity name",IF($C231="","Missing practice",IF(COUNTIF(PracticeNames,$C231)=0,"Practice not in Lists",IF($D231="","Missing motion",IF(NOT(ISNUMBER($F231)),"Missing or invalid start date",IF(AND(ISNUMBER($G231),$G231&lt;$F231),"End date before start",IF(AND($N231=1,$AA231=0),"Outside planning year","OK"))))))))</f>
        <v>0</v>
      </c>
      <c r="N231">
        <f>IF(AND($B231&lt;&gt;"",$C231&lt;&gt;"",$D231&lt;&gt;"",ISNUMBER($F231),COUNTIF(PracticeNames,$C231)&gt;0,COUNTIF(MotionNames,$D231)&gt;0,NOT(AND(ISNUMBER($G231),$G231&lt;$F231))),IF(StatusFilter="All (excl. Cancelled)",IF($H231="Cancelled",0,1),IF(StatusFilter="All",1,IF($H231=StatusFilter,1,0))),0)</f>
        <v>0</v>
      </c>
      <c r="O231">
        <f>IF($N231=0,0,IF(AND($F231&lt;=EOMONTH(DATE(PlanYear,1,1),0),IF(ISNUMBER($G231),$G231,$F231)&gt;=DATE(PlanYear,1,1)),1,0))</f>
        <v>0</v>
      </c>
      <c r="P231">
        <f>IF($N231=0,0,IF(AND($F231&lt;=EOMONTH(DATE(PlanYear,2,1),0),IF(ISNUMBER($G231),$G231,$F231)&gt;=DATE(PlanYear,2,1)),1,0))</f>
        <v>0</v>
      </c>
      <c r="Q231">
        <f>IF($N231=0,0,IF(AND($F231&lt;=EOMONTH(DATE(PlanYear,3,1),0),IF(ISNUMBER($G231),$G231,$F231)&gt;=DATE(PlanYear,3,1)),1,0))</f>
        <v>0</v>
      </c>
      <c r="R231">
        <f>IF($N231=0,0,IF(AND($F231&lt;=EOMONTH(DATE(PlanYear,4,1),0),IF(ISNUMBER($G231),$G231,$F231)&gt;=DATE(PlanYear,4,1)),1,0))</f>
        <v>0</v>
      </c>
      <c r="S231">
        <f>IF($N231=0,0,IF(AND($F231&lt;=EOMONTH(DATE(PlanYear,5,1),0),IF(ISNUMBER($G231),$G231,$F231)&gt;=DATE(PlanYear,5,1)),1,0))</f>
        <v>0</v>
      </c>
      <c r="T231">
        <f>IF($N231=0,0,IF(AND($F231&lt;=EOMONTH(DATE(PlanYear,6,1),0),IF(ISNUMBER($G231),$G231,$F231)&gt;=DATE(PlanYear,6,1)),1,0))</f>
        <v>0</v>
      </c>
      <c r="U231">
        <f>IF($N231=0,0,IF(AND($F231&lt;=EOMONTH(DATE(PlanYear,7,1),0),IF(ISNUMBER($G231),$G231,$F231)&gt;=DATE(PlanYear,7,1)),1,0))</f>
        <v>0</v>
      </c>
      <c r="V231">
        <f>IF($N231=0,0,IF(AND($F231&lt;=EOMONTH(DATE(PlanYear,8,1),0),IF(ISNUMBER($G231),$G231,$F231)&gt;=DATE(PlanYear,8,1)),1,0))</f>
        <v>0</v>
      </c>
      <c r="W231">
        <f>IF($N231=0,0,IF(AND($F231&lt;=EOMONTH(DATE(PlanYear,9,1),0),IF(ISNUMBER($G231),$G231,$F231)&gt;=DATE(PlanYear,9,1)),1,0))</f>
        <v>0</v>
      </c>
      <c r="X231">
        <f>IF($N231=0,0,IF(AND($F231&lt;=EOMONTH(DATE(PlanYear,10,1),0),IF(ISNUMBER($G231),$G231,$F231)&gt;=DATE(PlanYear,10,1)),1,0))</f>
        <v>0</v>
      </c>
      <c r="Y231">
        <f>IF($N231=0,0,IF(AND($F231&lt;=EOMONTH(DATE(PlanYear,11,1),0),IF(ISNUMBER($G231),$G231,$F231)&gt;=DATE(PlanYear,11,1)),1,0))</f>
        <v>0</v>
      </c>
      <c r="Z231">
        <f>IF($N231=0,0,IF(AND($F231&lt;=EOMONTH(DATE(PlanYear,12,1),0),IF(ISNUMBER($G231),$G231,$F231)&gt;=DATE(PlanYear,12,1)),1,0))</f>
        <v>0</v>
      </c>
      <c r="AA231">
        <f>SUM($O231:$Z231)</f>
        <v>0</v>
      </c>
    </row>
    <row r="232" spans="1:27">
      <c r="A232" s="42">
        <f>IF($B232="","","ACT-"&amp;TEXT(ROW()-4,"000"))</f>
        <v>0</v>
      </c>
      <c r="M232" s="43">
        <f>IF(COUNTA($B232:$K232)=0,"",IF($B232="","Missing activity name",IF($C232="","Missing practice",IF(COUNTIF(PracticeNames,$C232)=0,"Practice not in Lists",IF($D232="","Missing motion",IF(NOT(ISNUMBER($F232)),"Missing or invalid start date",IF(AND(ISNUMBER($G232),$G232&lt;$F232),"End date before start",IF(AND($N232=1,$AA232=0),"Outside planning year","OK"))))))))</f>
        <v>0</v>
      </c>
      <c r="N232">
        <f>IF(AND($B232&lt;&gt;"",$C232&lt;&gt;"",$D232&lt;&gt;"",ISNUMBER($F232),COUNTIF(PracticeNames,$C232)&gt;0,COUNTIF(MotionNames,$D232)&gt;0,NOT(AND(ISNUMBER($G232),$G232&lt;$F232))),IF(StatusFilter="All (excl. Cancelled)",IF($H232="Cancelled",0,1),IF(StatusFilter="All",1,IF($H232=StatusFilter,1,0))),0)</f>
        <v>0</v>
      </c>
      <c r="O232">
        <f>IF($N232=0,0,IF(AND($F232&lt;=EOMONTH(DATE(PlanYear,1,1),0),IF(ISNUMBER($G232),$G232,$F232)&gt;=DATE(PlanYear,1,1)),1,0))</f>
        <v>0</v>
      </c>
      <c r="P232">
        <f>IF($N232=0,0,IF(AND($F232&lt;=EOMONTH(DATE(PlanYear,2,1),0),IF(ISNUMBER($G232),$G232,$F232)&gt;=DATE(PlanYear,2,1)),1,0))</f>
        <v>0</v>
      </c>
      <c r="Q232">
        <f>IF($N232=0,0,IF(AND($F232&lt;=EOMONTH(DATE(PlanYear,3,1),0),IF(ISNUMBER($G232),$G232,$F232)&gt;=DATE(PlanYear,3,1)),1,0))</f>
        <v>0</v>
      </c>
      <c r="R232">
        <f>IF($N232=0,0,IF(AND($F232&lt;=EOMONTH(DATE(PlanYear,4,1),0),IF(ISNUMBER($G232),$G232,$F232)&gt;=DATE(PlanYear,4,1)),1,0))</f>
        <v>0</v>
      </c>
      <c r="S232">
        <f>IF($N232=0,0,IF(AND($F232&lt;=EOMONTH(DATE(PlanYear,5,1),0),IF(ISNUMBER($G232),$G232,$F232)&gt;=DATE(PlanYear,5,1)),1,0))</f>
        <v>0</v>
      </c>
      <c r="T232">
        <f>IF($N232=0,0,IF(AND($F232&lt;=EOMONTH(DATE(PlanYear,6,1),0),IF(ISNUMBER($G232),$G232,$F232)&gt;=DATE(PlanYear,6,1)),1,0))</f>
        <v>0</v>
      </c>
      <c r="U232">
        <f>IF($N232=0,0,IF(AND($F232&lt;=EOMONTH(DATE(PlanYear,7,1),0),IF(ISNUMBER($G232),$G232,$F232)&gt;=DATE(PlanYear,7,1)),1,0))</f>
        <v>0</v>
      </c>
      <c r="V232">
        <f>IF($N232=0,0,IF(AND($F232&lt;=EOMONTH(DATE(PlanYear,8,1),0),IF(ISNUMBER($G232),$G232,$F232)&gt;=DATE(PlanYear,8,1)),1,0))</f>
        <v>0</v>
      </c>
      <c r="W232">
        <f>IF($N232=0,0,IF(AND($F232&lt;=EOMONTH(DATE(PlanYear,9,1),0),IF(ISNUMBER($G232),$G232,$F232)&gt;=DATE(PlanYear,9,1)),1,0))</f>
        <v>0</v>
      </c>
      <c r="X232">
        <f>IF($N232=0,0,IF(AND($F232&lt;=EOMONTH(DATE(PlanYear,10,1),0),IF(ISNUMBER($G232),$G232,$F232)&gt;=DATE(PlanYear,10,1)),1,0))</f>
        <v>0</v>
      </c>
      <c r="Y232">
        <f>IF($N232=0,0,IF(AND($F232&lt;=EOMONTH(DATE(PlanYear,11,1),0),IF(ISNUMBER($G232),$G232,$F232)&gt;=DATE(PlanYear,11,1)),1,0))</f>
        <v>0</v>
      </c>
      <c r="Z232">
        <f>IF($N232=0,0,IF(AND($F232&lt;=EOMONTH(DATE(PlanYear,12,1),0),IF(ISNUMBER($G232),$G232,$F232)&gt;=DATE(PlanYear,12,1)),1,0))</f>
        <v>0</v>
      </c>
      <c r="AA232">
        <f>SUM($O232:$Z232)</f>
        <v>0</v>
      </c>
    </row>
    <row r="233" spans="1:27">
      <c r="A233" s="42">
        <f>IF($B233="","","ACT-"&amp;TEXT(ROW()-4,"000"))</f>
        <v>0</v>
      </c>
      <c r="M233" s="43">
        <f>IF(COUNTA($B233:$K233)=0,"",IF($B233="","Missing activity name",IF($C233="","Missing practice",IF(COUNTIF(PracticeNames,$C233)=0,"Practice not in Lists",IF($D233="","Missing motion",IF(NOT(ISNUMBER($F233)),"Missing or invalid start date",IF(AND(ISNUMBER($G233),$G233&lt;$F233),"End date before start",IF(AND($N233=1,$AA233=0),"Outside planning year","OK"))))))))</f>
        <v>0</v>
      </c>
      <c r="N233">
        <f>IF(AND($B233&lt;&gt;"",$C233&lt;&gt;"",$D233&lt;&gt;"",ISNUMBER($F233),COUNTIF(PracticeNames,$C233)&gt;0,COUNTIF(MotionNames,$D233)&gt;0,NOT(AND(ISNUMBER($G233),$G233&lt;$F233))),IF(StatusFilter="All (excl. Cancelled)",IF($H233="Cancelled",0,1),IF(StatusFilter="All",1,IF($H233=StatusFilter,1,0))),0)</f>
        <v>0</v>
      </c>
      <c r="O233">
        <f>IF($N233=0,0,IF(AND($F233&lt;=EOMONTH(DATE(PlanYear,1,1),0),IF(ISNUMBER($G233),$G233,$F233)&gt;=DATE(PlanYear,1,1)),1,0))</f>
        <v>0</v>
      </c>
      <c r="P233">
        <f>IF($N233=0,0,IF(AND($F233&lt;=EOMONTH(DATE(PlanYear,2,1),0),IF(ISNUMBER($G233),$G233,$F233)&gt;=DATE(PlanYear,2,1)),1,0))</f>
        <v>0</v>
      </c>
      <c r="Q233">
        <f>IF($N233=0,0,IF(AND($F233&lt;=EOMONTH(DATE(PlanYear,3,1),0),IF(ISNUMBER($G233),$G233,$F233)&gt;=DATE(PlanYear,3,1)),1,0))</f>
        <v>0</v>
      </c>
      <c r="R233">
        <f>IF($N233=0,0,IF(AND($F233&lt;=EOMONTH(DATE(PlanYear,4,1),0),IF(ISNUMBER($G233),$G233,$F233)&gt;=DATE(PlanYear,4,1)),1,0))</f>
        <v>0</v>
      </c>
      <c r="S233">
        <f>IF($N233=0,0,IF(AND($F233&lt;=EOMONTH(DATE(PlanYear,5,1),0),IF(ISNUMBER($G233),$G233,$F233)&gt;=DATE(PlanYear,5,1)),1,0))</f>
        <v>0</v>
      </c>
      <c r="T233">
        <f>IF($N233=0,0,IF(AND($F233&lt;=EOMONTH(DATE(PlanYear,6,1),0),IF(ISNUMBER($G233),$G233,$F233)&gt;=DATE(PlanYear,6,1)),1,0))</f>
        <v>0</v>
      </c>
      <c r="U233">
        <f>IF($N233=0,0,IF(AND($F233&lt;=EOMONTH(DATE(PlanYear,7,1),0),IF(ISNUMBER($G233),$G233,$F233)&gt;=DATE(PlanYear,7,1)),1,0))</f>
        <v>0</v>
      </c>
      <c r="V233">
        <f>IF($N233=0,0,IF(AND($F233&lt;=EOMONTH(DATE(PlanYear,8,1),0),IF(ISNUMBER($G233),$G233,$F233)&gt;=DATE(PlanYear,8,1)),1,0))</f>
        <v>0</v>
      </c>
      <c r="W233">
        <f>IF($N233=0,0,IF(AND($F233&lt;=EOMONTH(DATE(PlanYear,9,1),0),IF(ISNUMBER($G233),$G233,$F233)&gt;=DATE(PlanYear,9,1)),1,0))</f>
        <v>0</v>
      </c>
      <c r="X233">
        <f>IF($N233=0,0,IF(AND($F233&lt;=EOMONTH(DATE(PlanYear,10,1),0),IF(ISNUMBER($G233),$G233,$F233)&gt;=DATE(PlanYear,10,1)),1,0))</f>
        <v>0</v>
      </c>
      <c r="Y233">
        <f>IF($N233=0,0,IF(AND($F233&lt;=EOMONTH(DATE(PlanYear,11,1),0),IF(ISNUMBER($G233),$G233,$F233)&gt;=DATE(PlanYear,11,1)),1,0))</f>
        <v>0</v>
      </c>
      <c r="Z233">
        <f>IF($N233=0,0,IF(AND($F233&lt;=EOMONTH(DATE(PlanYear,12,1),0),IF(ISNUMBER($G233),$G233,$F233)&gt;=DATE(PlanYear,12,1)),1,0))</f>
        <v>0</v>
      </c>
      <c r="AA233">
        <f>SUM($O233:$Z233)</f>
        <v>0</v>
      </c>
    </row>
    <row r="234" spans="1:27">
      <c r="A234" s="42">
        <f>IF($B234="","","ACT-"&amp;TEXT(ROW()-4,"000"))</f>
        <v>0</v>
      </c>
      <c r="M234" s="43">
        <f>IF(COUNTA($B234:$K234)=0,"",IF($B234="","Missing activity name",IF($C234="","Missing practice",IF(COUNTIF(PracticeNames,$C234)=0,"Practice not in Lists",IF($D234="","Missing motion",IF(NOT(ISNUMBER($F234)),"Missing or invalid start date",IF(AND(ISNUMBER($G234),$G234&lt;$F234),"End date before start",IF(AND($N234=1,$AA234=0),"Outside planning year","OK"))))))))</f>
        <v>0</v>
      </c>
      <c r="N234">
        <f>IF(AND($B234&lt;&gt;"",$C234&lt;&gt;"",$D234&lt;&gt;"",ISNUMBER($F234),COUNTIF(PracticeNames,$C234)&gt;0,COUNTIF(MotionNames,$D234)&gt;0,NOT(AND(ISNUMBER($G234),$G234&lt;$F234))),IF(StatusFilter="All (excl. Cancelled)",IF($H234="Cancelled",0,1),IF(StatusFilter="All",1,IF($H234=StatusFilter,1,0))),0)</f>
        <v>0</v>
      </c>
      <c r="O234">
        <f>IF($N234=0,0,IF(AND($F234&lt;=EOMONTH(DATE(PlanYear,1,1),0),IF(ISNUMBER($G234),$G234,$F234)&gt;=DATE(PlanYear,1,1)),1,0))</f>
        <v>0</v>
      </c>
      <c r="P234">
        <f>IF($N234=0,0,IF(AND($F234&lt;=EOMONTH(DATE(PlanYear,2,1),0),IF(ISNUMBER($G234),$G234,$F234)&gt;=DATE(PlanYear,2,1)),1,0))</f>
        <v>0</v>
      </c>
      <c r="Q234">
        <f>IF($N234=0,0,IF(AND($F234&lt;=EOMONTH(DATE(PlanYear,3,1),0),IF(ISNUMBER($G234),$G234,$F234)&gt;=DATE(PlanYear,3,1)),1,0))</f>
        <v>0</v>
      </c>
      <c r="R234">
        <f>IF($N234=0,0,IF(AND($F234&lt;=EOMONTH(DATE(PlanYear,4,1),0),IF(ISNUMBER($G234),$G234,$F234)&gt;=DATE(PlanYear,4,1)),1,0))</f>
        <v>0</v>
      </c>
      <c r="S234">
        <f>IF($N234=0,0,IF(AND($F234&lt;=EOMONTH(DATE(PlanYear,5,1),0),IF(ISNUMBER($G234),$G234,$F234)&gt;=DATE(PlanYear,5,1)),1,0))</f>
        <v>0</v>
      </c>
      <c r="T234">
        <f>IF($N234=0,0,IF(AND($F234&lt;=EOMONTH(DATE(PlanYear,6,1),0),IF(ISNUMBER($G234),$G234,$F234)&gt;=DATE(PlanYear,6,1)),1,0))</f>
        <v>0</v>
      </c>
      <c r="U234">
        <f>IF($N234=0,0,IF(AND($F234&lt;=EOMONTH(DATE(PlanYear,7,1),0),IF(ISNUMBER($G234),$G234,$F234)&gt;=DATE(PlanYear,7,1)),1,0))</f>
        <v>0</v>
      </c>
      <c r="V234">
        <f>IF($N234=0,0,IF(AND($F234&lt;=EOMONTH(DATE(PlanYear,8,1),0),IF(ISNUMBER($G234),$G234,$F234)&gt;=DATE(PlanYear,8,1)),1,0))</f>
        <v>0</v>
      </c>
      <c r="W234">
        <f>IF($N234=0,0,IF(AND($F234&lt;=EOMONTH(DATE(PlanYear,9,1),0),IF(ISNUMBER($G234),$G234,$F234)&gt;=DATE(PlanYear,9,1)),1,0))</f>
        <v>0</v>
      </c>
      <c r="X234">
        <f>IF($N234=0,0,IF(AND($F234&lt;=EOMONTH(DATE(PlanYear,10,1),0),IF(ISNUMBER($G234),$G234,$F234)&gt;=DATE(PlanYear,10,1)),1,0))</f>
        <v>0</v>
      </c>
      <c r="Y234">
        <f>IF($N234=0,0,IF(AND($F234&lt;=EOMONTH(DATE(PlanYear,11,1),0),IF(ISNUMBER($G234),$G234,$F234)&gt;=DATE(PlanYear,11,1)),1,0))</f>
        <v>0</v>
      </c>
      <c r="Z234">
        <f>IF($N234=0,0,IF(AND($F234&lt;=EOMONTH(DATE(PlanYear,12,1),0),IF(ISNUMBER($G234),$G234,$F234)&gt;=DATE(PlanYear,12,1)),1,0))</f>
        <v>0</v>
      </c>
      <c r="AA234">
        <f>SUM($O234:$Z234)</f>
        <v>0</v>
      </c>
    </row>
    <row r="235" spans="1:27">
      <c r="A235" s="42">
        <f>IF($B235="","","ACT-"&amp;TEXT(ROW()-4,"000"))</f>
        <v>0</v>
      </c>
      <c r="M235" s="43">
        <f>IF(COUNTA($B235:$K235)=0,"",IF($B235="","Missing activity name",IF($C235="","Missing practice",IF(COUNTIF(PracticeNames,$C235)=0,"Practice not in Lists",IF($D235="","Missing motion",IF(NOT(ISNUMBER($F235)),"Missing or invalid start date",IF(AND(ISNUMBER($G235),$G235&lt;$F235),"End date before start",IF(AND($N235=1,$AA235=0),"Outside planning year","OK"))))))))</f>
        <v>0</v>
      </c>
      <c r="N235">
        <f>IF(AND($B235&lt;&gt;"",$C235&lt;&gt;"",$D235&lt;&gt;"",ISNUMBER($F235),COUNTIF(PracticeNames,$C235)&gt;0,COUNTIF(MotionNames,$D235)&gt;0,NOT(AND(ISNUMBER($G235),$G235&lt;$F235))),IF(StatusFilter="All (excl. Cancelled)",IF($H235="Cancelled",0,1),IF(StatusFilter="All",1,IF($H235=StatusFilter,1,0))),0)</f>
        <v>0</v>
      </c>
      <c r="O235">
        <f>IF($N235=0,0,IF(AND($F235&lt;=EOMONTH(DATE(PlanYear,1,1),0),IF(ISNUMBER($G235),$G235,$F235)&gt;=DATE(PlanYear,1,1)),1,0))</f>
        <v>0</v>
      </c>
      <c r="P235">
        <f>IF($N235=0,0,IF(AND($F235&lt;=EOMONTH(DATE(PlanYear,2,1),0),IF(ISNUMBER($G235),$G235,$F235)&gt;=DATE(PlanYear,2,1)),1,0))</f>
        <v>0</v>
      </c>
      <c r="Q235">
        <f>IF($N235=0,0,IF(AND($F235&lt;=EOMONTH(DATE(PlanYear,3,1),0),IF(ISNUMBER($G235),$G235,$F235)&gt;=DATE(PlanYear,3,1)),1,0))</f>
        <v>0</v>
      </c>
      <c r="R235">
        <f>IF($N235=0,0,IF(AND($F235&lt;=EOMONTH(DATE(PlanYear,4,1),0),IF(ISNUMBER($G235),$G235,$F235)&gt;=DATE(PlanYear,4,1)),1,0))</f>
        <v>0</v>
      </c>
      <c r="S235">
        <f>IF($N235=0,0,IF(AND($F235&lt;=EOMONTH(DATE(PlanYear,5,1),0),IF(ISNUMBER($G235),$G235,$F235)&gt;=DATE(PlanYear,5,1)),1,0))</f>
        <v>0</v>
      </c>
      <c r="T235">
        <f>IF($N235=0,0,IF(AND($F235&lt;=EOMONTH(DATE(PlanYear,6,1),0),IF(ISNUMBER($G235),$G235,$F235)&gt;=DATE(PlanYear,6,1)),1,0))</f>
        <v>0</v>
      </c>
      <c r="U235">
        <f>IF($N235=0,0,IF(AND($F235&lt;=EOMONTH(DATE(PlanYear,7,1),0),IF(ISNUMBER($G235),$G235,$F235)&gt;=DATE(PlanYear,7,1)),1,0))</f>
        <v>0</v>
      </c>
      <c r="V235">
        <f>IF($N235=0,0,IF(AND($F235&lt;=EOMONTH(DATE(PlanYear,8,1),0),IF(ISNUMBER($G235),$G235,$F235)&gt;=DATE(PlanYear,8,1)),1,0))</f>
        <v>0</v>
      </c>
      <c r="W235">
        <f>IF($N235=0,0,IF(AND($F235&lt;=EOMONTH(DATE(PlanYear,9,1),0),IF(ISNUMBER($G235),$G235,$F235)&gt;=DATE(PlanYear,9,1)),1,0))</f>
        <v>0</v>
      </c>
      <c r="X235">
        <f>IF($N235=0,0,IF(AND($F235&lt;=EOMONTH(DATE(PlanYear,10,1),0),IF(ISNUMBER($G235),$G235,$F235)&gt;=DATE(PlanYear,10,1)),1,0))</f>
        <v>0</v>
      </c>
      <c r="Y235">
        <f>IF($N235=0,0,IF(AND($F235&lt;=EOMONTH(DATE(PlanYear,11,1),0),IF(ISNUMBER($G235),$G235,$F235)&gt;=DATE(PlanYear,11,1)),1,0))</f>
        <v>0</v>
      </c>
      <c r="Z235">
        <f>IF($N235=0,0,IF(AND($F235&lt;=EOMONTH(DATE(PlanYear,12,1),0),IF(ISNUMBER($G235),$G235,$F235)&gt;=DATE(PlanYear,12,1)),1,0))</f>
        <v>0</v>
      </c>
      <c r="AA235">
        <f>SUM($O235:$Z235)</f>
        <v>0</v>
      </c>
    </row>
    <row r="236" spans="1:27">
      <c r="A236" s="42">
        <f>IF($B236="","","ACT-"&amp;TEXT(ROW()-4,"000"))</f>
        <v>0</v>
      </c>
      <c r="M236" s="43">
        <f>IF(COUNTA($B236:$K236)=0,"",IF($B236="","Missing activity name",IF($C236="","Missing practice",IF(COUNTIF(PracticeNames,$C236)=0,"Practice not in Lists",IF($D236="","Missing motion",IF(NOT(ISNUMBER($F236)),"Missing or invalid start date",IF(AND(ISNUMBER($G236),$G236&lt;$F236),"End date before start",IF(AND($N236=1,$AA236=0),"Outside planning year","OK"))))))))</f>
        <v>0</v>
      </c>
      <c r="N236">
        <f>IF(AND($B236&lt;&gt;"",$C236&lt;&gt;"",$D236&lt;&gt;"",ISNUMBER($F236),COUNTIF(PracticeNames,$C236)&gt;0,COUNTIF(MotionNames,$D236)&gt;0,NOT(AND(ISNUMBER($G236),$G236&lt;$F236))),IF(StatusFilter="All (excl. Cancelled)",IF($H236="Cancelled",0,1),IF(StatusFilter="All",1,IF($H236=StatusFilter,1,0))),0)</f>
        <v>0</v>
      </c>
      <c r="O236">
        <f>IF($N236=0,0,IF(AND($F236&lt;=EOMONTH(DATE(PlanYear,1,1),0),IF(ISNUMBER($G236),$G236,$F236)&gt;=DATE(PlanYear,1,1)),1,0))</f>
        <v>0</v>
      </c>
      <c r="P236">
        <f>IF($N236=0,0,IF(AND($F236&lt;=EOMONTH(DATE(PlanYear,2,1),0),IF(ISNUMBER($G236),$G236,$F236)&gt;=DATE(PlanYear,2,1)),1,0))</f>
        <v>0</v>
      </c>
      <c r="Q236">
        <f>IF($N236=0,0,IF(AND($F236&lt;=EOMONTH(DATE(PlanYear,3,1),0),IF(ISNUMBER($G236),$G236,$F236)&gt;=DATE(PlanYear,3,1)),1,0))</f>
        <v>0</v>
      </c>
      <c r="R236">
        <f>IF($N236=0,0,IF(AND($F236&lt;=EOMONTH(DATE(PlanYear,4,1),0),IF(ISNUMBER($G236),$G236,$F236)&gt;=DATE(PlanYear,4,1)),1,0))</f>
        <v>0</v>
      </c>
      <c r="S236">
        <f>IF($N236=0,0,IF(AND($F236&lt;=EOMONTH(DATE(PlanYear,5,1),0),IF(ISNUMBER($G236),$G236,$F236)&gt;=DATE(PlanYear,5,1)),1,0))</f>
        <v>0</v>
      </c>
      <c r="T236">
        <f>IF($N236=0,0,IF(AND($F236&lt;=EOMONTH(DATE(PlanYear,6,1),0),IF(ISNUMBER($G236),$G236,$F236)&gt;=DATE(PlanYear,6,1)),1,0))</f>
        <v>0</v>
      </c>
      <c r="U236">
        <f>IF($N236=0,0,IF(AND($F236&lt;=EOMONTH(DATE(PlanYear,7,1),0),IF(ISNUMBER($G236),$G236,$F236)&gt;=DATE(PlanYear,7,1)),1,0))</f>
        <v>0</v>
      </c>
      <c r="V236">
        <f>IF($N236=0,0,IF(AND($F236&lt;=EOMONTH(DATE(PlanYear,8,1),0),IF(ISNUMBER($G236),$G236,$F236)&gt;=DATE(PlanYear,8,1)),1,0))</f>
        <v>0</v>
      </c>
      <c r="W236">
        <f>IF($N236=0,0,IF(AND($F236&lt;=EOMONTH(DATE(PlanYear,9,1),0),IF(ISNUMBER($G236),$G236,$F236)&gt;=DATE(PlanYear,9,1)),1,0))</f>
        <v>0</v>
      </c>
      <c r="X236">
        <f>IF($N236=0,0,IF(AND($F236&lt;=EOMONTH(DATE(PlanYear,10,1),0),IF(ISNUMBER($G236),$G236,$F236)&gt;=DATE(PlanYear,10,1)),1,0))</f>
        <v>0</v>
      </c>
      <c r="Y236">
        <f>IF($N236=0,0,IF(AND($F236&lt;=EOMONTH(DATE(PlanYear,11,1),0),IF(ISNUMBER($G236),$G236,$F236)&gt;=DATE(PlanYear,11,1)),1,0))</f>
        <v>0</v>
      </c>
      <c r="Z236">
        <f>IF($N236=0,0,IF(AND($F236&lt;=EOMONTH(DATE(PlanYear,12,1),0),IF(ISNUMBER($G236),$G236,$F236)&gt;=DATE(PlanYear,12,1)),1,0))</f>
        <v>0</v>
      </c>
      <c r="AA236">
        <f>SUM($O236:$Z236)</f>
        <v>0</v>
      </c>
    </row>
    <row r="237" spans="1:27">
      <c r="A237" s="42">
        <f>IF($B237="","","ACT-"&amp;TEXT(ROW()-4,"000"))</f>
        <v>0</v>
      </c>
      <c r="M237" s="43">
        <f>IF(COUNTA($B237:$K237)=0,"",IF($B237="","Missing activity name",IF($C237="","Missing practice",IF(COUNTIF(PracticeNames,$C237)=0,"Practice not in Lists",IF($D237="","Missing motion",IF(NOT(ISNUMBER($F237)),"Missing or invalid start date",IF(AND(ISNUMBER($G237),$G237&lt;$F237),"End date before start",IF(AND($N237=1,$AA237=0),"Outside planning year","OK"))))))))</f>
        <v>0</v>
      </c>
      <c r="N237">
        <f>IF(AND($B237&lt;&gt;"",$C237&lt;&gt;"",$D237&lt;&gt;"",ISNUMBER($F237),COUNTIF(PracticeNames,$C237)&gt;0,COUNTIF(MotionNames,$D237)&gt;0,NOT(AND(ISNUMBER($G237),$G237&lt;$F237))),IF(StatusFilter="All (excl. Cancelled)",IF($H237="Cancelled",0,1),IF(StatusFilter="All",1,IF($H237=StatusFilter,1,0))),0)</f>
        <v>0</v>
      </c>
      <c r="O237">
        <f>IF($N237=0,0,IF(AND($F237&lt;=EOMONTH(DATE(PlanYear,1,1),0),IF(ISNUMBER($G237),$G237,$F237)&gt;=DATE(PlanYear,1,1)),1,0))</f>
        <v>0</v>
      </c>
      <c r="P237">
        <f>IF($N237=0,0,IF(AND($F237&lt;=EOMONTH(DATE(PlanYear,2,1),0),IF(ISNUMBER($G237),$G237,$F237)&gt;=DATE(PlanYear,2,1)),1,0))</f>
        <v>0</v>
      </c>
      <c r="Q237">
        <f>IF($N237=0,0,IF(AND($F237&lt;=EOMONTH(DATE(PlanYear,3,1),0),IF(ISNUMBER($G237),$G237,$F237)&gt;=DATE(PlanYear,3,1)),1,0))</f>
        <v>0</v>
      </c>
      <c r="R237">
        <f>IF($N237=0,0,IF(AND($F237&lt;=EOMONTH(DATE(PlanYear,4,1),0),IF(ISNUMBER($G237),$G237,$F237)&gt;=DATE(PlanYear,4,1)),1,0))</f>
        <v>0</v>
      </c>
      <c r="S237">
        <f>IF($N237=0,0,IF(AND($F237&lt;=EOMONTH(DATE(PlanYear,5,1),0),IF(ISNUMBER($G237),$G237,$F237)&gt;=DATE(PlanYear,5,1)),1,0))</f>
        <v>0</v>
      </c>
      <c r="T237">
        <f>IF($N237=0,0,IF(AND($F237&lt;=EOMONTH(DATE(PlanYear,6,1),0),IF(ISNUMBER($G237),$G237,$F237)&gt;=DATE(PlanYear,6,1)),1,0))</f>
        <v>0</v>
      </c>
      <c r="U237">
        <f>IF($N237=0,0,IF(AND($F237&lt;=EOMONTH(DATE(PlanYear,7,1),0),IF(ISNUMBER($G237),$G237,$F237)&gt;=DATE(PlanYear,7,1)),1,0))</f>
        <v>0</v>
      </c>
      <c r="V237">
        <f>IF($N237=0,0,IF(AND($F237&lt;=EOMONTH(DATE(PlanYear,8,1),0),IF(ISNUMBER($G237),$G237,$F237)&gt;=DATE(PlanYear,8,1)),1,0))</f>
        <v>0</v>
      </c>
      <c r="W237">
        <f>IF($N237=0,0,IF(AND($F237&lt;=EOMONTH(DATE(PlanYear,9,1),0),IF(ISNUMBER($G237),$G237,$F237)&gt;=DATE(PlanYear,9,1)),1,0))</f>
        <v>0</v>
      </c>
      <c r="X237">
        <f>IF($N237=0,0,IF(AND($F237&lt;=EOMONTH(DATE(PlanYear,10,1),0),IF(ISNUMBER($G237),$G237,$F237)&gt;=DATE(PlanYear,10,1)),1,0))</f>
        <v>0</v>
      </c>
      <c r="Y237">
        <f>IF($N237=0,0,IF(AND($F237&lt;=EOMONTH(DATE(PlanYear,11,1),0),IF(ISNUMBER($G237),$G237,$F237)&gt;=DATE(PlanYear,11,1)),1,0))</f>
        <v>0</v>
      </c>
      <c r="Z237">
        <f>IF($N237=0,0,IF(AND($F237&lt;=EOMONTH(DATE(PlanYear,12,1),0),IF(ISNUMBER($G237),$G237,$F237)&gt;=DATE(PlanYear,12,1)),1,0))</f>
        <v>0</v>
      </c>
      <c r="AA237">
        <f>SUM($O237:$Z237)</f>
        <v>0</v>
      </c>
    </row>
    <row r="238" spans="1:27">
      <c r="A238" s="42">
        <f>IF($B238="","","ACT-"&amp;TEXT(ROW()-4,"000"))</f>
        <v>0</v>
      </c>
      <c r="M238" s="43">
        <f>IF(COUNTA($B238:$K238)=0,"",IF($B238="","Missing activity name",IF($C238="","Missing practice",IF(COUNTIF(PracticeNames,$C238)=0,"Practice not in Lists",IF($D238="","Missing motion",IF(NOT(ISNUMBER($F238)),"Missing or invalid start date",IF(AND(ISNUMBER($G238),$G238&lt;$F238),"End date before start",IF(AND($N238=1,$AA238=0),"Outside planning year","OK"))))))))</f>
        <v>0</v>
      </c>
      <c r="N238">
        <f>IF(AND($B238&lt;&gt;"",$C238&lt;&gt;"",$D238&lt;&gt;"",ISNUMBER($F238),COUNTIF(PracticeNames,$C238)&gt;0,COUNTIF(MotionNames,$D238)&gt;0,NOT(AND(ISNUMBER($G238),$G238&lt;$F238))),IF(StatusFilter="All (excl. Cancelled)",IF($H238="Cancelled",0,1),IF(StatusFilter="All",1,IF($H238=StatusFilter,1,0))),0)</f>
        <v>0</v>
      </c>
      <c r="O238">
        <f>IF($N238=0,0,IF(AND($F238&lt;=EOMONTH(DATE(PlanYear,1,1),0),IF(ISNUMBER($G238),$G238,$F238)&gt;=DATE(PlanYear,1,1)),1,0))</f>
        <v>0</v>
      </c>
      <c r="P238">
        <f>IF($N238=0,0,IF(AND($F238&lt;=EOMONTH(DATE(PlanYear,2,1),0),IF(ISNUMBER($G238),$G238,$F238)&gt;=DATE(PlanYear,2,1)),1,0))</f>
        <v>0</v>
      </c>
      <c r="Q238">
        <f>IF($N238=0,0,IF(AND($F238&lt;=EOMONTH(DATE(PlanYear,3,1),0),IF(ISNUMBER($G238),$G238,$F238)&gt;=DATE(PlanYear,3,1)),1,0))</f>
        <v>0</v>
      </c>
      <c r="R238">
        <f>IF($N238=0,0,IF(AND($F238&lt;=EOMONTH(DATE(PlanYear,4,1),0),IF(ISNUMBER($G238),$G238,$F238)&gt;=DATE(PlanYear,4,1)),1,0))</f>
        <v>0</v>
      </c>
      <c r="S238">
        <f>IF($N238=0,0,IF(AND($F238&lt;=EOMONTH(DATE(PlanYear,5,1),0),IF(ISNUMBER($G238),$G238,$F238)&gt;=DATE(PlanYear,5,1)),1,0))</f>
        <v>0</v>
      </c>
      <c r="T238">
        <f>IF($N238=0,0,IF(AND($F238&lt;=EOMONTH(DATE(PlanYear,6,1),0),IF(ISNUMBER($G238),$G238,$F238)&gt;=DATE(PlanYear,6,1)),1,0))</f>
        <v>0</v>
      </c>
      <c r="U238">
        <f>IF($N238=0,0,IF(AND($F238&lt;=EOMONTH(DATE(PlanYear,7,1),0),IF(ISNUMBER($G238),$G238,$F238)&gt;=DATE(PlanYear,7,1)),1,0))</f>
        <v>0</v>
      </c>
      <c r="V238">
        <f>IF($N238=0,0,IF(AND($F238&lt;=EOMONTH(DATE(PlanYear,8,1),0),IF(ISNUMBER($G238),$G238,$F238)&gt;=DATE(PlanYear,8,1)),1,0))</f>
        <v>0</v>
      </c>
      <c r="W238">
        <f>IF($N238=0,0,IF(AND($F238&lt;=EOMONTH(DATE(PlanYear,9,1),0),IF(ISNUMBER($G238),$G238,$F238)&gt;=DATE(PlanYear,9,1)),1,0))</f>
        <v>0</v>
      </c>
      <c r="X238">
        <f>IF($N238=0,0,IF(AND($F238&lt;=EOMONTH(DATE(PlanYear,10,1),0),IF(ISNUMBER($G238),$G238,$F238)&gt;=DATE(PlanYear,10,1)),1,0))</f>
        <v>0</v>
      </c>
      <c r="Y238">
        <f>IF($N238=0,0,IF(AND($F238&lt;=EOMONTH(DATE(PlanYear,11,1),0),IF(ISNUMBER($G238),$G238,$F238)&gt;=DATE(PlanYear,11,1)),1,0))</f>
        <v>0</v>
      </c>
      <c r="Z238">
        <f>IF($N238=0,0,IF(AND($F238&lt;=EOMONTH(DATE(PlanYear,12,1),0),IF(ISNUMBER($G238),$G238,$F238)&gt;=DATE(PlanYear,12,1)),1,0))</f>
        <v>0</v>
      </c>
      <c r="AA238">
        <f>SUM($O238:$Z238)</f>
        <v>0</v>
      </c>
    </row>
    <row r="239" spans="1:27">
      <c r="A239" s="42">
        <f>IF($B239="","","ACT-"&amp;TEXT(ROW()-4,"000"))</f>
        <v>0</v>
      </c>
      <c r="M239" s="43">
        <f>IF(COUNTA($B239:$K239)=0,"",IF($B239="","Missing activity name",IF($C239="","Missing practice",IF(COUNTIF(PracticeNames,$C239)=0,"Practice not in Lists",IF($D239="","Missing motion",IF(NOT(ISNUMBER($F239)),"Missing or invalid start date",IF(AND(ISNUMBER($G239),$G239&lt;$F239),"End date before start",IF(AND($N239=1,$AA239=0),"Outside planning year","OK"))))))))</f>
        <v>0</v>
      </c>
      <c r="N239">
        <f>IF(AND($B239&lt;&gt;"",$C239&lt;&gt;"",$D239&lt;&gt;"",ISNUMBER($F239),COUNTIF(PracticeNames,$C239)&gt;0,COUNTIF(MotionNames,$D239)&gt;0,NOT(AND(ISNUMBER($G239),$G239&lt;$F239))),IF(StatusFilter="All (excl. Cancelled)",IF($H239="Cancelled",0,1),IF(StatusFilter="All",1,IF($H239=StatusFilter,1,0))),0)</f>
        <v>0</v>
      </c>
      <c r="O239">
        <f>IF($N239=0,0,IF(AND($F239&lt;=EOMONTH(DATE(PlanYear,1,1),0),IF(ISNUMBER($G239),$G239,$F239)&gt;=DATE(PlanYear,1,1)),1,0))</f>
        <v>0</v>
      </c>
      <c r="P239">
        <f>IF($N239=0,0,IF(AND($F239&lt;=EOMONTH(DATE(PlanYear,2,1),0),IF(ISNUMBER($G239),$G239,$F239)&gt;=DATE(PlanYear,2,1)),1,0))</f>
        <v>0</v>
      </c>
      <c r="Q239">
        <f>IF($N239=0,0,IF(AND($F239&lt;=EOMONTH(DATE(PlanYear,3,1),0),IF(ISNUMBER($G239),$G239,$F239)&gt;=DATE(PlanYear,3,1)),1,0))</f>
        <v>0</v>
      </c>
      <c r="R239">
        <f>IF($N239=0,0,IF(AND($F239&lt;=EOMONTH(DATE(PlanYear,4,1),0),IF(ISNUMBER($G239),$G239,$F239)&gt;=DATE(PlanYear,4,1)),1,0))</f>
        <v>0</v>
      </c>
      <c r="S239">
        <f>IF($N239=0,0,IF(AND($F239&lt;=EOMONTH(DATE(PlanYear,5,1),0),IF(ISNUMBER($G239),$G239,$F239)&gt;=DATE(PlanYear,5,1)),1,0))</f>
        <v>0</v>
      </c>
      <c r="T239">
        <f>IF($N239=0,0,IF(AND($F239&lt;=EOMONTH(DATE(PlanYear,6,1),0),IF(ISNUMBER($G239),$G239,$F239)&gt;=DATE(PlanYear,6,1)),1,0))</f>
        <v>0</v>
      </c>
      <c r="U239">
        <f>IF($N239=0,0,IF(AND($F239&lt;=EOMONTH(DATE(PlanYear,7,1),0),IF(ISNUMBER($G239),$G239,$F239)&gt;=DATE(PlanYear,7,1)),1,0))</f>
        <v>0</v>
      </c>
      <c r="V239">
        <f>IF($N239=0,0,IF(AND($F239&lt;=EOMONTH(DATE(PlanYear,8,1),0),IF(ISNUMBER($G239),$G239,$F239)&gt;=DATE(PlanYear,8,1)),1,0))</f>
        <v>0</v>
      </c>
      <c r="W239">
        <f>IF($N239=0,0,IF(AND($F239&lt;=EOMONTH(DATE(PlanYear,9,1),0),IF(ISNUMBER($G239),$G239,$F239)&gt;=DATE(PlanYear,9,1)),1,0))</f>
        <v>0</v>
      </c>
      <c r="X239">
        <f>IF($N239=0,0,IF(AND($F239&lt;=EOMONTH(DATE(PlanYear,10,1),0),IF(ISNUMBER($G239),$G239,$F239)&gt;=DATE(PlanYear,10,1)),1,0))</f>
        <v>0</v>
      </c>
      <c r="Y239">
        <f>IF($N239=0,0,IF(AND($F239&lt;=EOMONTH(DATE(PlanYear,11,1),0),IF(ISNUMBER($G239),$G239,$F239)&gt;=DATE(PlanYear,11,1)),1,0))</f>
        <v>0</v>
      </c>
      <c r="Z239">
        <f>IF($N239=0,0,IF(AND($F239&lt;=EOMONTH(DATE(PlanYear,12,1),0),IF(ISNUMBER($G239),$G239,$F239)&gt;=DATE(PlanYear,12,1)),1,0))</f>
        <v>0</v>
      </c>
      <c r="AA239">
        <f>SUM($O239:$Z239)</f>
        <v>0</v>
      </c>
    </row>
    <row r="240" spans="1:27">
      <c r="A240" s="42">
        <f>IF($B240="","","ACT-"&amp;TEXT(ROW()-4,"000"))</f>
        <v>0</v>
      </c>
      <c r="M240" s="43">
        <f>IF(COUNTA($B240:$K240)=0,"",IF($B240="","Missing activity name",IF($C240="","Missing practice",IF(COUNTIF(PracticeNames,$C240)=0,"Practice not in Lists",IF($D240="","Missing motion",IF(NOT(ISNUMBER($F240)),"Missing or invalid start date",IF(AND(ISNUMBER($G240),$G240&lt;$F240),"End date before start",IF(AND($N240=1,$AA240=0),"Outside planning year","OK"))))))))</f>
        <v>0</v>
      </c>
      <c r="N240">
        <f>IF(AND($B240&lt;&gt;"",$C240&lt;&gt;"",$D240&lt;&gt;"",ISNUMBER($F240),COUNTIF(PracticeNames,$C240)&gt;0,COUNTIF(MotionNames,$D240)&gt;0,NOT(AND(ISNUMBER($G240),$G240&lt;$F240))),IF(StatusFilter="All (excl. Cancelled)",IF($H240="Cancelled",0,1),IF(StatusFilter="All",1,IF($H240=StatusFilter,1,0))),0)</f>
        <v>0</v>
      </c>
      <c r="O240">
        <f>IF($N240=0,0,IF(AND($F240&lt;=EOMONTH(DATE(PlanYear,1,1),0),IF(ISNUMBER($G240),$G240,$F240)&gt;=DATE(PlanYear,1,1)),1,0))</f>
        <v>0</v>
      </c>
      <c r="P240">
        <f>IF($N240=0,0,IF(AND($F240&lt;=EOMONTH(DATE(PlanYear,2,1),0),IF(ISNUMBER($G240),$G240,$F240)&gt;=DATE(PlanYear,2,1)),1,0))</f>
        <v>0</v>
      </c>
      <c r="Q240">
        <f>IF($N240=0,0,IF(AND($F240&lt;=EOMONTH(DATE(PlanYear,3,1),0),IF(ISNUMBER($G240),$G240,$F240)&gt;=DATE(PlanYear,3,1)),1,0))</f>
        <v>0</v>
      </c>
      <c r="R240">
        <f>IF($N240=0,0,IF(AND($F240&lt;=EOMONTH(DATE(PlanYear,4,1),0),IF(ISNUMBER($G240),$G240,$F240)&gt;=DATE(PlanYear,4,1)),1,0))</f>
        <v>0</v>
      </c>
      <c r="S240">
        <f>IF($N240=0,0,IF(AND($F240&lt;=EOMONTH(DATE(PlanYear,5,1),0),IF(ISNUMBER($G240),$G240,$F240)&gt;=DATE(PlanYear,5,1)),1,0))</f>
        <v>0</v>
      </c>
      <c r="T240">
        <f>IF($N240=0,0,IF(AND($F240&lt;=EOMONTH(DATE(PlanYear,6,1),0),IF(ISNUMBER($G240),$G240,$F240)&gt;=DATE(PlanYear,6,1)),1,0))</f>
        <v>0</v>
      </c>
      <c r="U240">
        <f>IF($N240=0,0,IF(AND($F240&lt;=EOMONTH(DATE(PlanYear,7,1),0),IF(ISNUMBER($G240),$G240,$F240)&gt;=DATE(PlanYear,7,1)),1,0))</f>
        <v>0</v>
      </c>
      <c r="V240">
        <f>IF($N240=0,0,IF(AND($F240&lt;=EOMONTH(DATE(PlanYear,8,1),0),IF(ISNUMBER($G240),$G240,$F240)&gt;=DATE(PlanYear,8,1)),1,0))</f>
        <v>0</v>
      </c>
      <c r="W240">
        <f>IF($N240=0,0,IF(AND($F240&lt;=EOMONTH(DATE(PlanYear,9,1),0),IF(ISNUMBER($G240),$G240,$F240)&gt;=DATE(PlanYear,9,1)),1,0))</f>
        <v>0</v>
      </c>
      <c r="X240">
        <f>IF($N240=0,0,IF(AND($F240&lt;=EOMONTH(DATE(PlanYear,10,1),0),IF(ISNUMBER($G240),$G240,$F240)&gt;=DATE(PlanYear,10,1)),1,0))</f>
        <v>0</v>
      </c>
      <c r="Y240">
        <f>IF($N240=0,0,IF(AND($F240&lt;=EOMONTH(DATE(PlanYear,11,1),0),IF(ISNUMBER($G240),$G240,$F240)&gt;=DATE(PlanYear,11,1)),1,0))</f>
        <v>0</v>
      </c>
      <c r="Z240">
        <f>IF($N240=0,0,IF(AND($F240&lt;=EOMONTH(DATE(PlanYear,12,1),0),IF(ISNUMBER($G240),$G240,$F240)&gt;=DATE(PlanYear,12,1)),1,0))</f>
        <v>0</v>
      </c>
      <c r="AA240">
        <f>SUM($O240:$Z240)</f>
        <v>0</v>
      </c>
    </row>
    <row r="241" spans="1:27">
      <c r="A241" s="42">
        <f>IF($B241="","","ACT-"&amp;TEXT(ROW()-4,"000"))</f>
        <v>0</v>
      </c>
      <c r="M241" s="43">
        <f>IF(COUNTA($B241:$K241)=0,"",IF($B241="","Missing activity name",IF($C241="","Missing practice",IF(COUNTIF(PracticeNames,$C241)=0,"Practice not in Lists",IF($D241="","Missing motion",IF(NOT(ISNUMBER($F241)),"Missing or invalid start date",IF(AND(ISNUMBER($G241),$G241&lt;$F241),"End date before start",IF(AND($N241=1,$AA241=0),"Outside planning year","OK"))))))))</f>
        <v>0</v>
      </c>
      <c r="N241">
        <f>IF(AND($B241&lt;&gt;"",$C241&lt;&gt;"",$D241&lt;&gt;"",ISNUMBER($F241),COUNTIF(PracticeNames,$C241)&gt;0,COUNTIF(MotionNames,$D241)&gt;0,NOT(AND(ISNUMBER($G241),$G241&lt;$F241))),IF(StatusFilter="All (excl. Cancelled)",IF($H241="Cancelled",0,1),IF(StatusFilter="All",1,IF($H241=StatusFilter,1,0))),0)</f>
        <v>0</v>
      </c>
      <c r="O241">
        <f>IF($N241=0,0,IF(AND($F241&lt;=EOMONTH(DATE(PlanYear,1,1),0),IF(ISNUMBER($G241),$G241,$F241)&gt;=DATE(PlanYear,1,1)),1,0))</f>
        <v>0</v>
      </c>
      <c r="P241">
        <f>IF($N241=0,0,IF(AND($F241&lt;=EOMONTH(DATE(PlanYear,2,1),0),IF(ISNUMBER($G241),$G241,$F241)&gt;=DATE(PlanYear,2,1)),1,0))</f>
        <v>0</v>
      </c>
      <c r="Q241">
        <f>IF($N241=0,0,IF(AND($F241&lt;=EOMONTH(DATE(PlanYear,3,1),0),IF(ISNUMBER($G241),$G241,$F241)&gt;=DATE(PlanYear,3,1)),1,0))</f>
        <v>0</v>
      </c>
      <c r="R241">
        <f>IF($N241=0,0,IF(AND($F241&lt;=EOMONTH(DATE(PlanYear,4,1),0),IF(ISNUMBER($G241),$G241,$F241)&gt;=DATE(PlanYear,4,1)),1,0))</f>
        <v>0</v>
      </c>
      <c r="S241">
        <f>IF($N241=0,0,IF(AND($F241&lt;=EOMONTH(DATE(PlanYear,5,1),0),IF(ISNUMBER($G241),$G241,$F241)&gt;=DATE(PlanYear,5,1)),1,0))</f>
        <v>0</v>
      </c>
      <c r="T241">
        <f>IF($N241=0,0,IF(AND($F241&lt;=EOMONTH(DATE(PlanYear,6,1),0),IF(ISNUMBER($G241),$G241,$F241)&gt;=DATE(PlanYear,6,1)),1,0))</f>
        <v>0</v>
      </c>
      <c r="U241">
        <f>IF($N241=0,0,IF(AND($F241&lt;=EOMONTH(DATE(PlanYear,7,1),0),IF(ISNUMBER($G241),$G241,$F241)&gt;=DATE(PlanYear,7,1)),1,0))</f>
        <v>0</v>
      </c>
      <c r="V241">
        <f>IF($N241=0,0,IF(AND($F241&lt;=EOMONTH(DATE(PlanYear,8,1),0),IF(ISNUMBER($G241),$G241,$F241)&gt;=DATE(PlanYear,8,1)),1,0))</f>
        <v>0</v>
      </c>
      <c r="W241">
        <f>IF($N241=0,0,IF(AND($F241&lt;=EOMONTH(DATE(PlanYear,9,1),0),IF(ISNUMBER($G241),$G241,$F241)&gt;=DATE(PlanYear,9,1)),1,0))</f>
        <v>0</v>
      </c>
      <c r="X241">
        <f>IF($N241=0,0,IF(AND($F241&lt;=EOMONTH(DATE(PlanYear,10,1),0),IF(ISNUMBER($G241),$G241,$F241)&gt;=DATE(PlanYear,10,1)),1,0))</f>
        <v>0</v>
      </c>
      <c r="Y241">
        <f>IF($N241=0,0,IF(AND($F241&lt;=EOMONTH(DATE(PlanYear,11,1),0),IF(ISNUMBER($G241),$G241,$F241)&gt;=DATE(PlanYear,11,1)),1,0))</f>
        <v>0</v>
      </c>
      <c r="Z241">
        <f>IF($N241=0,0,IF(AND($F241&lt;=EOMONTH(DATE(PlanYear,12,1),0),IF(ISNUMBER($G241),$G241,$F241)&gt;=DATE(PlanYear,12,1)),1,0))</f>
        <v>0</v>
      </c>
      <c r="AA241">
        <f>SUM($O241:$Z241)</f>
        <v>0</v>
      </c>
    </row>
    <row r="242" spans="1:27">
      <c r="A242" s="42">
        <f>IF($B242="","","ACT-"&amp;TEXT(ROW()-4,"000"))</f>
        <v>0</v>
      </c>
      <c r="M242" s="43">
        <f>IF(COUNTA($B242:$K242)=0,"",IF($B242="","Missing activity name",IF($C242="","Missing practice",IF(COUNTIF(PracticeNames,$C242)=0,"Practice not in Lists",IF($D242="","Missing motion",IF(NOT(ISNUMBER($F242)),"Missing or invalid start date",IF(AND(ISNUMBER($G242),$G242&lt;$F242),"End date before start",IF(AND($N242=1,$AA242=0),"Outside planning year","OK"))))))))</f>
        <v>0</v>
      </c>
      <c r="N242">
        <f>IF(AND($B242&lt;&gt;"",$C242&lt;&gt;"",$D242&lt;&gt;"",ISNUMBER($F242),COUNTIF(PracticeNames,$C242)&gt;0,COUNTIF(MotionNames,$D242)&gt;0,NOT(AND(ISNUMBER($G242),$G242&lt;$F242))),IF(StatusFilter="All (excl. Cancelled)",IF($H242="Cancelled",0,1),IF(StatusFilter="All",1,IF($H242=StatusFilter,1,0))),0)</f>
        <v>0</v>
      </c>
      <c r="O242">
        <f>IF($N242=0,0,IF(AND($F242&lt;=EOMONTH(DATE(PlanYear,1,1),0),IF(ISNUMBER($G242),$G242,$F242)&gt;=DATE(PlanYear,1,1)),1,0))</f>
        <v>0</v>
      </c>
      <c r="P242">
        <f>IF($N242=0,0,IF(AND($F242&lt;=EOMONTH(DATE(PlanYear,2,1),0),IF(ISNUMBER($G242),$G242,$F242)&gt;=DATE(PlanYear,2,1)),1,0))</f>
        <v>0</v>
      </c>
      <c r="Q242">
        <f>IF($N242=0,0,IF(AND($F242&lt;=EOMONTH(DATE(PlanYear,3,1),0),IF(ISNUMBER($G242),$G242,$F242)&gt;=DATE(PlanYear,3,1)),1,0))</f>
        <v>0</v>
      </c>
      <c r="R242">
        <f>IF($N242=0,0,IF(AND($F242&lt;=EOMONTH(DATE(PlanYear,4,1),0),IF(ISNUMBER($G242),$G242,$F242)&gt;=DATE(PlanYear,4,1)),1,0))</f>
        <v>0</v>
      </c>
      <c r="S242">
        <f>IF($N242=0,0,IF(AND($F242&lt;=EOMONTH(DATE(PlanYear,5,1),0),IF(ISNUMBER($G242),$G242,$F242)&gt;=DATE(PlanYear,5,1)),1,0))</f>
        <v>0</v>
      </c>
      <c r="T242">
        <f>IF($N242=0,0,IF(AND($F242&lt;=EOMONTH(DATE(PlanYear,6,1),0),IF(ISNUMBER($G242),$G242,$F242)&gt;=DATE(PlanYear,6,1)),1,0))</f>
        <v>0</v>
      </c>
      <c r="U242">
        <f>IF($N242=0,0,IF(AND($F242&lt;=EOMONTH(DATE(PlanYear,7,1),0),IF(ISNUMBER($G242),$G242,$F242)&gt;=DATE(PlanYear,7,1)),1,0))</f>
        <v>0</v>
      </c>
      <c r="V242">
        <f>IF($N242=0,0,IF(AND($F242&lt;=EOMONTH(DATE(PlanYear,8,1),0),IF(ISNUMBER($G242),$G242,$F242)&gt;=DATE(PlanYear,8,1)),1,0))</f>
        <v>0</v>
      </c>
      <c r="W242">
        <f>IF($N242=0,0,IF(AND($F242&lt;=EOMONTH(DATE(PlanYear,9,1),0),IF(ISNUMBER($G242),$G242,$F242)&gt;=DATE(PlanYear,9,1)),1,0))</f>
        <v>0</v>
      </c>
      <c r="X242">
        <f>IF($N242=0,0,IF(AND($F242&lt;=EOMONTH(DATE(PlanYear,10,1),0),IF(ISNUMBER($G242),$G242,$F242)&gt;=DATE(PlanYear,10,1)),1,0))</f>
        <v>0</v>
      </c>
      <c r="Y242">
        <f>IF($N242=0,0,IF(AND($F242&lt;=EOMONTH(DATE(PlanYear,11,1),0),IF(ISNUMBER($G242),$G242,$F242)&gt;=DATE(PlanYear,11,1)),1,0))</f>
        <v>0</v>
      </c>
      <c r="Z242">
        <f>IF($N242=0,0,IF(AND($F242&lt;=EOMONTH(DATE(PlanYear,12,1),0),IF(ISNUMBER($G242),$G242,$F242)&gt;=DATE(PlanYear,12,1)),1,0))</f>
        <v>0</v>
      </c>
      <c r="AA242">
        <f>SUM($O242:$Z242)</f>
        <v>0</v>
      </c>
    </row>
    <row r="243" spans="1:27">
      <c r="A243" s="42">
        <f>IF($B243="","","ACT-"&amp;TEXT(ROW()-4,"000"))</f>
        <v>0</v>
      </c>
      <c r="M243" s="43">
        <f>IF(COUNTA($B243:$K243)=0,"",IF($B243="","Missing activity name",IF($C243="","Missing practice",IF(COUNTIF(PracticeNames,$C243)=0,"Practice not in Lists",IF($D243="","Missing motion",IF(NOT(ISNUMBER($F243)),"Missing or invalid start date",IF(AND(ISNUMBER($G243),$G243&lt;$F243),"End date before start",IF(AND($N243=1,$AA243=0),"Outside planning year","OK"))))))))</f>
        <v>0</v>
      </c>
      <c r="N243">
        <f>IF(AND($B243&lt;&gt;"",$C243&lt;&gt;"",$D243&lt;&gt;"",ISNUMBER($F243),COUNTIF(PracticeNames,$C243)&gt;0,COUNTIF(MotionNames,$D243)&gt;0,NOT(AND(ISNUMBER($G243),$G243&lt;$F243))),IF(StatusFilter="All (excl. Cancelled)",IF($H243="Cancelled",0,1),IF(StatusFilter="All",1,IF($H243=StatusFilter,1,0))),0)</f>
        <v>0</v>
      </c>
      <c r="O243">
        <f>IF($N243=0,0,IF(AND($F243&lt;=EOMONTH(DATE(PlanYear,1,1),0),IF(ISNUMBER($G243),$G243,$F243)&gt;=DATE(PlanYear,1,1)),1,0))</f>
        <v>0</v>
      </c>
      <c r="P243">
        <f>IF($N243=0,0,IF(AND($F243&lt;=EOMONTH(DATE(PlanYear,2,1),0),IF(ISNUMBER($G243),$G243,$F243)&gt;=DATE(PlanYear,2,1)),1,0))</f>
        <v>0</v>
      </c>
      <c r="Q243">
        <f>IF($N243=0,0,IF(AND($F243&lt;=EOMONTH(DATE(PlanYear,3,1),0),IF(ISNUMBER($G243),$G243,$F243)&gt;=DATE(PlanYear,3,1)),1,0))</f>
        <v>0</v>
      </c>
      <c r="R243">
        <f>IF($N243=0,0,IF(AND($F243&lt;=EOMONTH(DATE(PlanYear,4,1),0),IF(ISNUMBER($G243),$G243,$F243)&gt;=DATE(PlanYear,4,1)),1,0))</f>
        <v>0</v>
      </c>
      <c r="S243">
        <f>IF($N243=0,0,IF(AND($F243&lt;=EOMONTH(DATE(PlanYear,5,1),0),IF(ISNUMBER($G243),$G243,$F243)&gt;=DATE(PlanYear,5,1)),1,0))</f>
        <v>0</v>
      </c>
      <c r="T243">
        <f>IF($N243=0,0,IF(AND($F243&lt;=EOMONTH(DATE(PlanYear,6,1),0),IF(ISNUMBER($G243),$G243,$F243)&gt;=DATE(PlanYear,6,1)),1,0))</f>
        <v>0</v>
      </c>
      <c r="U243">
        <f>IF($N243=0,0,IF(AND($F243&lt;=EOMONTH(DATE(PlanYear,7,1),0),IF(ISNUMBER($G243),$G243,$F243)&gt;=DATE(PlanYear,7,1)),1,0))</f>
        <v>0</v>
      </c>
      <c r="V243">
        <f>IF($N243=0,0,IF(AND($F243&lt;=EOMONTH(DATE(PlanYear,8,1),0),IF(ISNUMBER($G243),$G243,$F243)&gt;=DATE(PlanYear,8,1)),1,0))</f>
        <v>0</v>
      </c>
      <c r="W243">
        <f>IF($N243=0,0,IF(AND($F243&lt;=EOMONTH(DATE(PlanYear,9,1),0),IF(ISNUMBER($G243),$G243,$F243)&gt;=DATE(PlanYear,9,1)),1,0))</f>
        <v>0</v>
      </c>
      <c r="X243">
        <f>IF($N243=0,0,IF(AND($F243&lt;=EOMONTH(DATE(PlanYear,10,1),0),IF(ISNUMBER($G243),$G243,$F243)&gt;=DATE(PlanYear,10,1)),1,0))</f>
        <v>0</v>
      </c>
      <c r="Y243">
        <f>IF($N243=0,0,IF(AND($F243&lt;=EOMONTH(DATE(PlanYear,11,1),0),IF(ISNUMBER($G243),$G243,$F243)&gt;=DATE(PlanYear,11,1)),1,0))</f>
        <v>0</v>
      </c>
      <c r="Z243">
        <f>IF($N243=0,0,IF(AND($F243&lt;=EOMONTH(DATE(PlanYear,12,1),0),IF(ISNUMBER($G243),$G243,$F243)&gt;=DATE(PlanYear,12,1)),1,0))</f>
        <v>0</v>
      </c>
      <c r="AA243">
        <f>SUM($O243:$Z243)</f>
        <v>0</v>
      </c>
    </row>
    <row r="244" spans="1:27">
      <c r="A244" s="42">
        <f>IF($B244="","","ACT-"&amp;TEXT(ROW()-4,"000"))</f>
        <v>0</v>
      </c>
      <c r="M244" s="43">
        <f>IF(COUNTA($B244:$K244)=0,"",IF($B244="","Missing activity name",IF($C244="","Missing practice",IF(COUNTIF(PracticeNames,$C244)=0,"Practice not in Lists",IF($D244="","Missing motion",IF(NOT(ISNUMBER($F244)),"Missing or invalid start date",IF(AND(ISNUMBER($G244),$G244&lt;$F244),"End date before start",IF(AND($N244=1,$AA244=0),"Outside planning year","OK"))))))))</f>
        <v>0</v>
      </c>
      <c r="N244">
        <f>IF(AND($B244&lt;&gt;"",$C244&lt;&gt;"",$D244&lt;&gt;"",ISNUMBER($F244),COUNTIF(PracticeNames,$C244)&gt;0,COUNTIF(MotionNames,$D244)&gt;0,NOT(AND(ISNUMBER($G244),$G244&lt;$F244))),IF(StatusFilter="All (excl. Cancelled)",IF($H244="Cancelled",0,1),IF(StatusFilter="All",1,IF($H244=StatusFilter,1,0))),0)</f>
        <v>0</v>
      </c>
      <c r="O244">
        <f>IF($N244=0,0,IF(AND($F244&lt;=EOMONTH(DATE(PlanYear,1,1),0),IF(ISNUMBER($G244),$G244,$F244)&gt;=DATE(PlanYear,1,1)),1,0))</f>
        <v>0</v>
      </c>
      <c r="P244">
        <f>IF($N244=0,0,IF(AND($F244&lt;=EOMONTH(DATE(PlanYear,2,1),0),IF(ISNUMBER($G244),$G244,$F244)&gt;=DATE(PlanYear,2,1)),1,0))</f>
        <v>0</v>
      </c>
      <c r="Q244">
        <f>IF($N244=0,0,IF(AND($F244&lt;=EOMONTH(DATE(PlanYear,3,1),0),IF(ISNUMBER($G244),$G244,$F244)&gt;=DATE(PlanYear,3,1)),1,0))</f>
        <v>0</v>
      </c>
      <c r="R244">
        <f>IF($N244=0,0,IF(AND($F244&lt;=EOMONTH(DATE(PlanYear,4,1),0),IF(ISNUMBER($G244),$G244,$F244)&gt;=DATE(PlanYear,4,1)),1,0))</f>
        <v>0</v>
      </c>
      <c r="S244">
        <f>IF($N244=0,0,IF(AND($F244&lt;=EOMONTH(DATE(PlanYear,5,1),0),IF(ISNUMBER($G244),$G244,$F244)&gt;=DATE(PlanYear,5,1)),1,0))</f>
        <v>0</v>
      </c>
      <c r="T244">
        <f>IF($N244=0,0,IF(AND($F244&lt;=EOMONTH(DATE(PlanYear,6,1),0),IF(ISNUMBER($G244),$G244,$F244)&gt;=DATE(PlanYear,6,1)),1,0))</f>
        <v>0</v>
      </c>
      <c r="U244">
        <f>IF($N244=0,0,IF(AND($F244&lt;=EOMONTH(DATE(PlanYear,7,1),0),IF(ISNUMBER($G244),$G244,$F244)&gt;=DATE(PlanYear,7,1)),1,0))</f>
        <v>0</v>
      </c>
      <c r="V244">
        <f>IF($N244=0,0,IF(AND($F244&lt;=EOMONTH(DATE(PlanYear,8,1),0),IF(ISNUMBER($G244),$G244,$F244)&gt;=DATE(PlanYear,8,1)),1,0))</f>
        <v>0</v>
      </c>
      <c r="W244">
        <f>IF($N244=0,0,IF(AND($F244&lt;=EOMONTH(DATE(PlanYear,9,1),0),IF(ISNUMBER($G244),$G244,$F244)&gt;=DATE(PlanYear,9,1)),1,0))</f>
        <v>0</v>
      </c>
      <c r="X244">
        <f>IF($N244=0,0,IF(AND($F244&lt;=EOMONTH(DATE(PlanYear,10,1),0),IF(ISNUMBER($G244),$G244,$F244)&gt;=DATE(PlanYear,10,1)),1,0))</f>
        <v>0</v>
      </c>
      <c r="Y244">
        <f>IF($N244=0,0,IF(AND($F244&lt;=EOMONTH(DATE(PlanYear,11,1),0),IF(ISNUMBER($G244),$G244,$F244)&gt;=DATE(PlanYear,11,1)),1,0))</f>
        <v>0</v>
      </c>
      <c r="Z244">
        <f>IF($N244=0,0,IF(AND($F244&lt;=EOMONTH(DATE(PlanYear,12,1),0),IF(ISNUMBER($G244),$G244,$F244)&gt;=DATE(PlanYear,12,1)),1,0))</f>
        <v>0</v>
      </c>
      <c r="AA244">
        <f>SUM($O244:$Z244)</f>
        <v>0</v>
      </c>
    </row>
    <row r="245" spans="1:27">
      <c r="A245" s="42">
        <f>IF($B245="","","ACT-"&amp;TEXT(ROW()-4,"000"))</f>
        <v>0</v>
      </c>
      <c r="M245" s="43">
        <f>IF(COUNTA($B245:$K245)=0,"",IF($B245="","Missing activity name",IF($C245="","Missing practice",IF(COUNTIF(PracticeNames,$C245)=0,"Practice not in Lists",IF($D245="","Missing motion",IF(NOT(ISNUMBER($F245)),"Missing or invalid start date",IF(AND(ISNUMBER($G245),$G245&lt;$F245),"End date before start",IF(AND($N245=1,$AA245=0),"Outside planning year","OK"))))))))</f>
        <v>0</v>
      </c>
      <c r="N245">
        <f>IF(AND($B245&lt;&gt;"",$C245&lt;&gt;"",$D245&lt;&gt;"",ISNUMBER($F245),COUNTIF(PracticeNames,$C245)&gt;0,COUNTIF(MotionNames,$D245)&gt;0,NOT(AND(ISNUMBER($G245),$G245&lt;$F245))),IF(StatusFilter="All (excl. Cancelled)",IF($H245="Cancelled",0,1),IF(StatusFilter="All",1,IF($H245=StatusFilter,1,0))),0)</f>
        <v>0</v>
      </c>
      <c r="O245">
        <f>IF($N245=0,0,IF(AND($F245&lt;=EOMONTH(DATE(PlanYear,1,1),0),IF(ISNUMBER($G245),$G245,$F245)&gt;=DATE(PlanYear,1,1)),1,0))</f>
        <v>0</v>
      </c>
      <c r="P245">
        <f>IF($N245=0,0,IF(AND($F245&lt;=EOMONTH(DATE(PlanYear,2,1),0),IF(ISNUMBER($G245),$G245,$F245)&gt;=DATE(PlanYear,2,1)),1,0))</f>
        <v>0</v>
      </c>
      <c r="Q245">
        <f>IF($N245=0,0,IF(AND($F245&lt;=EOMONTH(DATE(PlanYear,3,1),0),IF(ISNUMBER($G245),$G245,$F245)&gt;=DATE(PlanYear,3,1)),1,0))</f>
        <v>0</v>
      </c>
      <c r="R245">
        <f>IF($N245=0,0,IF(AND($F245&lt;=EOMONTH(DATE(PlanYear,4,1),0),IF(ISNUMBER($G245),$G245,$F245)&gt;=DATE(PlanYear,4,1)),1,0))</f>
        <v>0</v>
      </c>
      <c r="S245">
        <f>IF($N245=0,0,IF(AND($F245&lt;=EOMONTH(DATE(PlanYear,5,1),0),IF(ISNUMBER($G245),$G245,$F245)&gt;=DATE(PlanYear,5,1)),1,0))</f>
        <v>0</v>
      </c>
      <c r="T245">
        <f>IF($N245=0,0,IF(AND($F245&lt;=EOMONTH(DATE(PlanYear,6,1),0),IF(ISNUMBER($G245),$G245,$F245)&gt;=DATE(PlanYear,6,1)),1,0))</f>
        <v>0</v>
      </c>
      <c r="U245">
        <f>IF($N245=0,0,IF(AND($F245&lt;=EOMONTH(DATE(PlanYear,7,1),0),IF(ISNUMBER($G245),$G245,$F245)&gt;=DATE(PlanYear,7,1)),1,0))</f>
        <v>0</v>
      </c>
      <c r="V245">
        <f>IF($N245=0,0,IF(AND($F245&lt;=EOMONTH(DATE(PlanYear,8,1),0),IF(ISNUMBER($G245),$G245,$F245)&gt;=DATE(PlanYear,8,1)),1,0))</f>
        <v>0</v>
      </c>
      <c r="W245">
        <f>IF($N245=0,0,IF(AND($F245&lt;=EOMONTH(DATE(PlanYear,9,1),0),IF(ISNUMBER($G245),$G245,$F245)&gt;=DATE(PlanYear,9,1)),1,0))</f>
        <v>0</v>
      </c>
      <c r="X245">
        <f>IF($N245=0,0,IF(AND($F245&lt;=EOMONTH(DATE(PlanYear,10,1),0),IF(ISNUMBER($G245),$G245,$F245)&gt;=DATE(PlanYear,10,1)),1,0))</f>
        <v>0</v>
      </c>
      <c r="Y245">
        <f>IF($N245=0,0,IF(AND($F245&lt;=EOMONTH(DATE(PlanYear,11,1),0),IF(ISNUMBER($G245),$G245,$F245)&gt;=DATE(PlanYear,11,1)),1,0))</f>
        <v>0</v>
      </c>
      <c r="Z245">
        <f>IF($N245=0,0,IF(AND($F245&lt;=EOMONTH(DATE(PlanYear,12,1),0),IF(ISNUMBER($G245),$G245,$F245)&gt;=DATE(PlanYear,12,1)),1,0))</f>
        <v>0</v>
      </c>
      <c r="AA245">
        <f>SUM($O245:$Z245)</f>
        <v>0</v>
      </c>
    </row>
    <row r="246" spans="1:27">
      <c r="A246" s="42">
        <f>IF($B246="","","ACT-"&amp;TEXT(ROW()-4,"000"))</f>
        <v>0</v>
      </c>
      <c r="M246" s="43">
        <f>IF(COUNTA($B246:$K246)=0,"",IF($B246="","Missing activity name",IF($C246="","Missing practice",IF(COUNTIF(PracticeNames,$C246)=0,"Practice not in Lists",IF($D246="","Missing motion",IF(NOT(ISNUMBER($F246)),"Missing or invalid start date",IF(AND(ISNUMBER($G246),$G246&lt;$F246),"End date before start",IF(AND($N246=1,$AA246=0),"Outside planning year","OK"))))))))</f>
        <v>0</v>
      </c>
      <c r="N246">
        <f>IF(AND($B246&lt;&gt;"",$C246&lt;&gt;"",$D246&lt;&gt;"",ISNUMBER($F246),COUNTIF(PracticeNames,$C246)&gt;0,COUNTIF(MotionNames,$D246)&gt;0,NOT(AND(ISNUMBER($G246),$G246&lt;$F246))),IF(StatusFilter="All (excl. Cancelled)",IF($H246="Cancelled",0,1),IF(StatusFilter="All",1,IF($H246=StatusFilter,1,0))),0)</f>
        <v>0</v>
      </c>
      <c r="O246">
        <f>IF($N246=0,0,IF(AND($F246&lt;=EOMONTH(DATE(PlanYear,1,1),0),IF(ISNUMBER($G246),$G246,$F246)&gt;=DATE(PlanYear,1,1)),1,0))</f>
        <v>0</v>
      </c>
      <c r="P246">
        <f>IF($N246=0,0,IF(AND($F246&lt;=EOMONTH(DATE(PlanYear,2,1),0),IF(ISNUMBER($G246),$G246,$F246)&gt;=DATE(PlanYear,2,1)),1,0))</f>
        <v>0</v>
      </c>
      <c r="Q246">
        <f>IF($N246=0,0,IF(AND($F246&lt;=EOMONTH(DATE(PlanYear,3,1),0),IF(ISNUMBER($G246),$G246,$F246)&gt;=DATE(PlanYear,3,1)),1,0))</f>
        <v>0</v>
      </c>
      <c r="R246">
        <f>IF($N246=0,0,IF(AND($F246&lt;=EOMONTH(DATE(PlanYear,4,1),0),IF(ISNUMBER($G246),$G246,$F246)&gt;=DATE(PlanYear,4,1)),1,0))</f>
        <v>0</v>
      </c>
      <c r="S246">
        <f>IF($N246=0,0,IF(AND($F246&lt;=EOMONTH(DATE(PlanYear,5,1),0),IF(ISNUMBER($G246),$G246,$F246)&gt;=DATE(PlanYear,5,1)),1,0))</f>
        <v>0</v>
      </c>
      <c r="T246">
        <f>IF($N246=0,0,IF(AND($F246&lt;=EOMONTH(DATE(PlanYear,6,1),0),IF(ISNUMBER($G246),$G246,$F246)&gt;=DATE(PlanYear,6,1)),1,0))</f>
        <v>0</v>
      </c>
      <c r="U246">
        <f>IF($N246=0,0,IF(AND($F246&lt;=EOMONTH(DATE(PlanYear,7,1),0),IF(ISNUMBER($G246),$G246,$F246)&gt;=DATE(PlanYear,7,1)),1,0))</f>
        <v>0</v>
      </c>
      <c r="V246">
        <f>IF($N246=0,0,IF(AND($F246&lt;=EOMONTH(DATE(PlanYear,8,1),0),IF(ISNUMBER($G246),$G246,$F246)&gt;=DATE(PlanYear,8,1)),1,0))</f>
        <v>0</v>
      </c>
      <c r="W246">
        <f>IF($N246=0,0,IF(AND($F246&lt;=EOMONTH(DATE(PlanYear,9,1),0),IF(ISNUMBER($G246),$G246,$F246)&gt;=DATE(PlanYear,9,1)),1,0))</f>
        <v>0</v>
      </c>
      <c r="X246">
        <f>IF($N246=0,0,IF(AND($F246&lt;=EOMONTH(DATE(PlanYear,10,1),0),IF(ISNUMBER($G246),$G246,$F246)&gt;=DATE(PlanYear,10,1)),1,0))</f>
        <v>0</v>
      </c>
      <c r="Y246">
        <f>IF($N246=0,0,IF(AND($F246&lt;=EOMONTH(DATE(PlanYear,11,1),0),IF(ISNUMBER($G246),$G246,$F246)&gt;=DATE(PlanYear,11,1)),1,0))</f>
        <v>0</v>
      </c>
      <c r="Z246">
        <f>IF($N246=0,0,IF(AND($F246&lt;=EOMONTH(DATE(PlanYear,12,1),0),IF(ISNUMBER($G246),$G246,$F246)&gt;=DATE(PlanYear,12,1)),1,0))</f>
        <v>0</v>
      </c>
      <c r="AA246">
        <f>SUM($O246:$Z246)</f>
        <v>0</v>
      </c>
    </row>
    <row r="247" spans="1:27">
      <c r="A247" s="42">
        <f>IF($B247="","","ACT-"&amp;TEXT(ROW()-4,"000"))</f>
        <v>0</v>
      </c>
      <c r="M247" s="43">
        <f>IF(COUNTA($B247:$K247)=0,"",IF($B247="","Missing activity name",IF($C247="","Missing practice",IF(COUNTIF(PracticeNames,$C247)=0,"Practice not in Lists",IF($D247="","Missing motion",IF(NOT(ISNUMBER($F247)),"Missing or invalid start date",IF(AND(ISNUMBER($G247),$G247&lt;$F247),"End date before start",IF(AND($N247=1,$AA247=0),"Outside planning year","OK"))))))))</f>
        <v>0</v>
      </c>
      <c r="N247">
        <f>IF(AND($B247&lt;&gt;"",$C247&lt;&gt;"",$D247&lt;&gt;"",ISNUMBER($F247),COUNTIF(PracticeNames,$C247)&gt;0,COUNTIF(MotionNames,$D247)&gt;0,NOT(AND(ISNUMBER($G247),$G247&lt;$F247))),IF(StatusFilter="All (excl. Cancelled)",IF($H247="Cancelled",0,1),IF(StatusFilter="All",1,IF($H247=StatusFilter,1,0))),0)</f>
        <v>0</v>
      </c>
      <c r="O247">
        <f>IF($N247=0,0,IF(AND($F247&lt;=EOMONTH(DATE(PlanYear,1,1),0),IF(ISNUMBER($G247),$G247,$F247)&gt;=DATE(PlanYear,1,1)),1,0))</f>
        <v>0</v>
      </c>
      <c r="P247">
        <f>IF($N247=0,0,IF(AND($F247&lt;=EOMONTH(DATE(PlanYear,2,1),0),IF(ISNUMBER($G247),$G247,$F247)&gt;=DATE(PlanYear,2,1)),1,0))</f>
        <v>0</v>
      </c>
      <c r="Q247">
        <f>IF($N247=0,0,IF(AND($F247&lt;=EOMONTH(DATE(PlanYear,3,1),0),IF(ISNUMBER($G247),$G247,$F247)&gt;=DATE(PlanYear,3,1)),1,0))</f>
        <v>0</v>
      </c>
      <c r="R247">
        <f>IF($N247=0,0,IF(AND($F247&lt;=EOMONTH(DATE(PlanYear,4,1),0),IF(ISNUMBER($G247),$G247,$F247)&gt;=DATE(PlanYear,4,1)),1,0))</f>
        <v>0</v>
      </c>
      <c r="S247">
        <f>IF($N247=0,0,IF(AND($F247&lt;=EOMONTH(DATE(PlanYear,5,1),0),IF(ISNUMBER($G247),$G247,$F247)&gt;=DATE(PlanYear,5,1)),1,0))</f>
        <v>0</v>
      </c>
      <c r="T247">
        <f>IF($N247=0,0,IF(AND($F247&lt;=EOMONTH(DATE(PlanYear,6,1),0),IF(ISNUMBER($G247),$G247,$F247)&gt;=DATE(PlanYear,6,1)),1,0))</f>
        <v>0</v>
      </c>
      <c r="U247">
        <f>IF($N247=0,0,IF(AND($F247&lt;=EOMONTH(DATE(PlanYear,7,1),0),IF(ISNUMBER($G247),$G247,$F247)&gt;=DATE(PlanYear,7,1)),1,0))</f>
        <v>0</v>
      </c>
      <c r="V247">
        <f>IF($N247=0,0,IF(AND($F247&lt;=EOMONTH(DATE(PlanYear,8,1),0),IF(ISNUMBER($G247),$G247,$F247)&gt;=DATE(PlanYear,8,1)),1,0))</f>
        <v>0</v>
      </c>
      <c r="W247">
        <f>IF($N247=0,0,IF(AND($F247&lt;=EOMONTH(DATE(PlanYear,9,1),0),IF(ISNUMBER($G247),$G247,$F247)&gt;=DATE(PlanYear,9,1)),1,0))</f>
        <v>0</v>
      </c>
      <c r="X247">
        <f>IF($N247=0,0,IF(AND($F247&lt;=EOMONTH(DATE(PlanYear,10,1),0),IF(ISNUMBER($G247),$G247,$F247)&gt;=DATE(PlanYear,10,1)),1,0))</f>
        <v>0</v>
      </c>
      <c r="Y247">
        <f>IF($N247=0,0,IF(AND($F247&lt;=EOMONTH(DATE(PlanYear,11,1),0),IF(ISNUMBER($G247),$G247,$F247)&gt;=DATE(PlanYear,11,1)),1,0))</f>
        <v>0</v>
      </c>
      <c r="Z247">
        <f>IF($N247=0,0,IF(AND($F247&lt;=EOMONTH(DATE(PlanYear,12,1),0),IF(ISNUMBER($G247),$G247,$F247)&gt;=DATE(PlanYear,12,1)),1,0))</f>
        <v>0</v>
      </c>
      <c r="AA247">
        <f>SUM($O247:$Z247)</f>
        <v>0</v>
      </c>
    </row>
    <row r="248" spans="1:27">
      <c r="A248" s="42">
        <f>IF($B248="","","ACT-"&amp;TEXT(ROW()-4,"000"))</f>
        <v>0</v>
      </c>
      <c r="M248" s="43">
        <f>IF(COUNTA($B248:$K248)=0,"",IF($B248="","Missing activity name",IF($C248="","Missing practice",IF(COUNTIF(PracticeNames,$C248)=0,"Practice not in Lists",IF($D248="","Missing motion",IF(NOT(ISNUMBER($F248)),"Missing or invalid start date",IF(AND(ISNUMBER($G248),$G248&lt;$F248),"End date before start",IF(AND($N248=1,$AA248=0),"Outside planning year","OK"))))))))</f>
        <v>0</v>
      </c>
      <c r="N248">
        <f>IF(AND($B248&lt;&gt;"",$C248&lt;&gt;"",$D248&lt;&gt;"",ISNUMBER($F248),COUNTIF(PracticeNames,$C248)&gt;0,COUNTIF(MotionNames,$D248)&gt;0,NOT(AND(ISNUMBER($G248),$G248&lt;$F248))),IF(StatusFilter="All (excl. Cancelled)",IF($H248="Cancelled",0,1),IF(StatusFilter="All",1,IF($H248=StatusFilter,1,0))),0)</f>
        <v>0</v>
      </c>
      <c r="O248">
        <f>IF($N248=0,0,IF(AND($F248&lt;=EOMONTH(DATE(PlanYear,1,1),0),IF(ISNUMBER($G248),$G248,$F248)&gt;=DATE(PlanYear,1,1)),1,0))</f>
        <v>0</v>
      </c>
      <c r="P248">
        <f>IF($N248=0,0,IF(AND($F248&lt;=EOMONTH(DATE(PlanYear,2,1),0),IF(ISNUMBER($G248),$G248,$F248)&gt;=DATE(PlanYear,2,1)),1,0))</f>
        <v>0</v>
      </c>
      <c r="Q248">
        <f>IF($N248=0,0,IF(AND($F248&lt;=EOMONTH(DATE(PlanYear,3,1),0),IF(ISNUMBER($G248),$G248,$F248)&gt;=DATE(PlanYear,3,1)),1,0))</f>
        <v>0</v>
      </c>
      <c r="R248">
        <f>IF($N248=0,0,IF(AND($F248&lt;=EOMONTH(DATE(PlanYear,4,1),0),IF(ISNUMBER($G248),$G248,$F248)&gt;=DATE(PlanYear,4,1)),1,0))</f>
        <v>0</v>
      </c>
      <c r="S248">
        <f>IF($N248=0,0,IF(AND($F248&lt;=EOMONTH(DATE(PlanYear,5,1),0),IF(ISNUMBER($G248),$G248,$F248)&gt;=DATE(PlanYear,5,1)),1,0))</f>
        <v>0</v>
      </c>
      <c r="T248">
        <f>IF($N248=0,0,IF(AND($F248&lt;=EOMONTH(DATE(PlanYear,6,1),0),IF(ISNUMBER($G248),$G248,$F248)&gt;=DATE(PlanYear,6,1)),1,0))</f>
        <v>0</v>
      </c>
      <c r="U248">
        <f>IF($N248=0,0,IF(AND($F248&lt;=EOMONTH(DATE(PlanYear,7,1),0),IF(ISNUMBER($G248),$G248,$F248)&gt;=DATE(PlanYear,7,1)),1,0))</f>
        <v>0</v>
      </c>
      <c r="V248">
        <f>IF($N248=0,0,IF(AND($F248&lt;=EOMONTH(DATE(PlanYear,8,1),0),IF(ISNUMBER($G248),$G248,$F248)&gt;=DATE(PlanYear,8,1)),1,0))</f>
        <v>0</v>
      </c>
      <c r="W248">
        <f>IF($N248=0,0,IF(AND($F248&lt;=EOMONTH(DATE(PlanYear,9,1),0),IF(ISNUMBER($G248),$G248,$F248)&gt;=DATE(PlanYear,9,1)),1,0))</f>
        <v>0</v>
      </c>
      <c r="X248">
        <f>IF($N248=0,0,IF(AND($F248&lt;=EOMONTH(DATE(PlanYear,10,1),0),IF(ISNUMBER($G248),$G248,$F248)&gt;=DATE(PlanYear,10,1)),1,0))</f>
        <v>0</v>
      </c>
      <c r="Y248">
        <f>IF($N248=0,0,IF(AND($F248&lt;=EOMONTH(DATE(PlanYear,11,1),0),IF(ISNUMBER($G248),$G248,$F248)&gt;=DATE(PlanYear,11,1)),1,0))</f>
        <v>0</v>
      </c>
      <c r="Z248">
        <f>IF($N248=0,0,IF(AND($F248&lt;=EOMONTH(DATE(PlanYear,12,1),0),IF(ISNUMBER($G248),$G248,$F248)&gt;=DATE(PlanYear,12,1)),1,0))</f>
        <v>0</v>
      </c>
      <c r="AA248">
        <f>SUM($O248:$Z248)</f>
        <v>0</v>
      </c>
    </row>
    <row r="249" spans="1:27">
      <c r="A249" s="42">
        <f>IF($B249="","","ACT-"&amp;TEXT(ROW()-4,"000"))</f>
        <v>0</v>
      </c>
      <c r="M249" s="43">
        <f>IF(COUNTA($B249:$K249)=0,"",IF($B249="","Missing activity name",IF($C249="","Missing practice",IF(COUNTIF(PracticeNames,$C249)=0,"Practice not in Lists",IF($D249="","Missing motion",IF(NOT(ISNUMBER($F249)),"Missing or invalid start date",IF(AND(ISNUMBER($G249),$G249&lt;$F249),"End date before start",IF(AND($N249=1,$AA249=0),"Outside planning year","OK"))))))))</f>
        <v>0</v>
      </c>
      <c r="N249">
        <f>IF(AND($B249&lt;&gt;"",$C249&lt;&gt;"",$D249&lt;&gt;"",ISNUMBER($F249),COUNTIF(PracticeNames,$C249)&gt;0,COUNTIF(MotionNames,$D249)&gt;0,NOT(AND(ISNUMBER($G249),$G249&lt;$F249))),IF(StatusFilter="All (excl. Cancelled)",IF($H249="Cancelled",0,1),IF(StatusFilter="All",1,IF($H249=StatusFilter,1,0))),0)</f>
        <v>0</v>
      </c>
      <c r="O249">
        <f>IF($N249=0,0,IF(AND($F249&lt;=EOMONTH(DATE(PlanYear,1,1),0),IF(ISNUMBER($G249),$G249,$F249)&gt;=DATE(PlanYear,1,1)),1,0))</f>
        <v>0</v>
      </c>
      <c r="P249">
        <f>IF($N249=0,0,IF(AND($F249&lt;=EOMONTH(DATE(PlanYear,2,1),0),IF(ISNUMBER($G249),$G249,$F249)&gt;=DATE(PlanYear,2,1)),1,0))</f>
        <v>0</v>
      </c>
      <c r="Q249">
        <f>IF($N249=0,0,IF(AND($F249&lt;=EOMONTH(DATE(PlanYear,3,1),0),IF(ISNUMBER($G249),$G249,$F249)&gt;=DATE(PlanYear,3,1)),1,0))</f>
        <v>0</v>
      </c>
      <c r="R249">
        <f>IF($N249=0,0,IF(AND($F249&lt;=EOMONTH(DATE(PlanYear,4,1),0),IF(ISNUMBER($G249),$G249,$F249)&gt;=DATE(PlanYear,4,1)),1,0))</f>
        <v>0</v>
      </c>
      <c r="S249">
        <f>IF($N249=0,0,IF(AND($F249&lt;=EOMONTH(DATE(PlanYear,5,1),0),IF(ISNUMBER($G249),$G249,$F249)&gt;=DATE(PlanYear,5,1)),1,0))</f>
        <v>0</v>
      </c>
      <c r="T249">
        <f>IF($N249=0,0,IF(AND($F249&lt;=EOMONTH(DATE(PlanYear,6,1),0),IF(ISNUMBER($G249),$G249,$F249)&gt;=DATE(PlanYear,6,1)),1,0))</f>
        <v>0</v>
      </c>
      <c r="U249">
        <f>IF($N249=0,0,IF(AND($F249&lt;=EOMONTH(DATE(PlanYear,7,1),0),IF(ISNUMBER($G249),$G249,$F249)&gt;=DATE(PlanYear,7,1)),1,0))</f>
        <v>0</v>
      </c>
      <c r="V249">
        <f>IF($N249=0,0,IF(AND($F249&lt;=EOMONTH(DATE(PlanYear,8,1),0),IF(ISNUMBER($G249),$G249,$F249)&gt;=DATE(PlanYear,8,1)),1,0))</f>
        <v>0</v>
      </c>
      <c r="W249">
        <f>IF($N249=0,0,IF(AND($F249&lt;=EOMONTH(DATE(PlanYear,9,1),0),IF(ISNUMBER($G249),$G249,$F249)&gt;=DATE(PlanYear,9,1)),1,0))</f>
        <v>0</v>
      </c>
      <c r="X249">
        <f>IF($N249=0,0,IF(AND($F249&lt;=EOMONTH(DATE(PlanYear,10,1),0),IF(ISNUMBER($G249),$G249,$F249)&gt;=DATE(PlanYear,10,1)),1,0))</f>
        <v>0</v>
      </c>
      <c r="Y249">
        <f>IF($N249=0,0,IF(AND($F249&lt;=EOMONTH(DATE(PlanYear,11,1),0),IF(ISNUMBER($G249),$G249,$F249)&gt;=DATE(PlanYear,11,1)),1,0))</f>
        <v>0</v>
      </c>
      <c r="Z249">
        <f>IF($N249=0,0,IF(AND($F249&lt;=EOMONTH(DATE(PlanYear,12,1),0),IF(ISNUMBER($G249),$G249,$F249)&gt;=DATE(PlanYear,12,1)),1,0))</f>
        <v>0</v>
      </c>
      <c r="AA249">
        <f>SUM($O249:$Z249)</f>
        <v>0</v>
      </c>
    </row>
    <row r="250" spans="1:27">
      <c r="A250" s="42">
        <f>IF($B250="","","ACT-"&amp;TEXT(ROW()-4,"000"))</f>
        <v>0</v>
      </c>
      <c r="M250" s="43">
        <f>IF(COUNTA($B250:$K250)=0,"",IF($B250="","Missing activity name",IF($C250="","Missing practice",IF(COUNTIF(PracticeNames,$C250)=0,"Practice not in Lists",IF($D250="","Missing motion",IF(NOT(ISNUMBER($F250)),"Missing or invalid start date",IF(AND(ISNUMBER($G250),$G250&lt;$F250),"End date before start",IF(AND($N250=1,$AA250=0),"Outside planning year","OK"))))))))</f>
        <v>0</v>
      </c>
      <c r="N250">
        <f>IF(AND($B250&lt;&gt;"",$C250&lt;&gt;"",$D250&lt;&gt;"",ISNUMBER($F250),COUNTIF(PracticeNames,$C250)&gt;0,COUNTIF(MotionNames,$D250)&gt;0,NOT(AND(ISNUMBER($G250),$G250&lt;$F250))),IF(StatusFilter="All (excl. Cancelled)",IF($H250="Cancelled",0,1),IF(StatusFilter="All",1,IF($H250=StatusFilter,1,0))),0)</f>
        <v>0</v>
      </c>
      <c r="O250">
        <f>IF($N250=0,0,IF(AND($F250&lt;=EOMONTH(DATE(PlanYear,1,1),0),IF(ISNUMBER($G250),$G250,$F250)&gt;=DATE(PlanYear,1,1)),1,0))</f>
        <v>0</v>
      </c>
      <c r="P250">
        <f>IF($N250=0,0,IF(AND($F250&lt;=EOMONTH(DATE(PlanYear,2,1),0),IF(ISNUMBER($G250),$G250,$F250)&gt;=DATE(PlanYear,2,1)),1,0))</f>
        <v>0</v>
      </c>
      <c r="Q250">
        <f>IF($N250=0,0,IF(AND($F250&lt;=EOMONTH(DATE(PlanYear,3,1),0),IF(ISNUMBER($G250),$G250,$F250)&gt;=DATE(PlanYear,3,1)),1,0))</f>
        <v>0</v>
      </c>
      <c r="R250">
        <f>IF($N250=0,0,IF(AND($F250&lt;=EOMONTH(DATE(PlanYear,4,1),0),IF(ISNUMBER($G250),$G250,$F250)&gt;=DATE(PlanYear,4,1)),1,0))</f>
        <v>0</v>
      </c>
      <c r="S250">
        <f>IF($N250=0,0,IF(AND($F250&lt;=EOMONTH(DATE(PlanYear,5,1),0),IF(ISNUMBER($G250),$G250,$F250)&gt;=DATE(PlanYear,5,1)),1,0))</f>
        <v>0</v>
      </c>
      <c r="T250">
        <f>IF($N250=0,0,IF(AND($F250&lt;=EOMONTH(DATE(PlanYear,6,1),0),IF(ISNUMBER($G250),$G250,$F250)&gt;=DATE(PlanYear,6,1)),1,0))</f>
        <v>0</v>
      </c>
      <c r="U250">
        <f>IF($N250=0,0,IF(AND($F250&lt;=EOMONTH(DATE(PlanYear,7,1),0),IF(ISNUMBER($G250),$G250,$F250)&gt;=DATE(PlanYear,7,1)),1,0))</f>
        <v>0</v>
      </c>
      <c r="V250">
        <f>IF($N250=0,0,IF(AND($F250&lt;=EOMONTH(DATE(PlanYear,8,1),0),IF(ISNUMBER($G250),$G250,$F250)&gt;=DATE(PlanYear,8,1)),1,0))</f>
        <v>0</v>
      </c>
      <c r="W250">
        <f>IF($N250=0,0,IF(AND($F250&lt;=EOMONTH(DATE(PlanYear,9,1),0),IF(ISNUMBER($G250),$G250,$F250)&gt;=DATE(PlanYear,9,1)),1,0))</f>
        <v>0</v>
      </c>
      <c r="X250">
        <f>IF($N250=0,0,IF(AND($F250&lt;=EOMONTH(DATE(PlanYear,10,1),0),IF(ISNUMBER($G250),$G250,$F250)&gt;=DATE(PlanYear,10,1)),1,0))</f>
        <v>0</v>
      </c>
      <c r="Y250">
        <f>IF($N250=0,0,IF(AND($F250&lt;=EOMONTH(DATE(PlanYear,11,1),0),IF(ISNUMBER($G250),$G250,$F250)&gt;=DATE(PlanYear,11,1)),1,0))</f>
        <v>0</v>
      </c>
      <c r="Z250">
        <f>IF($N250=0,0,IF(AND($F250&lt;=EOMONTH(DATE(PlanYear,12,1),0),IF(ISNUMBER($G250),$G250,$F250)&gt;=DATE(PlanYear,12,1)),1,0))</f>
        <v>0</v>
      </c>
      <c r="AA250">
        <f>SUM($O250:$Z250)</f>
        <v>0</v>
      </c>
    </row>
    <row r="251" spans="1:27">
      <c r="A251" s="42">
        <f>IF($B251="","","ACT-"&amp;TEXT(ROW()-4,"000"))</f>
        <v>0</v>
      </c>
      <c r="M251" s="43">
        <f>IF(COUNTA($B251:$K251)=0,"",IF($B251="","Missing activity name",IF($C251="","Missing practice",IF(COUNTIF(PracticeNames,$C251)=0,"Practice not in Lists",IF($D251="","Missing motion",IF(NOT(ISNUMBER($F251)),"Missing or invalid start date",IF(AND(ISNUMBER($G251),$G251&lt;$F251),"End date before start",IF(AND($N251=1,$AA251=0),"Outside planning year","OK"))))))))</f>
        <v>0</v>
      </c>
      <c r="N251">
        <f>IF(AND($B251&lt;&gt;"",$C251&lt;&gt;"",$D251&lt;&gt;"",ISNUMBER($F251),COUNTIF(PracticeNames,$C251)&gt;0,COUNTIF(MotionNames,$D251)&gt;0,NOT(AND(ISNUMBER($G251),$G251&lt;$F251))),IF(StatusFilter="All (excl. Cancelled)",IF($H251="Cancelled",0,1),IF(StatusFilter="All",1,IF($H251=StatusFilter,1,0))),0)</f>
        <v>0</v>
      </c>
      <c r="O251">
        <f>IF($N251=0,0,IF(AND($F251&lt;=EOMONTH(DATE(PlanYear,1,1),0),IF(ISNUMBER($G251),$G251,$F251)&gt;=DATE(PlanYear,1,1)),1,0))</f>
        <v>0</v>
      </c>
      <c r="P251">
        <f>IF($N251=0,0,IF(AND($F251&lt;=EOMONTH(DATE(PlanYear,2,1),0),IF(ISNUMBER($G251),$G251,$F251)&gt;=DATE(PlanYear,2,1)),1,0))</f>
        <v>0</v>
      </c>
      <c r="Q251">
        <f>IF($N251=0,0,IF(AND($F251&lt;=EOMONTH(DATE(PlanYear,3,1),0),IF(ISNUMBER($G251),$G251,$F251)&gt;=DATE(PlanYear,3,1)),1,0))</f>
        <v>0</v>
      </c>
      <c r="R251">
        <f>IF($N251=0,0,IF(AND($F251&lt;=EOMONTH(DATE(PlanYear,4,1),0),IF(ISNUMBER($G251),$G251,$F251)&gt;=DATE(PlanYear,4,1)),1,0))</f>
        <v>0</v>
      </c>
      <c r="S251">
        <f>IF($N251=0,0,IF(AND($F251&lt;=EOMONTH(DATE(PlanYear,5,1),0),IF(ISNUMBER($G251),$G251,$F251)&gt;=DATE(PlanYear,5,1)),1,0))</f>
        <v>0</v>
      </c>
      <c r="T251">
        <f>IF($N251=0,0,IF(AND($F251&lt;=EOMONTH(DATE(PlanYear,6,1),0),IF(ISNUMBER($G251),$G251,$F251)&gt;=DATE(PlanYear,6,1)),1,0))</f>
        <v>0</v>
      </c>
      <c r="U251">
        <f>IF($N251=0,0,IF(AND($F251&lt;=EOMONTH(DATE(PlanYear,7,1),0),IF(ISNUMBER($G251),$G251,$F251)&gt;=DATE(PlanYear,7,1)),1,0))</f>
        <v>0</v>
      </c>
      <c r="V251">
        <f>IF($N251=0,0,IF(AND($F251&lt;=EOMONTH(DATE(PlanYear,8,1),0),IF(ISNUMBER($G251),$G251,$F251)&gt;=DATE(PlanYear,8,1)),1,0))</f>
        <v>0</v>
      </c>
      <c r="W251">
        <f>IF($N251=0,0,IF(AND($F251&lt;=EOMONTH(DATE(PlanYear,9,1),0),IF(ISNUMBER($G251),$G251,$F251)&gt;=DATE(PlanYear,9,1)),1,0))</f>
        <v>0</v>
      </c>
      <c r="X251">
        <f>IF($N251=0,0,IF(AND($F251&lt;=EOMONTH(DATE(PlanYear,10,1),0),IF(ISNUMBER($G251),$G251,$F251)&gt;=DATE(PlanYear,10,1)),1,0))</f>
        <v>0</v>
      </c>
      <c r="Y251">
        <f>IF($N251=0,0,IF(AND($F251&lt;=EOMONTH(DATE(PlanYear,11,1),0),IF(ISNUMBER($G251),$G251,$F251)&gt;=DATE(PlanYear,11,1)),1,0))</f>
        <v>0</v>
      </c>
      <c r="Z251">
        <f>IF($N251=0,0,IF(AND($F251&lt;=EOMONTH(DATE(PlanYear,12,1),0),IF(ISNUMBER($G251),$G251,$F251)&gt;=DATE(PlanYear,12,1)),1,0))</f>
        <v>0</v>
      </c>
      <c r="AA251">
        <f>SUM($O251:$Z251)</f>
        <v>0</v>
      </c>
    </row>
    <row r="252" spans="1:27">
      <c r="A252" s="42">
        <f>IF($B252="","","ACT-"&amp;TEXT(ROW()-4,"000"))</f>
        <v>0</v>
      </c>
      <c r="M252" s="43">
        <f>IF(COUNTA($B252:$K252)=0,"",IF($B252="","Missing activity name",IF($C252="","Missing practice",IF(COUNTIF(PracticeNames,$C252)=0,"Practice not in Lists",IF($D252="","Missing motion",IF(NOT(ISNUMBER($F252)),"Missing or invalid start date",IF(AND(ISNUMBER($G252),$G252&lt;$F252),"End date before start",IF(AND($N252=1,$AA252=0),"Outside planning year","OK"))))))))</f>
        <v>0</v>
      </c>
      <c r="N252">
        <f>IF(AND($B252&lt;&gt;"",$C252&lt;&gt;"",$D252&lt;&gt;"",ISNUMBER($F252),COUNTIF(PracticeNames,$C252)&gt;0,COUNTIF(MotionNames,$D252)&gt;0,NOT(AND(ISNUMBER($G252),$G252&lt;$F252))),IF(StatusFilter="All (excl. Cancelled)",IF($H252="Cancelled",0,1),IF(StatusFilter="All",1,IF($H252=StatusFilter,1,0))),0)</f>
        <v>0</v>
      </c>
      <c r="O252">
        <f>IF($N252=0,0,IF(AND($F252&lt;=EOMONTH(DATE(PlanYear,1,1),0),IF(ISNUMBER($G252),$G252,$F252)&gt;=DATE(PlanYear,1,1)),1,0))</f>
        <v>0</v>
      </c>
      <c r="P252">
        <f>IF($N252=0,0,IF(AND($F252&lt;=EOMONTH(DATE(PlanYear,2,1),0),IF(ISNUMBER($G252),$G252,$F252)&gt;=DATE(PlanYear,2,1)),1,0))</f>
        <v>0</v>
      </c>
      <c r="Q252">
        <f>IF($N252=0,0,IF(AND($F252&lt;=EOMONTH(DATE(PlanYear,3,1),0),IF(ISNUMBER($G252),$G252,$F252)&gt;=DATE(PlanYear,3,1)),1,0))</f>
        <v>0</v>
      </c>
      <c r="R252">
        <f>IF($N252=0,0,IF(AND($F252&lt;=EOMONTH(DATE(PlanYear,4,1),0),IF(ISNUMBER($G252),$G252,$F252)&gt;=DATE(PlanYear,4,1)),1,0))</f>
        <v>0</v>
      </c>
      <c r="S252">
        <f>IF($N252=0,0,IF(AND($F252&lt;=EOMONTH(DATE(PlanYear,5,1),0),IF(ISNUMBER($G252),$G252,$F252)&gt;=DATE(PlanYear,5,1)),1,0))</f>
        <v>0</v>
      </c>
      <c r="T252">
        <f>IF($N252=0,0,IF(AND($F252&lt;=EOMONTH(DATE(PlanYear,6,1),0),IF(ISNUMBER($G252),$G252,$F252)&gt;=DATE(PlanYear,6,1)),1,0))</f>
        <v>0</v>
      </c>
      <c r="U252">
        <f>IF($N252=0,0,IF(AND($F252&lt;=EOMONTH(DATE(PlanYear,7,1),0),IF(ISNUMBER($G252),$G252,$F252)&gt;=DATE(PlanYear,7,1)),1,0))</f>
        <v>0</v>
      </c>
      <c r="V252">
        <f>IF($N252=0,0,IF(AND($F252&lt;=EOMONTH(DATE(PlanYear,8,1),0),IF(ISNUMBER($G252),$G252,$F252)&gt;=DATE(PlanYear,8,1)),1,0))</f>
        <v>0</v>
      </c>
      <c r="W252">
        <f>IF($N252=0,0,IF(AND($F252&lt;=EOMONTH(DATE(PlanYear,9,1),0),IF(ISNUMBER($G252),$G252,$F252)&gt;=DATE(PlanYear,9,1)),1,0))</f>
        <v>0</v>
      </c>
      <c r="X252">
        <f>IF($N252=0,0,IF(AND($F252&lt;=EOMONTH(DATE(PlanYear,10,1),0),IF(ISNUMBER($G252),$G252,$F252)&gt;=DATE(PlanYear,10,1)),1,0))</f>
        <v>0</v>
      </c>
      <c r="Y252">
        <f>IF($N252=0,0,IF(AND($F252&lt;=EOMONTH(DATE(PlanYear,11,1),0),IF(ISNUMBER($G252),$G252,$F252)&gt;=DATE(PlanYear,11,1)),1,0))</f>
        <v>0</v>
      </c>
      <c r="Z252">
        <f>IF($N252=0,0,IF(AND($F252&lt;=EOMONTH(DATE(PlanYear,12,1),0),IF(ISNUMBER($G252),$G252,$F252)&gt;=DATE(PlanYear,12,1)),1,0))</f>
        <v>0</v>
      </c>
      <c r="AA252">
        <f>SUM($O252:$Z252)</f>
        <v>0</v>
      </c>
    </row>
    <row r="253" spans="1:27">
      <c r="A253" s="42">
        <f>IF($B253="","","ACT-"&amp;TEXT(ROW()-4,"000"))</f>
        <v>0</v>
      </c>
      <c r="M253" s="43">
        <f>IF(COUNTA($B253:$K253)=0,"",IF($B253="","Missing activity name",IF($C253="","Missing practice",IF(COUNTIF(PracticeNames,$C253)=0,"Practice not in Lists",IF($D253="","Missing motion",IF(NOT(ISNUMBER($F253)),"Missing or invalid start date",IF(AND(ISNUMBER($G253),$G253&lt;$F253),"End date before start",IF(AND($N253=1,$AA253=0),"Outside planning year","OK"))))))))</f>
        <v>0</v>
      </c>
      <c r="N253">
        <f>IF(AND($B253&lt;&gt;"",$C253&lt;&gt;"",$D253&lt;&gt;"",ISNUMBER($F253),COUNTIF(PracticeNames,$C253)&gt;0,COUNTIF(MotionNames,$D253)&gt;0,NOT(AND(ISNUMBER($G253),$G253&lt;$F253))),IF(StatusFilter="All (excl. Cancelled)",IF($H253="Cancelled",0,1),IF(StatusFilter="All",1,IF($H253=StatusFilter,1,0))),0)</f>
        <v>0</v>
      </c>
      <c r="O253">
        <f>IF($N253=0,0,IF(AND($F253&lt;=EOMONTH(DATE(PlanYear,1,1),0),IF(ISNUMBER($G253),$G253,$F253)&gt;=DATE(PlanYear,1,1)),1,0))</f>
        <v>0</v>
      </c>
      <c r="P253">
        <f>IF($N253=0,0,IF(AND($F253&lt;=EOMONTH(DATE(PlanYear,2,1),0),IF(ISNUMBER($G253),$G253,$F253)&gt;=DATE(PlanYear,2,1)),1,0))</f>
        <v>0</v>
      </c>
      <c r="Q253">
        <f>IF($N253=0,0,IF(AND($F253&lt;=EOMONTH(DATE(PlanYear,3,1),0),IF(ISNUMBER($G253),$G253,$F253)&gt;=DATE(PlanYear,3,1)),1,0))</f>
        <v>0</v>
      </c>
      <c r="R253">
        <f>IF($N253=0,0,IF(AND($F253&lt;=EOMONTH(DATE(PlanYear,4,1),0),IF(ISNUMBER($G253),$G253,$F253)&gt;=DATE(PlanYear,4,1)),1,0))</f>
        <v>0</v>
      </c>
      <c r="S253">
        <f>IF($N253=0,0,IF(AND($F253&lt;=EOMONTH(DATE(PlanYear,5,1),0),IF(ISNUMBER($G253),$G253,$F253)&gt;=DATE(PlanYear,5,1)),1,0))</f>
        <v>0</v>
      </c>
      <c r="T253">
        <f>IF($N253=0,0,IF(AND($F253&lt;=EOMONTH(DATE(PlanYear,6,1),0),IF(ISNUMBER($G253),$G253,$F253)&gt;=DATE(PlanYear,6,1)),1,0))</f>
        <v>0</v>
      </c>
      <c r="U253">
        <f>IF($N253=0,0,IF(AND($F253&lt;=EOMONTH(DATE(PlanYear,7,1),0),IF(ISNUMBER($G253),$G253,$F253)&gt;=DATE(PlanYear,7,1)),1,0))</f>
        <v>0</v>
      </c>
      <c r="V253">
        <f>IF($N253=0,0,IF(AND($F253&lt;=EOMONTH(DATE(PlanYear,8,1),0),IF(ISNUMBER($G253),$G253,$F253)&gt;=DATE(PlanYear,8,1)),1,0))</f>
        <v>0</v>
      </c>
      <c r="W253">
        <f>IF($N253=0,0,IF(AND($F253&lt;=EOMONTH(DATE(PlanYear,9,1),0),IF(ISNUMBER($G253),$G253,$F253)&gt;=DATE(PlanYear,9,1)),1,0))</f>
        <v>0</v>
      </c>
      <c r="X253">
        <f>IF($N253=0,0,IF(AND($F253&lt;=EOMONTH(DATE(PlanYear,10,1),0),IF(ISNUMBER($G253),$G253,$F253)&gt;=DATE(PlanYear,10,1)),1,0))</f>
        <v>0</v>
      </c>
      <c r="Y253">
        <f>IF($N253=0,0,IF(AND($F253&lt;=EOMONTH(DATE(PlanYear,11,1),0),IF(ISNUMBER($G253),$G253,$F253)&gt;=DATE(PlanYear,11,1)),1,0))</f>
        <v>0</v>
      </c>
      <c r="Z253">
        <f>IF($N253=0,0,IF(AND($F253&lt;=EOMONTH(DATE(PlanYear,12,1),0),IF(ISNUMBER($G253),$G253,$F253)&gt;=DATE(PlanYear,12,1)),1,0))</f>
        <v>0</v>
      </c>
      <c r="AA253">
        <f>SUM($O253:$Z253)</f>
        <v>0</v>
      </c>
    </row>
    <row r="254" spans="1:27">
      <c r="A254" s="42">
        <f>IF($B254="","","ACT-"&amp;TEXT(ROW()-4,"000"))</f>
        <v>0</v>
      </c>
      <c r="M254" s="43">
        <f>IF(COUNTA($B254:$K254)=0,"",IF($B254="","Missing activity name",IF($C254="","Missing practice",IF(COUNTIF(PracticeNames,$C254)=0,"Practice not in Lists",IF($D254="","Missing motion",IF(NOT(ISNUMBER($F254)),"Missing or invalid start date",IF(AND(ISNUMBER($G254),$G254&lt;$F254),"End date before start",IF(AND($N254=1,$AA254=0),"Outside planning year","OK"))))))))</f>
        <v>0</v>
      </c>
      <c r="N254">
        <f>IF(AND($B254&lt;&gt;"",$C254&lt;&gt;"",$D254&lt;&gt;"",ISNUMBER($F254),COUNTIF(PracticeNames,$C254)&gt;0,COUNTIF(MotionNames,$D254)&gt;0,NOT(AND(ISNUMBER($G254),$G254&lt;$F254))),IF(StatusFilter="All (excl. Cancelled)",IF($H254="Cancelled",0,1),IF(StatusFilter="All",1,IF($H254=StatusFilter,1,0))),0)</f>
        <v>0</v>
      </c>
      <c r="O254">
        <f>IF($N254=0,0,IF(AND($F254&lt;=EOMONTH(DATE(PlanYear,1,1),0),IF(ISNUMBER($G254),$G254,$F254)&gt;=DATE(PlanYear,1,1)),1,0))</f>
        <v>0</v>
      </c>
      <c r="P254">
        <f>IF($N254=0,0,IF(AND($F254&lt;=EOMONTH(DATE(PlanYear,2,1),0),IF(ISNUMBER($G254),$G254,$F254)&gt;=DATE(PlanYear,2,1)),1,0))</f>
        <v>0</v>
      </c>
      <c r="Q254">
        <f>IF($N254=0,0,IF(AND($F254&lt;=EOMONTH(DATE(PlanYear,3,1),0),IF(ISNUMBER($G254),$G254,$F254)&gt;=DATE(PlanYear,3,1)),1,0))</f>
        <v>0</v>
      </c>
      <c r="R254">
        <f>IF($N254=0,0,IF(AND($F254&lt;=EOMONTH(DATE(PlanYear,4,1),0),IF(ISNUMBER($G254),$G254,$F254)&gt;=DATE(PlanYear,4,1)),1,0))</f>
        <v>0</v>
      </c>
      <c r="S254">
        <f>IF($N254=0,0,IF(AND($F254&lt;=EOMONTH(DATE(PlanYear,5,1),0),IF(ISNUMBER($G254),$G254,$F254)&gt;=DATE(PlanYear,5,1)),1,0))</f>
        <v>0</v>
      </c>
      <c r="T254">
        <f>IF($N254=0,0,IF(AND($F254&lt;=EOMONTH(DATE(PlanYear,6,1),0),IF(ISNUMBER($G254),$G254,$F254)&gt;=DATE(PlanYear,6,1)),1,0))</f>
        <v>0</v>
      </c>
      <c r="U254">
        <f>IF($N254=0,0,IF(AND($F254&lt;=EOMONTH(DATE(PlanYear,7,1),0),IF(ISNUMBER($G254),$G254,$F254)&gt;=DATE(PlanYear,7,1)),1,0))</f>
        <v>0</v>
      </c>
      <c r="V254">
        <f>IF($N254=0,0,IF(AND($F254&lt;=EOMONTH(DATE(PlanYear,8,1),0),IF(ISNUMBER($G254),$G254,$F254)&gt;=DATE(PlanYear,8,1)),1,0))</f>
        <v>0</v>
      </c>
      <c r="W254">
        <f>IF($N254=0,0,IF(AND($F254&lt;=EOMONTH(DATE(PlanYear,9,1),0),IF(ISNUMBER($G254),$G254,$F254)&gt;=DATE(PlanYear,9,1)),1,0))</f>
        <v>0</v>
      </c>
      <c r="X254">
        <f>IF($N254=0,0,IF(AND($F254&lt;=EOMONTH(DATE(PlanYear,10,1),0),IF(ISNUMBER($G254),$G254,$F254)&gt;=DATE(PlanYear,10,1)),1,0))</f>
        <v>0</v>
      </c>
      <c r="Y254">
        <f>IF($N254=0,0,IF(AND($F254&lt;=EOMONTH(DATE(PlanYear,11,1),0),IF(ISNUMBER($G254),$G254,$F254)&gt;=DATE(PlanYear,11,1)),1,0))</f>
        <v>0</v>
      </c>
      <c r="Z254">
        <f>IF($N254=0,0,IF(AND($F254&lt;=EOMONTH(DATE(PlanYear,12,1),0),IF(ISNUMBER($G254),$G254,$F254)&gt;=DATE(PlanYear,12,1)),1,0))</f>
        <v>0</v>
      </c>
      <c r="AA254">
        <f>SUM($O254:$Z254)</f>
        <v>0</v>
      </c>
    </row>
    <row r="255" spans="1:27">
      <c r="A255" s="42">
        <f>IF($B255="","","ACT-"&amp;TEXT(ROW()-4,"000"))</f>
        <v>0</v>
      </c>
      <c r="M255" s="43">
        <f>IF(COUNTA($B255:$K255)=0,"",IF($B255="","Missing activity name",IF($C255="","Missing practice",IF(COUNTIF(PracticeNames,$C255)=0,"Practice not in Lists",IF($D255="","Missing motion",IF(NOT(ISNUMBER($F255)),"Missing or invalid start date",IF(AND(ISNUMBER($G255),$G255&lt;$F255),"End date before start",IF(AND($N255=1,$AA255=0),"Outside planning year","OK"))))))))</f>
        <v>0</v>
      </c>
      <c r="N255">
        <f>IF(AND($B255&lt;&gt;"",$C255&lt;&gt;"",$D255&lt;&gt;"",ISNUMBER($F255),COUNTIF(PracticeNames,$C255)&gt;0,COUNTIF(MotionNames,$D255)&gt;0,NOT(AND(ISNUMBER($G255),$G255&lt;$F255))),IF(StatusFilter="All (excl. Cancelled)",IF($H255="Cancelled",0,1),IF(StatusFilter="All",1,IF($H255=StatusFilter,1,0))),0)</f>
        <v>0</v>
      </c>
      <c r="O255">
        <f>IF($N255=0,0,IF(AND($F255&lt;=EOMONTH(DATE(PlanYear,1,1),0),IF(ISNUMBER($G255),$G255,$F255)&gt;=DATE(PlanYear,1,1)),1,0))</f>
        <v>0</v>
      </c>
      <c r="P255">
        <f>IF($N255=0,0,IF(AND($F255&lt;=EOMONTH(DATE(PlanYear,2,1),0),IF(ISNUMBER($G255),$G255,$F255)&gt;=DATE(PlanYear,2,1)),1,0))</f>
        <v>0</v>
      </c>
      <c r="Q255">
        <f>IF($N255=0,0,IF(AND($F255&lt;=EOMONTH(DATE(PlanYear,3,1),0),IF(ISNUMBER($G255),$G255,$F255)&gt;=DATE(PlanYear,3,1)),1,0))</f>
        <v>0</v>
      </c>
      <c r="R255">
        <f>IF($N255=0,0,IF(AND($F255&lt;=EOMONTH(DATE(PlanYear,4,1),0),IF(ISNUMBER($G255),$G255,$F255)&gt;=DATE(PlanYear,4,1)),1,0))</f>
        <v>0</v>
      </c>
      <c r="S255">
        <f>IF($N255=0,0,IF(AND($F255&lt;=EOMONTH(DATE(PlanYear,5,1),0),IF(ISNUMBER($G255),$G255,$F255)&gt;=DATE(PlanYear,5,1)),1,0))</f>
        <v>0</v>
      </c>
      <c r="T255">
        <f>IF($N255=0,0,IF(AND($F255&lt;=EOMONTH(DATE(PlanYear,6,1),0),IF(ISNUMBER($G255),$G255,$F255)&gt;=DATE(PlanYear,6,1)),1,0))</f>
        <v>0</v>
      </c>
      <c r="U255">
        <f>IF($N255=0,0,IF(AND($F255&lt;=EOMONTH(DATE(PlanYear,7,1),0),IF(ISNUMBER($G255),$G255,$F255)&gt;=DATE(PlanYear,7,1)),1,0))</f>
        <v>0</v>
      </c>
      <c r="V255">
        <f>IF($N255=0,0,IF(AND($F255&lt;=EOMONTH(DATE(PlanYear,8,1),0),IF(ISNUMBER($G255),$G255,$F255)&gt;=DATE(PlanYear,8,1)),1,0))</f>
        <v>0</v>
      </c>
      <c r="W255">
        <f>IF($N255=0,0,IF(AND($F255&lt;=EOMONTH(DATE(PlanYear,9,1),0),IF(ISNUMBER($G255),$G255,$F255)&gt;=DATE(PlanYear,9,1)),1,0))</f>
        <v>0</v>
      </c>
      <c r="X255">
        <f>IF($N255=0,0,IF(AND($F255&lt;=EOMONTH(DATE(PlanYear,10,1),0),IF(ISNUMBER($G255),$G255,$F255)&gt;=DATE(PlanYear,10,1)),1,0))</f>
        <v>0</v>
      </c>
      <c r="Y255">
        <f>IF($N255=0,0,IF(AND($F255&lt;=EOMONTH(DATE(PlanYear,11,1),0),IF(ISNUMBER($G255),$G255,$F255)&gt;=DATE(PlanYear,11,1)),1,0))</f>
        <v>0</v>
      </c>
      <c r="Z255">
        <f>IF($N255=0,0,IF(AND($F255&lt;=EOMONTH(DATE(PlanYear,12,1),0),IF(ISNUMBER($G255),$G255,$F255)&gt;=DATE(PlanYear,12,1)),1,0))</f>
        <v>0</v>
      </c>
      <c r="AA255">
        <f>SUM($O255:$Z255)</f>
        <v>0</v>
      </c>
    </row>
    <row r="256" spans="1:27">
      <c r="A256" s="42">
        <f>IF($B256="","","ACT-"&amp;TEXT(ROW()-4,"000"))</f>
        <v>0</v>
      </c>
      <c r="M256" s="43">
        <f>IF(COUNTA($B256:$K256)=0,"",IF($B256="","Missing activity name",IF($C256="","Missing practice",IF(COUNTIF(PracticeNames,$C256)=0,"Practice not in Lists",IF($D256="","Missing motion",IF(NOT(ISNUMBER($F256)),"Missing or invalid start date",IF(AND(ISNUMBER($G256),$G256&lt;$F256),"End date before start",IF(AND($N256=1,$AA256=0),"Outside planning year","OK"))))))))</f>
        <v>0</v>
      </c>
      <c r="N256">
        <f>IF(AND($B256&lt;&gt;"",$C256&lt;&gt;"",$D256&lt;&gt;"",ISNUMBER($F256),COUNTIF(PracticeNames,$C256)&gt;0,COUNTIF(MotionNames,$D256)&gt;0,NOT(AND(ISNUMBER($G256),$G256&lt;$F256))),IF(StatusFilter="All (excl. Cancelled)",IF($H256="Cancelled",0,1),IF(StatusFilter="All",1,IF($H256=StatusFilter,1,0))),0)</f>
        <v>0</v>
      </c>
      <c r="O256">
        <f>IF($N256=0,0,IF(AND($F256&lt;=EOMONTH(DATE(PlanYear,1,1),0),IF(ISNUMBER($G256),$G256,$F256)&gt;=DATE(PlanYear,1,1)),1,0))</f>
        <v>0</v>
      </c>
      <c r="P256">
        <f>IF($N256=0,0,IF(AND($F256&lt;=EOMONTH(DATE(PlanYear,2,1),0),IF(ISNUMBER($G256),$G256,$F256)&gt;=DATE(PlanYear,2,1)),1,0))</f>
        <v>0</v>
      </c>
      <c r="Q256">
        <f>IF($N256=0,0,IF(AND($F256&lt;=EOMONTH(DATE(PlanYear,3,1),0),IF(ISNUMBER($G256),$G256,$F256)&gt;=DATE(PlanYear,3,1)),1,0))</f>
        <v>0</v>
      </c>
      <c r="R256">
        <f>IF($N256=0,0,IF(AND($F256&lt;=EOMONTH(DATE(PlanYear,4,1),0),IF(ISNUMBER($G256),$G256,$F256)&gt;=DATE(PlanYear,4,1)),1,0))</f>
        <v>0</v>
      </c>
      <c r="S256">
        <f>IF($N256=0,0,IF(AND($F256&lt;=EOMONTH(DATE(PlanYear,5,1),0),IF(ISNUMBER($G256),$G256,$F256)&gt;=DATE(PlanYear,5,1)),1,0))</f>
        <v>0</v>
      </c>
      <c r="T256">
        <f>IF($N256=0,0,IF(AND($F256&lt;=EOMONTH(DATE(PlanYear,6,1),0),IF(ISNUMBER($G256),$G256,$F256)&gt;=DATE(PlanYear,6,1)),1,0))</f>
        <v>0</v>
      </c>
      <c r="U256">
        <f>IF($N256=0,0,IF(AND($F256&lt;=EOMONTH(DATE(PlanYear,7,1),0),IF(ISNUMBER($G256),$G256,$F256)&gt;=DATE(PlanYear,7,1)),1,0))</f>
        <v>0</v>
      </c>
      <c r="V256">
        <f>IF($N256=0,0,IF(AND($F256&lt;=EOMONTH(DATE(PlanYear,8,1),0),IF(ISNUMBER($G256),$G256,$F256)&gt;=DATE(PlanYear,8,1)),1,0))</f>
        <v>0</v>
      </c>
      <c r="W256">
        <f>IF($N256=0,0,IF(AND($F256&lt;=EOMONTH(DATE(PlanYear,9,1),0),IF(ISNUMBER($G256),$G256,$F256)&gt;=DATE(PlanYear,9,1)),1,0))</f>
        <v>0</v>
      </c>
      <c r="X256">
        <f>IF($N256=0,0,IF(AND($F256&lt;=EOMONTH(DATE(PlanYear,10,1),0),IF(ISNUMBER($G256),$G256,$F256)&gt;=DATE(PlanYear,10,1)),1,0))</f>
        <v>0</v>
      </c>
      <c r="Y256">
        <f>IF($N256=0,0,IF(AND($F256&lt;=EOMONTH(DATE(PlanYear,11,1),0),IF(ISNUMBER($G256),$G256,$F256)&gt;=DATE(PlanYear,11,1)),1,0))</f>
        <v>0</v>
      </c>
      <c r="Z256">
        <f>IF($N256=0,0,IF(AND($F256&lt;=EOMONTH(DATE(PlanYear,12,1),0),IF(ISNUMBER($G256),$G256,$F256)&gt;=DATE(PlanYear,12,1)),1,0))</f>
        <v>0</v>
      </c>
      <c r="AA256">
        <f>SUM($O256:$Z256)</f>
        <v>0</v>
      </c>
    </row>
    <row r="257" spans="1:27">
      <c r="A257" s="42">
        <f>IF($B257="","","ACT-"&amp;TEXT(ROW()-4,"000"))</f>
        <v>0</v>
      </c>
      <c r="M257" s="43">
        <f>IF(COUNTA($B257:$K257)=0,"",IF($B257="","Missing activity name",IF($C257="","Missing practice",IF(COUNTIF(PracticeNames,$C257)=0,"Practice not in Lists",IF($D257="","Missing motion",IF(NOT(ISNUMBER($F257)),"Missing or invalid start date",IF(AND(ISNUMBER($G257),$G257&lt;$F257),"End date before start",IF(AND($N257=1,$AA257=0),"Outside planning year","OK"))))))))</f>
        <v>0</v>
      </c>
      <c r="N257">
        <f>IF(AND($B257&lt;&gt;"",$C257&lt;&gt;"",$D257&lt;&gt;"",ISNUMBER($F257),COUNTIF(PracticeNames,$C257)&gt;0,COUNTIF(MotionNames,$D257)&gt;0,NOT(AND(ISNUMBER($G257),$G257&lt;$F257))),IF(StatusFilter="All (excl. Cancelled)",IF($H257="Cancelled",0,1),IF(StatusFilter="All",1,IF($H257=StatusFilter,1,0))),0)</f>
        <v>0</v>
      </c>
      <c r="O257">
        <f>IF($N257=0,0,IF(AND($F257&lt;=EOMONTH(DATE(PlanYear,1,1),0),IF(ISNUMBER($G257),$G257,$F257)&gt;=DATE(PlanYear,1,1)),1,0))</f>
        <v>0</v>
      </c>
      <c r="P257">
        <f>IF($N257=0,0,IF(AND($F257&lt;=EOMONTH(DATE(PlanYear,2,1),0),IF(ISNUMBER($G257),$G257,$F257)&gt;=DATE(PlanYear,2,1)),1,0))</f>
        <v>0</v>
      </c>
      <c r="Q257">
        <f>IF($N257=0,0,IF(AND($F257&lt;=EOMONTH(DATE(PlanYear,3,1),0),IF(ISNUMBER($G257),$G257,$F257)&gt;=DATE(PlanYear,3,1)),1,0))</f>
        <v>0</v>
      </c>
      <c r="R257">
        <f>IF($N257=0,0,IF(AND($F257&lt;=EOMONTH(DATE(PlanYear,4,1),0),IF(ISNUMBER($G257),$G257,$F257)&gt;=DATE(PlanYear,4,1)),1,0))</f>
        <v>0</v>
      </c>
      <c r="S257">
        <f>IF($N257=0,0,IF(AND($F257&lt;=EOMONTH(DATE(PlanYear,5,1),0),IF(ISNUMBER($G257),$G257,$F257)&gt;=DATE(PlanYear,5,1)),1,0))</f>
        <v>0</v>
      </c>
      <c r="T257">
        <f>IF($N257=0,0,IF(AND($F257&lt;=EOMONTH(DATE(PlanYear,6,1),0),IF(ISNUMBER($G257),$G257,$F257)&gt;=DATE(PlanYear,6,1)),1,0))</f>
        <v>0</v>
      </c>
      <c r="U257">
        <f>IF($N257=0,0,IF(AND($F257&lt;=EOMONTH(DATE(PlanYear,7,1),0),IF(ISNUMBER($G257),$G257,$F257)&gt;=DATE(PlanYear,7,1)),1,0))</f>
        <v>0</v>
      </c>
      <c r="V257">
        <f>IF($N257=0,0,IF(AND($F257&lt;=EOMONTH(DATE(PlanYear,8,1),0),IF(ISNUMBER($G257),$G257,$F257)&gt;=DATE(PlanYear,8,1)),1,0))</f>
        <v>0</v>
      </c>
      <c r="W257">
        <f>IF($N257=0,0,IF(AND($F257&lt;=EOMONTH(DATE(PlanYear,9,1),0),IF(ISNUMBER($G257),$G257,$F257)&gt;=DATE(PlanYear,9,1)),1,0))</f>
        <v>0</v>
      </c>
      <c r="X257">
        <f>IF($N257=0,0,IF(AND($F257&lt;=EOMONTH(DATE(PlanYear,10,1),0),IF(ISNUMBER($G257),$G257,$F257)&gt;=DATE(PlanYear,10,1)),1,0))</f>
        <v>0</v>
      </c>
      <c r="Y257">
        <f>IF($N257=0,0,IF(AND($F257&lt;=EOMONTH(DATE(PlanYear,11,1),0),IF(ISNUMBER($G257),$G257,$F257)&gt;=DATE(PlanYear,11,1)),1,0))</f>
        <v>0</v>
      </c>
      <c r="Z257">
        <f>IF($N257=0,0,IF(AND($F257&lt;=EOMONTH(DATE(PlanYear,12,1),0),IF(ISNUMBER($G257),$G257,$F257)&gt;=DATE(PlanYear,12,1)),1,0))</f>
        <v>0</v>
      </c>
      <c r="AA257">
        <f>SUM($O257:$Z257)</f>
        <v>0</v>
      </c>
    </row>
    <row r="258" spans="1:27">
      <c r="A258" s="42">
        <f>IF($B258="","","ACT-"&amp;TEXT(ROW()-4,"000"))</f>
        <v>0</v>
      </c>
      <c r="M258" s="43">
        <f>IF(COUNTA($B258:$K258)=0,"",IF($B258="","Missing activity name",IF($C258="","Missing practice",IF(COUNTIF(PracticeNames,$C258)=0,"Practice not in Lists",IF($D258="","Missing motion",IF(NOT(ISNUMBER($F258)),"Missing or invalid start date",IF(AND(ISNUMBER($G258),$G258&lt;$F258),"End date before start",IF(AND($N258=1,$AA258=0),"Outside planning year","OK"))))))))</f>
        <v>0</v>
      </c>
      <c r="N258">
        <f>IF(AND($B258&lt;&gt;"",$C258&lt;&gt;"",$D258&lt;&gt;"",ISNUMBER($F258),COUNTIF(PracticeNames,$C258)&gt;0,COUNTIF(MotionNames,$D258)&gt;0,NOT(AND(ISNUMBER($G258),$G258&lt;$F258))),IF(StatusFilter="All (excl. Cancelled)",IF($H258="Cancelled",0,1),IF(StatusFilter="All",1,IF($H258=StatusFilter,1,0))),0)</f>
        <v>0</v>
      </c>
      <c r="O258">
        <f>IF($N258=0,0,IF(AND($F258&lt;=EOMONTH(DATE(PlanYear,1,1),0),IF(ISNUMBER($G258),$G258,$F258)&gt;=DATE(PlanYear,1,1)),1,0))</f>
        <v>0</v>
      </c>
      <c r="P258">
        <f>IF($N258=0,0,IF(AND($F258&lt;=EOMONTH(DATE(PlanYear,2,1),0),IF(ISNUMBER($G258),$G258,$F258)&gt;=DATE(PlanYear,2,1)),1,0))</f>
        <v>0</v>
      </c>
      <c r="Q258">
        <f>IF($N258=0,0,IF(AND($F258&lt;=EOMONTH(DATE(PlanYear,3,1),0),IF(ISNUMBER($G258),$G258,$F258)&gt;=DATE(PlanYear,3,1)),1,0))</f>
        <v>0</v>
      </c>
      <c r="R258">
        <f>IF($N258=0,0,IF(AND($F258&lt;=EOMONTH(DATE(PlanYear,4,1),0),IF(ISNUMBER($G258),$G258,$F258)&gt;=DATE(PlanYear,4,1)),1,0))</f>
        <v>0</v>
      </c>
      <c r="S258">
        <f>IF($N258=0,0,IF(AND($F258&lt;=EOMONTH(DATE(PlanYear,5,1),0),IF(ISNUMBER($G258),$G258,$F258)&gt;=DATE(PlanYear,5,1)),1,0))</f>
        <v>0</v>
      </c>
      <c r="T258">
        <f>IF($N258=0,0,IF(AND($F258&lt;=EOMONTH(DATE(PlanYear,6,1),0),IF(ISNUMBER($G258),$G258,$F258)&gt;=DATE(PlanYear,6,1)),1,0))</f>
        <v>0</v>
      </c>
      <c r="U258">
        <f>IF($N258=0,0,IF(AND($F258&lt;=EOMONTH(DATE(PlanYear,7,1),0),IF(ISNUMBER($G258),$G258,$F258)&gt;=DATE(PlanYear,7,1)),1,0))</f>
        <v>0</v>
      </c>
      <c r="V258">
        <f>IF($N258=0,0,IF(AND($F258&lt;=EOMONTH(DATE(PlanYear,8,1),0),IF(ISNUMBER($G258),$G258,$F258)&gt;=DATE(PlanYear,8,1)),1,0))</f>
        <v>0</v>
      </c>
      <c r="W258">
        <f>IF($N258=0,0,IF(AND($F258&lt;=EOMONTH(DATE(PlanYear,9,1),0),IF(ISNUMBER($G258),$G258,$F258)&gt;=DATE(PlanYear,9,1)),1,0))</f>
        <v>0</v>
      </c>
      <c r="X258">
        <f>IF($N258=0,0,IF(AND($F258&lt;=EOMONTH(DATE(PlanYear,10,1),0),IF(ISNUMBER($G258),$G258,$F258)&gt;=DATE(PlanYear,10,1)),1,0))</f>
        <v>0</v>
      </c>
      <c r="Y258">
        <f>IF($N258=0,0,IF(AND($F258&lt;=EOMONTH(DATE(PlanYear,11,1),0),IF(ISNUMBER($G258),$G258,$F258)&gt;=DATE(PlanYear,11,1)),1,0))</f>
        <v>0</v>
      </c>
      <c r="Z258">
        <f>IF($N258=0,0,IF(AND($F258&lt;=EOMONTH(DATE(PlanYear,12,1),0),IF(ISNUMBER($G258),$G258,$F258)&gt;=DATE(PlanYear,12,1)),1,0))</f>
        <v>0</v>
      </c>
      <c r="AA258">
        <f>SUM($O258:$Z258)</f>
        <v>0</v>
      </c>
    </row>
    <row r="259" spans="1:27">
      <c r="A259" s="42">
        <f>IF($B259="","","ACT-"&amp;TEXT(ROW()-4,"000"))</f>
        <v>0</v>
      </c>
      <c r="M259" s="43">
        <f>IF(COUNTA($B259:$K259)=0,"",IF($B259="","Missing activity name",IF($C259="","Missing practice",IF(COUNTIF(PracticeNames,$C259)=0,"Practice not in Lists",IF($D259="","Missing motion",IF(NOT(ISNUMBER($F259)),"Missing or invalid start date",IF(AND(ISNUMBER($G259),$G259&lt;$F259),"End date before start",IF(AND($N259=1,$AA259=0),"Outside planning year","OK"))))))))</f>
        <v>0</v>
      </c>
      <c r="N259">
        <f>IF(AND($B259&lt;&gt;"",$C259&lt;&gt;"",$D259&lt;&gt;"",ISNUMBER($F259),COUNTIF(PracticeNames,$C259)&gt;0,COUNTIF(MotionNames,$D259)&gt;0,NOT(AND(ISNUMBER($G259),$G259&lt;$F259))),IF(StatusFilter="All (excl. Cancelled)",IF($H259="Cancelled",0,1),IF(StatusFilter="All",1,IF($H259=StatusFilter,1,0))),0)</f>
        <v>0</v>
      </c>
      <c r="O259">
        <f>IF($N259=0,0,IF(AND($F259&lt;=EOMONTH(DATE(PlanYear,1,1),0),IF(ISNUMBER($G259),$G259,$F259)&gt;=DATE(PlanYear,1,1)),1,0))</f>
        <v>0</v>
      </c>
      <c r="P259">
        <f>IF($N259=0,0,IF(AND($F259&lt;=EOMONTH(DATE(PlanYear,2,1),0),IF(ISNUMBER($G259),$G259,$F259)&gt;=DATE(PlanYear,2,1)),1,0))</f>
        <v>0</v>
      </c>
      <c r="Q259">
        <f>IF($N259=0,0,IF(AND($F259&lt;=EOMONTH(DATE(PlanYear,3,1),0),IF(ISNUMBER($G259),$G259,$F259)&gt;=DATE(PlanYear,3,1)),1,0))</f>
        <v>0</v>
      </c>
      <c r="R259">
        <f>IF($N259=0,0,IF(AND($F259&lt;=EOMONTH(DATE(PlanYear,4,1),0),IF(ISNUMBER($G259),$G259,$F259)&gt;=DATE(PlanYear,4,1)),1,0))</f>
        <v>0</v>
      </c>
      <c r="S259">
        <f>IF($N259=0,0,IF(AND($F259&lt;=EOMONTH(DATE(PlanYear,5,1),0),IF(ISNUMBER($G259),$G259,$F259)&gt;=DATE(PlanYear,5,1)),1,0))</f>
        <v>0</v>
      </c>
      <c r="T259">
        <f>IF($N259=0,0,IF(AND($F259&lt;=EOMONTH(DATE(PlanYear,6,1),0),IF(ISNUMBER($G259),$G259,$F259)&gt;=DATE(PlanYear,6,1)),1,0))</f>
        <v>0</v>
      </c>
      <c r="U259">
        <f>IF($N259=0,0,IF(AND($F259&lt;=EOMONTH(DATE(PlanYear,7,1),0),IF(ISNUMBER($G259),$G259,$F259)&gt;=DATE(PlanYear,7,1)),1,0))</f>
        <v>0</v>
      </c>
      <c r="V259">
        <f>IF($N259=0,0,IF(AND($F259&lt;=EOMONTH(DATE(PlanYear,8,1),0),IF(ISNUMBER($G259),$G259,$F259)&gt;=DATE(PlanYear,8,1)),1,0))</f>
        <v>0</v>
      </c>
      <c r="W259">
        <f>IF($N259=0,0,IF(AND($F259&lt;=EOMONTH(DATE(PlanYear,9,1),0),IF(ISNUMBER($G259),$G259,$F259)&gt;=DATE(PlanYear,9,1)),1,0))</f>
        <v>0</v>
      </c>
      <c r="X259">
        <f>IF($N259=0,0,IF(AND($F259&lt;=EOMONTH(DATE(PlanYear,10,1),0),IF(ISNUMBER($G259),$G259,$F259)&gt;=DATE(PlanYear,10,1)),1,0))</f>
        <v>0</v>
      </c>
      <c r="Y259">
        <f>IF($N259=0,0,IF(AND($F259&lt;=EOMONTH(DATE(PlanYear,11,1),0),IF(ISNUMBER($G259),$G259,$F259)&gt;=DATE(PlanYear,11,1)),1,0))</f>
        <v>0</v>
      </c>
      <c r="Z259">
        <f>IF($N259=0,0,IF(AND($F259&lt;=EOMONTH(DATE(PlanYear,12,1),0),IF(ISNUMBER($G259),$G259,$F259)&gt;=DATE(PlanYear,12,1)),1,0))</f>
        <v>0</v>
      </c>
      <c r="AA259">
        <f>SUM($O259:$Z259)</f>
        <v>0</v>
      </c>
    </row>
    <row r="260" spans="1:27">
      <c r="A260" s="42">
        <f>IF($B260="","","ACT-"&amp;TEXT(ROW()-4,"000"))</f>
        <v>0</v>
      </c>
      <c r="M260" s="43">
        <f>IF(COUNTA($B260:$K260)=0,"",IF($B260="","Missing activity name",IF($C260="","Missing practice",IF(COUNTIF(PracticeNames,$C260)=0,"Practice not in Lists",IF($D260="","Missing motion",IF(NOT(ISNUMBER($F260)),"Missing or invalid start date",IF(AND(ISNUMBER($G260),$G260&lt;$F260),"End date before start",IF(AND($N260=1,$AA260=0),"Outside planning year","OK"))))))))</f>
        <v>0</v>
      </c>
      <c r="N260">
        <f>IF(AND($B260&lt;&gt;"",$C260&lt;&gt;"",$D260&lt;&gt;"",ISNUMBER($F260),COUNTIF(PracticeNames,$C260)&gt;0,COUNTIF(MotionNames,$D260)&gt;0,NOT(AND(ISNUMBER($G260),$G260&lt;$F260))),IF(StatusFilter="All (excl. Cancelled)",IF($H260="Cancelled",0,1),IF(StatusFilter="All",1,IF($H260=StatusFilter,1,0))),0)</f>
        <v>0</v>
      </c>
      <c r="O260">
        <f>IF($N260=0,0,IF(AND($F260&lt;=EOMONTH(DATE(PlanYear,1,1),0),IF(ISNUMBER($G260),$G260,$F260)&gt;=DATE(PlanYear,1,1)),1,0))</f>
        <v>0</v>
      </c>
      <c r="P260">
        <f>IF($N260=0,0,IF(AND($F260&lt;=EOMONTH(DATE(PlanYear,2,1),0),IF(ISNUMBER($G260),$G260,$F260)&gt;=DATE(PlanYear,2,1)),1,0))</f>
        <v>0</v>
      </c>
      <c r="Q260">
        <f>IF($N260=0,0,IF(AND($F260&lt;=EOMONTH(DATE(PlanYear,3,1),0),IF(ISNUMBER($G260),$G260,$F260)&gt;=DATE(PlanYear,3,1)),1,0))</f>
        <v>0</v>
      </c>
      <c r="R260">
        <f>IF($N260=0,0,IF(AND($F260&lt;=EOMONTH(DATE(PlanYear,4,1),0),IF(ISNUMBER($G260),$G260,$F260)&gt;=DATE(PlanYear,4,1)),1,0))</f>
        <v>0</v>
      </c>
      <c r="S260">
        <f>IF($N260=0,0,IF(AND($F260&lt;=EOMONTH(DATE(PlanYear,5,1),0),IF(ISNUMBER($G260),$G260,$F260)&gt;=DATE(PlanYear,5,1)),1,0))</f>
        <v>0</v>
      </c>
      <c r="T260">
        <f>IF($N260=0,0,IF(AND($F260&lt;=EOMONTH(DATE(PlanYear,6,1),0),IF(ISNUMBER($G260),$G260,$F260)&gt;=DATE(PlanYear,6,1)),1,0))</f>
        <v>0</v>
      </c>
      <c r="U260">
        <f>IF($N260=0,0,IF(AND($F260&lt;=EOMONTH(DATE(PlanYear,7,1),0),IF(ISNUMBER($G260),$G260,$F260)&gt;=DATE(PlanYear,7,1)),1,0))</f>
        <v>0</v>
      </c>
      <c r="V260">
        <f>IF($N260=0,0,IF(AND($F260&lt;=EOMONTH(DATE(PlanYear,8,1),0),IF(ISNUMBER($G260),$G260,$F260)&gt;=DATE(PlanYear,8,1)),1,0))</f>
        <v>0</v>
      </c>
      <c r="W260">
        <f>IF($N260=0,0,IF(AND($F260&lt;=EOMONTH(DATE(PlanYear,9,1),0),IF(ISNUMBER($G260),$G260,$F260)&gt;=DATE(PlanYear,9,1)),1,0))</f>
        <v>0</v>
      </c>
      <c r="X260">
        <f>IF($N260=0,0,IF(AND($F260&lt;=EOMONTH(DATE(PlanYear,10,1),0),IF(ISNUMBER($G260),$G260,$F260)&gt;=DATE(PlanYear,10,1)),1,0))</f>
        <v>0</v>
      </c>
      <c r="Y260">
        <f>IF($N260=0,0,IF(AND($F260&lt;=EOMONTH(DATE(PlanYear,11,1),0),IF(ISNUMBER($G260),$G260,$F260)&gt;=DATE(PlanYear,11,1)),1,0))</f>
        <v>0</v>
      </c>
      <c r="Z260">
        <f>IF($N260=0,0,IF(AND($F260&lt;=EOMONTH(DATE(PlanYear,12,1),0),IF(ISNUMBER($G260),$G260,$F260)&gt;=DATE(PlanYear,12,1)),1,0))</f>
        <v>0</v>
      </c>
      <c r="AA260">
        <f>SUM($O260:$Z260)</f>
        <v>0</v>
      </c>
    </row>
    <row r="261" spans="1:27">
      <c r="A261" s="42">
        <f>IF($B261="","","ACT-"&amp;TEXT(ROW()-4,"000"))</f>
        <v>0</v>
      </c>
      <c r="M261" s="43">
        <f>IF(COUNTA($B261:$K261)=0,"",IF($B261="","Missing activity name",IF($C261="","Missing practice",IF(COUNTIF(PracticeNames,$C261)=0,"Practice not in Lists",IF($D261="","Missing motion",IF(NOT(ISNUMBER($F261)),"Missing or invalid start date",IF(AND(ISNUMBER($G261),$G261&lt;$F261),"End date before start",IF(AND($N261=1,$AA261=0),"Outside planning year","OK"))))))))</f>
        <v>0</v>
      </c>
      <c r="N261">
        <f>IF(AND($B261&lt;&gt;"",$C261&lt;&gt;"",$D261&lt;&gt;"",ISNUMBER($F261),COUNTIF(PracticeNames,$C261)&gt;0,COUNTIF(MotionNames,$D261)&gt;0,NOT(AND(ISNUMBER($G261),$G261&lt;$F261))),IF(StatusFilter="All (excl. Cancelled)",IF($H261="Cancelled",0,1),IF(StatusFilter="All",1,IF($H261=StatusFilter,1,0))),0)</f>
        <v>0</v>
      </c>
      <c r="O261">
        <f>IF($N261=0,0,IF(AND($F261&lt;=EOMONTH(DATE(PlanYear,1,1),0),IF(ISNUMBER($G261),$G261,$F261)&gt;=DATE(PlanYear,1,1)),1,0))</f>
        <v>0</v>
      </c>
      <c r="P261">
        <f>IF($N261=0,0,IF(AND($F261&lt;=EOMONTH(DATE(PlanYear,2,1),0),IF(ISNUMBER($G261),$G261,$F261)&gt;=DATE(PlanYear,2,1)),1,0))</f>
        <v>0</v>
      </c>
      <c r="Q261">
        <f>IF($N261=0,0,IF(AND($F261&lt;=EOMONTH(DATE(PlanYear,3,1),0),IF(ISNUMBER($G261),$G261,$F261)&gt;=DATE(PlanYear,3,1)),1,0))</f>
        <v>0</v>
      </c>
      <c r="R261">
        <f>IF($N261=0,0,IF(AND($F261&lt;=EOMONTH(DATE(PlanYear,4,1),0),IF(ISNUMBER($G261),$G261,$F261)&gt;=DATE(PlanYear,4,1)),1,0))</f>
        <v>0</v>
      </c>
      <c r="S261">
        <f>IF($N261=0,0,IF(AND($F261&lt;=EOMONTH(DATE(PlanYear,5,1),0),IF(ISNUMBER($G261),$G261,$F261)&gt;=DATE(PlanYear,5,1)),1,0))</f>
        <v>0</v>
      </c>
      <c r="T261">
        <f>IF($N261=0,0,IF(AND($F261&lt;=EOMONTH(DATE(PlanYear,6,1),0),IF(ISNUMBER($G261),$G261,$F261)&gt;=DATE(PlanYear,6,1)),1,0))</f>
        <v>0</v>
      </c>
      <c r="U261">
        <f>IF($N261=0,0,IF(AND($F261&lt;=EOMONTH(DATE(PlanYear,7,1),0),IF(ISNUMBER($G261),$G261,$F261)&gt;=DATE(PlanYear,7,1)),1,0))</f>
        <v>0</v>
      </c>
      <c r="V261">
        <f>IF($N261=0,0,IF(AND($F261&lt;=EOMONTH(DATE(PlanYear,8,1),0),IF(ISNUMBER($G261),$G261,$F261)&gt;=DATE(PlanYear,8,1)),1,0))</f>
        <v>0</v>
      </c>
      <c r="W261">
        <f>IF($N261=0,0,IF(AND($F261&lt;=EOMONTH(DATE(PlanYear,9,1),0),IF(ISNUMBER($G261),$G261,$F261)&gt;=DATE(PlanYear,9,1)),1,0))</f>
        <v>0</v>
      </c>
      <c r="X261">
        <f>IF($N261=0,0,IF(AND($F261&lt;=EOMONTH(DATE(PlanYear,10,1),0),IF(ISNUMBER($G261),$G261,$F261)&gt;=DATE(PlanYear,10,1)),1,0))</f>
        <v>0</v>
      </c>
      <c r="Y261">
        <f>IF($N261=0,0,IF(AND($F261&lt;=EOMONTH(DATE(PlanYear,11,1),0),IF(ISNUMBER($G261),$G261,$F261)&gt;=DATE(PlanYear,11,1)),1,0))</f>
        <v>0</v>
      </c>
      <c r="Z261">
        <f>IF($N261=0,0,IF(AND($F261&lt;=EOMONTH(DATE(PlanYear,12,1),0),IF(ISNUMBER($G261),$G261,$F261)&gt;=DATE(PlanYear,12,1)),1,0))</f>
        <v>0</v>
      </c>
      <c r="AA261">
        <f>SUM($O261:$Z261)</f>
        <v>0</v>
      </c>
    </row>
    <row r="262" spans="1:27">
      <c r="A262" s="42">
        <f>IF($B262="","","ACT-"&amp;TEXT(ROW()-4,"000"))</f>
        <v>0</v>
      </c>
      <c r="M262" s="43">
        <f>IF(COUNTA($B262:$K262)=0,"",IF($B262="","Missing activity name",IF($C262="","Missing practice",IF(COUNTIF(PracticeNames,$C262)=0,"Practice not in Lists",IF($D262="","Missing motion",IF(NOT(ISNUMBER($F262)),"Missing or invalid start date",IF(AND(ISNUMBER($G262),$G262&lt;$F262),"End date before start",IF(AND($N262=1,$AA262=0),"Outside planning year","OK"))))))))</f>
        <v>0</v>
      </c>
      <c r="N262">
        <f>IF(AND($B262&lt;&gt;"",$C262&lt;&gt;"",$D262&lt;&gt;"",ISNUMBER($F262),COUNTIF(PracticeNames,$C262)&gt;0,COUNTIF(MotionNames,$D262)&gt;0,NOT(AND(ISNUMBER($G262),$G262&lt;$F262))),IF(StatusFilter="All (excl. Cancelled)",IF($H262="Cancelled",0,1),IF(StatusFilter="All",1,IF($H262=StatusFilter,1,0))),0)</f>
        <v>0</v>
      </c>
      <c r="O262">
        <f>IF($N262=0,0,IF(AND($F262&lt;=EOMONTH(DATE(PlanYear,1,1),0),IF(ISNUMBER($G262),$G262,$F262)&gt;=DATE(PlanYear,1,1)),1,0))</f>
        <v>0</v>
      </c>
      <c r="P262">
        <f>IF($N262=0,0,IF(AND($F262&lt;=EOMONTH(DATE(PlanYear,2,1),0),IF(ISNUMBER($G262),$G262,$F262)&gt;=DATE(PlanYear,2,1)),1,0))</f>
        <v>0</v>
      </c>
      <c r="Q262">
        <f>IF($N262=0,0,IF(AND($F262&lt;=EOMONTH(DATE(PlanYear,3,1),0),IF(ISNUMBER($G262),$G262,$F262)&gt;=DATE(PlanYear,3,1)),1,0))</f>
        <v>0</v>
      </c>
      <c r="R262">
        <f>IF($N262=0,0,IF(AND($F262&lt;=EOMONTH(DATE(PlanYear,4,1),0),IF(ISNUMBER($G262),$G262,$F262)&gt;=DATE(PlanYear,4,1)),1,0))</f>
        <v>0</v>
      </c>
      <c r="S262">
        <f>IF($N262=0,0,IF(AND($F262&lt;=EOMONTH(DATE(PlanYear,5,1),0),IF(ISNUMBER($G262),$G262,$F262)&gt;=DATE(PlanYear,5,1)),1,0))</f>
        <v>0</v>
      </c>
      <c r="T262">
        <f>IF($N262=0,0,IF(AND($F262&lt;=EOMONTH(DATE(PlanYear,6,1),0),IF(ISNUMBER($G262),$G262,$F262)&gt;=DATE(PlanYear,6,1)),1,0))</f>
        <v>0</v>
      </c>
      <c r="U262">
        <f>IF($N262=0,0,IF(AND($F262&lt;=EOMONTH(DATE(PlanYear,7,1),0),IF(ISNUMBER($G262),$G262,$F262)&gt;=DATE(PlanYear,7,1)),1,0))</f>
        <v>0</v>
      </c>
      <c r="V262">
        <f>IF($N262=0,0,IF(AND($F262&lt;=EOMONTH(DATE(PlanYear,8,1),0),IF(ISNUMBER($G262),$G262,$F262)&gt;=DATE(PlanYear,8,1)),1,0))</f>
        <v>0</v>
      </c>
      <c r="W262">
        <f>IF($N262=0,0,IF(AND($F262&lt;=EOMONTH(DATE(PlanYear,9,1),0),IF(ISNUMBER($G262),$G262,$F262)&gt;=DATE(PlanYear,9,1)),1,0))</f>
        <v>0</v>
      </c>
      <c r="X262">
        <f>IF($N262=0,0,IF(AND($F262&lt;=EOMONTH(DATE(PlanYear,10,1),0),IF(ISNUMBER($G262),$G262,$F262)&gt;=DATE(PlanYear,10,1)),1,0))</f>
        <v>0</v>
      </c>
      <c r="Y262">
        <f>IF($N262=0,0,IF(AND($F262&lt;=EOMONTH(DATE(PlanYear,11,1),0),IF(ISNUMBER($G262),$G262,$F262)&gt;=DATE(PlanYear,11,1)),1,0))</f>
        <v>0</v>
      </c>
      <c r="Z262">
        <f>IF($N262=0,0,IF(AND($F262&lt;=EOMONTH(DATE(PlanYear,12,1),0),IF(ISNUMBER($G262),$G262,$F262)&gt;=DATE(PlanYear,12,1)),1,0))</f>
        <v>0</v>
      </c>
      <c r="AA262">
        <f>SUM($O262:$Z262)</f>
        <v>0</v>
      </c>
    </row>
    <row r="263" spans="1:27">
      <c r="A263" s="42">
        <f>IF($B263="","","ACT-"&amp;TEXT(ROW()-4,"000"))</f>
        <v>0</v>
      </c>
      <c r="M263" s="43">
        <f>IF(COUNTA($B263:$K263)=0,"",IF($B263="","Missing activity name",IF($C263="","Missing practice",IF(COUNTIF(PracticeNames,$C263)=0,"Practice not in Lists",IF($D263="","Missing motion",IF(NOT(ISNUMBER($F263)),"Missing or invalid start date",IF(AND(ISNUMBER($G263),$G263&lt;$F263),"End date before start",IF(AND($N263=1,$AA263=0),"Outside planning year","OK"))))))))</f>
        <v>0</v>
      </c>
      <c r="N263">
        <f>IF(AND($B263&lt;&gt;"",$C263&lt;&gt;"",$D263&lt;&gt;"",ISNUMBER($F263),COUNTIF(PracticeNames,$C263)&gt;0,COUNTIF(MotionNames,$D263)&gt;0,NOT(AND(ISNUMBER($G263),$G263&lt;$F263))),IF(StatusFilter="All (excl. Cancelled)",IF($H263="Cancelled",0,1),IF(StatusFilter="All",1,IF($H263=StatusFilter,1,0))),0)</f>
        <v>0</v>
      </c>
      <c r="O263">
        <f>IF($N263=0,0,IF(AND($F263&lt;=EOMONTH(DATE(PlanYear,1,1),0),IF(ISNUMBER($G263),$G263,$F263)&gt;=DATE(PlanYear,1,1)),1,0))</f>
        <v>0</v>
      </c>
      <c r="P263">
        <f>IF($N263=0,0,IF(AND($F263&lt;=EOMONTH(DATE(PlanYear,2,1),0),IF(ISNUMBER($G263),$G263,$F263)&gt;=DATE(PlanYear,2,1)),1,0))</f>
        <v>0</v>
      </c>
      <c r="Q263">
        <f>IF($N263=0,0,IF(AND($F263&lt;=EOMONTH(DATE(PlanYear,3,1),0),IF(ISNUMBER($G263),$G263,$F263)&gt;=DATE(PlanYear,3,1)),1,0))</f>
        <v>0</v>
      </c>
      <c r="R263">
        <f>IF($N263=0,0,IF(AND($F263&lt;=EOMONTH(DATE(PlanYear,4,1),0),IF(ISNUMBER($G263),$G263,$F263)&gt;=DATE(PlanYear,4,1)),1,0))</f>
        <v>0</v>
      </c>
      <c r="S263">
        <f>IF($N263=0,0,IF(AND($F263&lt;=EOMONTH(DATE(PlanYear,5,1),0),IF(ISNUMBER($G263),$G263,$F263)&gt;=DATE(PlanYear,5,1)),1,0))</f>
        <v>0</v>
      </c>
      <c r="T263">
        <f>IF($N263=0,0,IF(AND($F263&lt;=EOMONTH(DATE(PlanYear,6,1),0),IF(ISNUMBER($G263),$G263,$F263)&gt;=DATE(PlanYear,6,1)),1,0))</f>
        <v>0</v>
      </c>
      <c r="U263">
        <f>IF($N263=0,0,IF(AND($F263&lt;=EOMONTH(DATE(PlanYear,7,1),0),IF(ISNUMBER($G263),$G263,$F263)&gt;=DATE(PlanYear,7,1)),1,0))</f>
        <v>0</v>
      </c>
      <c r="V263">
        <f>IF($N263=0,0,IF(AND($F263&lt;=EOMONTH(DATE(PlanYear,8,1),0),IF(ISNUMBER($G263),$G263,$F263)&gt;=DATE(PlanYear,8,1)),1,0))</f>
        <v>0</v>
      </c>
      <c r="W263">
        <f>IF($N263=0,0,IF(AND($F263&lt;=EOMONTH(DATE(PlanYear,9,1),0),IF(ISNUMBER($G263),$G263,$F263)&gt;=DATE(PlanYear,9,1)),1,0))</f>
        <v>0</v>
      </c>
      <c r="X263">
        <f>IF($N263=0,0,IF(AND($F263&lt;=EOMONTH(DATE(PlanYear,10,1),0),IF(ISNUMBER($G263),$G263,$F263)&gt;=DATE(PlanYear,10,1)),1,0))</f>
        <v>0</v>
      </c>
      <c r="Y263">
        <f>IF($N263=0,0,IF(AND($F263&lt;=EOMONTH(DATE(PlanYear,11,1),0),IF(ISNUMBER($G263),$G263,$F263)&gt;=DATE(PlanYear,11,1)),1,0))</f>
        <v>0</v>
      </c>
      <c r="Z263">
        <f>IF($N263=0,0,IF(AND($F263&lt;=EOMONTH(DATE(PlanYear,12,1),0),IF(ISNUMBER($G263),$G263,$F263)&gt;=DATE(PlanYear,12,1)),1,0))</f>
        <v>0</v>
      </c>
      <c r="AA263">
        <f>SUM($O263:$Z263)</f>
        <v>0</v>
      </c>
    </row>
    <row r="264" spans="1:27">
      <c r="A264" s="42">
        <f>IF($B264="","","ACT-"&amp;TEXT(ROW()-4,"000"))</f>
        <v>0</v>
      </c>
      <c r="M264" s="43">
        <f>IF(COUNTA($B264:$K264)=0,"",IF($B264="","Missing activity name",IF($C264="","Missing practice",IF(COUNTIF(PracticeNames,$C264)=0,"Practice not in Lists",IF($D264="","Missing motion",IF(NOT(ISNUMBER($F264)),"Missing or invalid start date",IF(AND(ISNUMBER($G264),$G264&lt;$F264),"End date before start",IF(AND($N264=1,$AA264=0),"Outside planning year","OK"))))))))</f>
        <v>0</v>
      </c>
      <c r="N264">
        <f>IF(AND($B264&lt;&gt;"",$C264&lt;&gt;"",$D264&lt;&gt;"",ISNUMBER($F264),COUNTIF(PracticeNames,$C264)&gt;0,COUNTIF(MotionNames,$D264)&gt;0,NOT(AND(ISNUMBER($G264),$G264&lt;$F264))),IF(StatusFilter="All (excl. Cancelled)",IF($H264="Cancelled",0,1),IF(StatusFilter="All",1,IF($H264=StatusFilter,1,0))),0)</f>
        <v>0</v>
      </c>
      <c r="O264">
        <f>IF($N264=0,0,IF(AND($F264&lt;=EOMONTH(DATE(PlanYear,1,1),0),IF(ISNUMBER($G264),$G264,$F264)&gt;=DATE(PlanYear,1,1)),1,0))</f>
        <v>0</v>
      </c>
      <c r="P264">
        <f>IF($N264=0,0,IF(AND($F264&lt;=EOMONTH(DATE(PlanYear,2,1),0),IF(ISNUMBER($G264),$G264,$F264)&gt;=DATE(PlanYear,2,1)),1,0))</f>
        <v>0</v>
      </c>
      <c r="Q264">
        <f>IF($N264=0,0,IF(AND($F264&lt;=EOMONTH(DATE(PlanYear,3,1),0),IF(ISNUMBER($G264),$G264,$F264)&gt;=DATE(PlanYear,3,1)),1,0))</f>
        <v>0</v>
      </c>
      <c r="R264">
        <f>IF($N264=0,0,IF(AND($F264&lt;=EOMONTH(DATE(PlanYear,4,1),0),IF(ISNUMBER($G264),$G264,$F264)&gt;=DATE(PlanYear,4,1)),1,0))</f>
        <v>0</v>
      </c>
      <c r="S264">
        <f>IF($N264=0,0,IF(AND($F264&lt;=EOMONTH(DATE(PlanYear,5,1),0),IF(ISNUMBER($G264),$G264,$F264)&gt;=DATE(PlanYear,5,1)),1,0))</f>
        <v>0</v>
      </c>
      <c r="T264">
        <f>IF($N264=0,0,IF(AND($F264&lt;=EOMONTH(DATE(PlanYear,6,1),0),IF(ISNUMBER($G264),$G264,$F264)&gt;=DATE(PlanYear,6,1)),1,0))</f>
        <v>0</v>
      </c>
      <c r="U264">
        <f>IF($N264=0,0,IF(AND($F264&lt;=EOMONTH(DATE(PlanYear,7,1),0),IF(ISNUMBER($G264),$G264,$F264)&gt;=DATE(PlanYear,7,1)),1,0))</f>
        <v>0</v>
      </c>
      <c r="V264">
        <f>IF($N264=0,0,IF(AND($F264&lt;=EOMONTH(DATE(PlanYear,8,1),0),IF(ISNUMBER($G264),$G264,$F264)&gt;=DATE(PlanYear,8,1)),1,0))</f>
        <v>0</v>
      </c>
      <c r="W264">
        <f>IF($N264=0,0,IF(AND($F264&lt;=EOMONTH(DATE(PlanYear,9,1),0),IF(ISNUMBER($G264),$G264,$F264)&gt;=DATE(PlanYear,9,1)),1,0))</f>
        <v>0</v>
      </c>
      <c r="X264">
        <f>IF($N264=0,0,IF(AND($F264&lt;=EOMONTH(DATE(PlanYear,10,1),0),IF(ISNUMBER($G264),$G264,$F264)&gt;=DATE(PlanYear,10,1)),1,0))</f>
        <v>0</v>
      </c>
      <c r="Y264">
        <f>IF($N264=0,0,IF(AND($F264&lt;=EOMONTH(DATE(PlanYear,11,1),0),IF(ISNUMBER($G264),$G264,$F264)&gt;=DATE(PlanYear,11,1)),1,0))</f>
        <v>0</v>
      </c>
      <c r="Z264">
        <f>IF($N264=0,0,IF(AND($F264&lt;=EOMONTH(DATE(PlanYear,12,1),0),IF(ISNUMBER($G264),$G264,$F264)&gt;=DATE(PlanYear,12,1)),1,0))</f>
        <v>0</v>
      </c>
      <c r="AA264">
        <f>SUM($O264:$Z264)</f>
        <v>0</v>
      </c>
    </row>
    <row r="265" spans="1:27">
      <c r="A265" s="42">
        <f>IF($B265="","","ACT-"&amp;TEXT(ROW()-4,"000"))</f>
        <v>0</v>
      </c>
      <c r="M265" s="43">
        <f>IF(COUNTA($B265:$K265)=0,"",IF($B265="","Missing activity name",IF($C265="","Missing practice",IF(COUNTIF(PracticeNames,$C265)=0,"Practice not in Lists",IF($D265="","Missing motion",IF(NOT(ISNUMBER($F265)),"Missing or invalid start date",IF(AND(ISNUMBER($G265),$G265&lt;$F265),"End date before start",IF(AND($N265=1,$AA265=0),"Outside planning year","OK"))))))))</f>
        <v>0</v>
      </c>
      <c r="N265">
        <f>IF(AND($B265&lt;&gt;"",$C265&lt;&gt;"",$D265&lt;&gt;"",ISNUMBER($F265),COUNTIF(PracticeNames,$C265)&gt;0,COUNTIF(MotionNames,$D265)&gt;0,NOT(AND(ISNUMBER($G265),$G265&lt;$F265))),IF(StatusFilter="All (excl. Cancelled)",IF($H265="Cancelled",0,1),IF(StatusFilter="All",1,IF($H265=StatusFilter,1,0))),0)</f>
        <v>0</v>
      </c>
      <c r="O265">
        <f>IF($N265=0,0,IF(AND($F265&lt;=EOMONTH(DATE(PlanYear,1,1),0),IF(ISNUMBER($G265),$G265,$F265)&gt;=DATE(PlanYear,1,1)),1,0))</f>
        <v>0</v>
      </c>
      <c r="P265">
        <f>IF($N265=0,0,IF(AND($F265&lt;=EOMONTH(DATE(PlanYear,2,1),0),IF(ISNUMBER($G265),$G265,$F265)&gt;=DATE(PlanYear,2,1)),1,0))</f>
        <v>0</v>
      </c>
      <c r="Q265">
        <f>IF($N265=0,0,IF(AND($F265&lt;=EOMONTH(DATE(PlanYear,3,1),0),IF(ISNUMBER($G265),$G265,$F265)&gt;=DATE(PlanYear,3,1)),1,0))</f>
        <v>0</v>
      </c>
      <c r="R265">
        <f>IF($N265=0,0,IF(AND($F265&lt;=EOMONTH(DATE(PlanYear,4,1),0),IF(ISNUMBER($G265),$G265,$F265)&gt;=DATE(PlanYear,4,1)),1,0))</f>
        <v>0</v>
      </c>
      <c r="S265">
        <f>IF($N265=0,0,IF(AND($F265&lt;=EOMONTH(DATE(PlanYear,5,1),0),IF(ISNUMBER($G265),$G265,$F265)&gt;=DATE(PlanYear,5,1)),1,0))</f>
        <v>0</v>
      </c>
      <c r="T265">
        <f>IF($N265=0,0,IF(AND($F265&lt;=EOMONTH(DATE(PlanYear,6,1),0),IF(ISNUMBER($G265),$G265,$F265)&gt;=DATE(PlanYear,6,1)),1,0))</f>
        <v>0</v>
      </c>
      <c r="U265">
        <f>IF($N265=0,0,IF(AND($F265&lt;=EOMONTH(DATE(PlanYear,7,1),0),IF(ISNUMBER($G265),$G265,$F265)&gt;=DATE(PlanYear,7,1)),1,0))</f>
        <v>0</v>
      </c>
      <c r="V265">
        <f>IF($N265=0,0,IF(AND($F265&lt;=EOMONTH(DATE(PlanYear,8,1),0),IF(ISNUMBER($G265),$G265,$F265)&gt;=DATE(PlanYear,8,1)),1,0))</f>
        <v>0</v>
      </c>
      <c r="W265">
        <f>IF($N265=0,0,IF(AND($F265&lt;=EOMONTH(DATE(PlanYear,9,1),0),IF(ISNUMBER($G265),$G265,$F265)&gt;=DATE(PlanYear,9,1)),1,0))</f>
        <v>0</v>
      </c>
      <c r="X265">
        <f>IF($N265=0,0,IF(AND($F265&lt;=EOMONTH(DATE(PlanYear,10,1),0),IF(ISNUMBER($G265),$G265,$F265)&gt;=DATE(PlanYear,10,1)),1,0))</f>
        <v>0</v>
      </c>
      <c r="Y265">
        <f>IF($N265=0,0,IF(AND($F265&lt;=EOMONTH(DATE(PlanYear,11,1),0),IF(ISNUMBER($G265),$G265,$F265)&gt;=DATE(PlanYear,11,1)),1,0))</f>
        <v>0</v>
      </c>
      <c r="Z265">
        <f>IF($N265=0,0,IF(AND($F265&lt;=EOMONTH(DATE(PlanYear,12,1),0),IF(ISNUMBER($G265),$G265,$F265)&gt;=DATE(PlanYear,12,1)),1,0))</f>
        <v>0</v>
      </c>
      <c r="AA265">
        <f>SUM($O265:$Z265)</f>
        <v>0</v>
      </c>
    </row>
    <row r="266" spans="1:27">
      <c r="A266" s="42">
        <f>IF($B266="","","ACT-"&amp;TEXT(ROW()-4,"000"))</f>
        <v>0</v>
      </c>
      <c r="M266" s="43">
        <f>IF(COUNTA($B266:$K266)=0,"",IF($B266="","Missing activity name",IF($C266="","Missing practice",IF(COUNTIF(PracticeNames,$C266)=0,"Practice not in Lists",IF($D266="","Missing motion",IF(NOT(ISNUMBER($F266)),"Missing or invalid start date",IF(AND(ISNUMBER($G266),$G266&lt;$F266),"End date before start",IF(AND($N266=1,$AA266=0),"Outside planning year","OK"))))))))</f>
        <v>0</v>
      </c>
      <c r="N266">
        <f>IF(AND($B266&lt;&gt;"",$C266&lt;&gt;"",$D266&lt;&gt;"",ISNUMBER($F266),COUNTIF(PracticeNames,$C266)&gt;0,COUNTIF(MotionNames,$D266)&gt;0,NOT(AND(ISNUMBER($G266),$G266&lt;$F266))),IF(StatusFilter="All (excl. Cancelled)",IF($H266="Cancelled",0,1),IF(StatusFilter="All",1,IF($H266=StatusFilter,1,0))),0)</f>
        <v>0</v>
      </c>
      <c r="O266">
        <f>IF($N266=0,0,IF(AND($F266&lt;=EOMONTH(DATE(PlanYear,1,1),0),IF(ISNUMBER($G266),$G266,$F266)&gt;=DATE(PlanYear,1,1)),1,0))</f>
        <v>0</v>
      </c>
      <c r="P266">
        <f>IF($N266=0,0,IF(AND($F266&lt;=EOMONTH(DATE(PlanYear,2,1),0),IF(ISNUMBER($G266),$G266,$F266)&gt;=DATE(PlanYear,2,1)),1,0))</f>
        <v>0</v>
      </c>
      <c r="Q266">
        <f>IF($N266=0,0,IF(AND($F266&lt;=EOMONTH(DATE(PlanYear,3,1),0),IF(ISNUMBER($G266),$G266,$F266)&gt;=DATE(PlanYear,3,1)),1,0))</f>
        <v>0</v>
      </c>
      <c r="R266">
        <f>IF($N266=0,0,IF(AND($F266&lt;=EOMONTH(DATE(PlanYear,4,1),0),IF(ISNUMBER($G266),$G266,$F266)&gt;=DATE(PlanYear,4,1)),1,0))</f>
        <v>0</v>
      </c>
      <c r="S266">
        <f>IF($N266=0,0,IF(AND($F266&lt;=EOMONTH(DATE(PlanYear,5,1),0),IF(ISNUMBER($G266),$G266,$F266)&gt;=DATE(PlanYear,5,1)),1,0))</f>
        <v>0</v>
      </c>
      <c r="T266">
        <f>IF($N266=0,0,IF(AND($F266&lt;=EOMONTH(DATE(PlanYear,6,1),0),IF(ISNUMBER($G266),$G266,$F266)&gt;=DATE(PlanYear,6,1)),1,0))</f>
        <v>0</v>
      </c>
      <c r="U266">
        <f>IF($N266=0,0,IF(AND($F266&lt;=EOMONTH(DATE(PlanYear,7,1),0),IF(ISNUMBER($G266),$G266,$F266)&gt;=DATE(PlanYear,7,1)),1,0))</f>
        <v>0</v>
      </c>
      <c r="V266">
        <f>IF($N266=0,0,IF(AND($F266&lt;=EOMONTH(DATE(PlanYear,8,1),0),IF(ISNUMBER($G266),$G266,$F266)&gt;=DATE(PlanYear,8,1)),1,0))</f>
        <v>0</v>
      </c>
      <c r="W266">
        <f>IF($N266=0,0,IF(AND($F266&lt;=EOMONTH(DATE(PlanYear,9,1),0),IF(ISNUMBER($G266),$G266,$F266)&gt;=DATE(PlanYear,9,1)),1,0))</f>
        <v>0</v>
      </c>
      <c r="X266">
        <f>IF($N266=0,0,IF(AND($F266&lt;=EOMONTH(DATE(PlanYear,10,1),0),IF(ISNUMBER($G266),$G266,$F266)&gt;=DATE(PlanYear,10,1)),1,0))</f>
        <v>0</v>
      </c>
      <c r="Y266">
        <f>IF($N266=0,0,IF(AND($F266&lt;=EOMONTH(DATE(PlanYear,11,1),0),IF(ISNUMBER($G266),$G266,$F266)&gt;=DATE(PlanYear,11,1)),1,0))</f>
        <v>0</v>
      </c>
      <c r="Z266">
        <f>IF($N266=0,0,IF(AND($F266&lt;=EOMONTH(DATE(PlanYear,12,1),0),IF(ISNUMBER($G266),$G266,$F266)&gt;=DATE(PlanYear,12,1)),1,0))</f>
        <v>0</v>
      </c>
      <c r="AA266">
        <f>SUM($O266:$Z266)</f>
        <v>0</v>
      </c>
    </row>
    <row r="267" spans="1:27">
      <c r="A267" s="42">
        <f>IF($B267="","","ACT-"&amp;TEXT(ROW()-4,"000"))</f>
        <v>0</v>
      </c>
      <c r="M267" s="43">
        <f>IF(COUNTA($B267:$K267)=0,"",IF($B267="","Missing activity name",IF($C267="","Missing practice",IF(COUNTIF(PracticeNames,$C267)=0,"Practice not in Lists",IF($D267="","Missing motion",IF(NOT(ISNUMBER($F267)),"Missing or invalid start date",IF(AND(ISNUMBER($G267),$G267&lt;$F267),"End date before start",IF(AND($N267=1,$AA267=0),"Outside planning year","OK"))))))))</f>
        <v>0</v>
      </c>
      <c r="N267">
        <f>IF(AND($B267&lt;&gt;"",$C267&lt;&gt;"",$D267&lt;&gt;"",ISNUMBER($F267),COUNTIF(PracticeNames,$C267)&gt;0,COUNTIF(MotionNames,$D267)&gt;0,NOT(AND(ISNUMBER($G267),$G267&lt;$F267))),IF(StatusFilter="All (excl. Cancelled)",IF($H267="Cancelled",0,1),IF(StatusFilter="All",1,IF($H267=StatusFilter,1,0))),0)</f>
        <v>0</v>
      </c>
      <c r="O267">
        <f>IF($N267=0,0,IF(AND($F267&lt;=EOMONTH(DATE(PlanYear,1,1),0),IF(ISNUMBER($G267),$G267,$F267)&gt;=DATE(PlanYear,1,1)),1,0))</f>
        <v>0</v>
      </c>
      <c r="P267">
        <f>IF($N267=0,0,IF(AND($F267&lt;=EOMONTH(DATE(PlanYear,2,1),0),IF(ISNUMBER($G267),$G267,$F267)&gt;=DATE(PlanYear,2,1)),1,0))</f>
        <v>0</v>
      </c>
      <c r="Q267">
        <f>IF($N267=0,0,IF(AND($F267&lt;=EOMONTH(DATE(PlanYear,3,1),0),IF(ISNUMBER($G267),$G267,$F267)&gt;=DATE(PlanYear,3,1)),1,0))</f>
        <v>0</v>
      </c>
      <c r="R267">
        <f>IF($N267=0,0,IF(AND($F267&lt;=EOMONTH(DATE(PlanYear,4,1),0),IF(ISNUMBER($G267),$G267,$F267)&gt;=DATE(PlanYear,4,1)),1,0))</f>
        <v>0</v>
      </c>
      <c r="S267">
        <f>IF($N267=0,0,IF(AND($F267&lt;=EOMONTH(DATE(PlanYear,5,1),0),IF(ISNUMBER($G267),$G267,$F267)&gt;=DATE(PlanYear,5,1)),1,0))</f>
        <v>0</v>
      </c>
      <c r="T267">
        <f>IF($N267=0,0,IF(AND($F267&lt;=EOMONTH(DATE(PlanYear,6,1),0),IF(ISNUMBER($G267),$G267,$F267)&gt;=DATE(PlanYear,6,1)),1,0))</f>
        <v>0</v>
      </c>
      <c r="U267">
        <f>IF($N267=0,0,IF(AND($F267&lt;=EOMONTH(DATE(PlanYear,7,1),0),IF(ISNUMBER($G267),$G267,$F267)&gt;=DATE(PlanYear,7,1)),1,0))</f>
        <v>0</v>
      </c>
      <c r="V267">
        <f>IF($N267=0,0,IF(AND($F267&lt;=EOMONTH(DATE(PlanYear,8,1),0),IF(ISNUMBER($G267),$G267,$F267)&gt;=DATE(PlanYear,8,1)),1,0))</f>
        <v>0</v>
      </c>
      <c r="W267">
        <f>IF($N267=0,0,IF(AND($F267&lt;=EOMONTH(DATE(PlanYear,9,1),0),IF(ISNUMBER($G267),$G267,$F267)&gt;=DATE(PlanYear,9,1)),1,0))</f>
        <v>0</v>
      </c>
      <c r="X267">
        <f>IF($N267=0,0,IF(AND($F267&lt;=EOMONTH(DATE(PlanYear,10,1),0),IF(ISNUMBER($G267),$G267,$F267)&gt;=DATE(PlanYear,10,1)),1,0))</f>
        <v>0</v>
      </c>
      <c r="Y267">
        <f>IF($N267=0,0,IF(AND($F267&lt;=EOMONTH(DATE(PlanYear,11,1),0),IF(ISNUMBER($G267),$G267,$F267)&gt;=DATE(PlanYear,11,1)),1,0))</f>
        <v>0</v>
      </c>
      <c r="Z267">
        <f>IF($N267=0,0,IF(AND($F267&lt;=EOMONTH(DATE(PlanYear,12,1),0),IF(ISNUMBER($G267),$G267,$F267)&gt;=DATE(PlanYear,12,1)),1,0))</f>
        <v>0</v>
      </c>
      <c r="AA267">
        <f>SUM($O267:$Z267)</f>
        <v>0</v>
      </c>
    </row>
    <row r="268" spans="1:27">
      <c r="A268" s="42">
        <f>IF($B268="","","ACT-"&amp;TEXT(ROW()-4,"000"))</f>
        <v>0</v>
      </c>
      <c r="M268" s="43">
        <f>IF(COUNTA($B268:$K268)=0,"",IF($B268="","Missing activity name",IF($C268="","Missing practice",IF(COUNTIF(PracticeNames,$C268)=0,"Practice not in Lists",IF($D268="","Missing motion",IF(NOT(ISNUMBER($F268)),"Missing or invalid start date",IF(AND(ISNUMBER($G268),$G268&lt;$F268),"End date before start",IF(AND($N268=1,$AA268=0),"Outside planning year","OK"))))))))</f>
        <v>0</v>
      </c>
      <c r="N268">
        <f>IF(AND($B268&lt;&gt;"",$C268&lt;&gt;"",$D268&lt;&gt;"",ISNUMBER($F268),COUNTIF(PracticeNames,$C268)&gt;0,COUNTIF(MotionNames,$D268)&gt;0,NOT(AND(ISNUMBER($G268),$G268&lt;$F268))),IF(StatusFilter="All (excl. Cancelled)",IF($H268="Cancelled",0,1),IF(StatusFilter="All",1,IF($H268=StatusFilter,1,0))),0)</f>
        <v>0</v>
      </c>
      <c r="O268">
        <f>IF($N268=0,0,IF(AND($F268&lt;=EOMONTH(DATE(PlanYear,1,1),0),IF(ISNUMBER($G268),$G268,$F268)&gt;=DATE(PlanYear,1,1)),1,0))</f>
        <v>0</v>
      </c>
      <c r="P268">
        <f>IF($N268=0,0,IF(AND($F268&lt;=EOMONTH(DATE(PlanYear,2,1),0),IF(ISNUMBER($G268),$G268,$F268)&gt;=DATE(PlanYear,2,1)),1,0))</f>
        <v>0</v>
      </c>
      <c r="Q268">
        <f>IF($N268=0,0,IF(AND($F268&lt;=EOMONTH(DATE(PlanYear,3,1),0),IF(ISNUMBER($G268),$G268,$F268)&gt;=DATE(PlanYear,3,1)),1,0))</f>
        <v>0</v>
      </c>
      <c r="R268">
        <f>IF($N268=0,0,IF(AND($F268&lt;=EOMONTH(DATE(PlanYear,4,1),0),IF(ISNUMBER($G268),$G268,$F268)&gt;=DATE(PlanYear,4,1)),1,0))</f>
        <v>0</v>
      </c>
      <c r="S268">
        <f>IF($N268=0,0,IF(AND($F268&lt;=EOMONTH(DATE(PlanYear,5,1),0),IF(ISNUMBER($G268),$G268,$F268)&gt;=DATE(PlanYear,5,1)),1,0))</f>
        <v>0</v>
      </c>
      <c r="T268">
        <f>IF($N268=0,0,IF(AND($F268&lt;=EOMONTH(DATE(PlanYear,6,1),0),IF(ISNUMBER($G268),$G268,$F268)&gt;=DATE(PlanYear,6,1)),1,0))</f>
        <v>0</v>
      </c>
      <c r="U268">
        <f>IF($N268=0,0,IF(AND($F268&lt;=EOMONTH(DATE(PlanYear,7,1),0),IF(ISNUMBER($G268),$G268,$F268)&gt;=DATE(PlanYear,7,1)),1,0))</f>
        <v>0</v>
      </c>
      <c r="V268">
        <f>IF($N268=0,0,IF(AND($F268&lt;=EOMONTH(DATE(PlanYear,8,1),0),IF(ISNUMBER($G268),$G268,$F268)&gt;=DATE(PlanYear,8,1)),1,0))</f>
        <v>0</v>
      </c>
      <c r="W268">
        <f>IF($N268=0,0,IF(AND($F268&lt;=EOMONTH(DATE(PlanYear,9,1),0),IF(ISNUMBER($G268),$G268,$F268)&gt;=DATE(PlanYear,9,1)),1,0))</f>
        <v>0</v>
      </c>
      <c r="X268">
        <f>IF($N268=0,0,IF(AND($F268&lt;=EOMONTH(DATE(PlanYear,10,1),0),IF(ISNUMBER($G268),$G268,$F268)&gt;=DATE(PlanYear,10,1)),1,0))</f>
        <v>0</v>
      </c>
      <c r="Y268">
        <f>IF($N268=0,0,IF(AND($F268&lt;=EOMONTH(DATE(PlanYear,11,1),0),IF(ISNUMBER($G268),$G268,$F268)&gt;=DATE(PlanYear,11,1)),1,0))</f>
        <v>0</v>
      </c>
      <c r="Z268">
        <f>IF($N268=0,0,IF(AND($F268&lt;=EOMONTH(DATE(PlanYear,12,1),0),IF(ISNUMBER($G268),$G268,$F268)&gt;=DATE(PlanYear,12,1)),1,0))</f>
        <v>0</v>
      </c>
      <c r="AA268">
        <f>SUM($O268:$Z268)</f>
        <v>0</v>
      </c>
    </row>
    <row r="269" spans="1:27">
      <c r="A269" s="42">
        <f>IF($B269="","","ACT-"&amp;TEXT(ROW()-4,"000"))</f>
        <v>0</v>
      </c>
      <c r="M269" s="43">
        <f>IF(COUNTA($B269:$K269)=0,"",IF($B269="","Missing activity name",IF($C269="","Missing practice",IF(COUNTIF(PracticeNames,$C269)=0,"Practice not in Lists",IF($D269="","Missing motion",IF(NOT(ISNUMBER($F269)),"Missing or invalid start date",IF(AND(ISNUMBER($G269),$G269&lt;$F269),"End date before start",IF(AND($N269=1,$AA269=0),"Outside planning year","OK"))))))))</f>
        <v>0</v>
      </c>
      <c r="N269">
        <f>IF(AND($B269&lt;&gt;"",$C269&lt;&gt;"",$D269&lt;&gt;"",ISNUMBER($F269),COUNTIF(PracticeNames,$C269)&gt;0,COUNTIF(MotionNames,$D269)&gt;0,NOT(AND(ISNUMBER($G269),$G269&lt;$F269))),IF(StatusFilter="All (excl. Cancelled)",IF($H269="Cancelled",0,1),IF(StatusFilter="All",1,IF($H269=StatusFilter,1,0))),0)</f>
        <v>0</v>
      </c>
      <c r="O269">
        <f>IF($N269=0,0,IF(AND($F269&lt;=EOMONTH(DATE(PlanYear,1,1),0),IF(ISNUMBER($G269),$G269,$F269)&gt;=DATE(PlanYear,1,1)),1,0))</f>
        <v>0</v>
      </c>
      <c r="P269">
        <f>IF($N269=0,0,IF(AND($F269&lt;=EOMONTH(DATE(PlanYear,2,1),0),IF(ISNUMBER($G269),$G269,$F269)&gt;=DATE(PlanYear,2,1)),1,0))</f>
        <v>0</v>
      </c>
      <c r="Q269">
        <f>IF($N269=0,0,IF(AND($F269&lt;=EOMONTH(DATE(PlanYear,3,1),0),IF(ISNUMBER($G269),$G269,$F269)&gt;=DATE(PlanYear,3,1)),1,0))</f>
        <v>0</v>
      </c>
      <c r="R269">
        <f>IF($N269=0,0,IF(AND($F269&lt;=EOMONTH(DATE(PlanYear,4,1),0),IF(ISNUMBER($G269),$G269,$F269)&gt;=DATE(PlanYear,4,1)),1,0))</f>
        <v>0</v>
      </c>
      <c r="S269">
        <f>IF($N269=0,0,IF(AND($F269&lt;=EOMONTH(DATE(PlanYear,5,1),0),IF(ISNUMBER($G269),$G269,$F269)&gt;=DATE(PlanYear,5,1)),1,0))</f>
        <v>0</v>
      </c>
      <c r="T269">
        <f>IF($N269=0,0,IF(AND($F269&lt;=EOMONTH(DATE(PlanYear,6,1),0),IF(ISNUMBER($G269),$G269,$F269)&gt;=DATE(PlanYear,6,1)),1,0))</f>
        <v>0</v>
      </c>
      <c r="U269">
        <f>IF($N269=0,0,IF(AND($F269&lt;=EOMONTH(DATE(PlanYear,7,1),0),IF(ISNUMBER($G269),$G269,$F269)&gt;=DATE(PlanYear,7,1)),1,0))</f>
        <v>0</v>
      </c>
      <c r="V269">
        <f>IF($N269=0,0,IF(AND($F269&lt;=EOMONTH(DATE(PlanYear,8,1),0),IF(ISNUMBER($G269),$G269,$F269)&gt;=DATE(PlanYear,8,1)),1,0))</f>
        <v>0</v>
      </c>
      <c r="W269">
        <f>IF($N269=0,0,IF(AND($F269&lt;=EOMONTH(DATE(PlanYear,9,1),0),IF(ISNUMBER($G269),$G269,$F269)&gt;=DATE(PlanYear,9,1)),1,0))</f>
        <v>0</v>
      </c>
      <c r="X269">
        <f>IF($N269=0,0,IF(AND($F269&lt;=EOMONTH(DATE(PlanYear,10,1),0),IF(ISNUMBER($G269),$G269,$F269)&gt;=DATE(PlanYear,10,1)),1,0))</f>
        <v>0</v>
      </c>
      <c r="Y269">
        <f>IF($N269=0,0,IF(AND($F269&lt;=EOMONTH(DATE(PlanYear,11,1),0),IF(ISNUMBER($G269),$G269,$F269)&gt;=DATE(PlanYear,11,1)),1,0))</f>
        <v>0</v>
      </c>
      <c r="Z269">
        <f>IF($N269=0,0,IF(AND($F269&lt;=EOMONTH(DATE(PlanYear,12,1),0),IF(ISNUMBER($G269),$G269,$F269)&gt;=DATE(PlanYear,12,1)),1,0))</f>
        <v>0</v>
      </c>
      <c r="AA269">
        <f>SUM($O269:$Z269)</f>
        <v>0</v>
      </c>
    </row>
    <row r="270" spans="1:27">
      <c r="A270" s="42">
        <f>IF($B270="","","ACT-"&amp;TEXT(ROW()-4,"000"))</f>
        <v>0</v>
      </c>
      <c r="M270" s="43">
        <f>IF(COUNTA($B270:$K270)=0,"",IF($B270="","Missing activity name",IF($C270="","Missing practice",IF(COUNTIF(PracticeNames,$C270)=0,"Practice not in Lists",IF($D270="","Missing motion",IF(NOT(ISNUMBER($F270)),"Missing or invalid start date",IF(AND(ISNUMBER($G270),$G270&lt;$F270),"End date before start",IF(AND($N270=1,$AA270=0),"Outside planning year","OK"))))))))</f>
        <v>0</v>
      </c>
      <c r="N270">
        <f>IF(AND($B270&lt;&gt;"",$C270&lt;&gt;"",$D270&lt;&gt;"",ISNUMBER($F270),COUNTIF(PracticeNames,$C270)&gt;0,COUNTIF(MotionNames,$D270)&gt;0,NOT(AND(ISNUMBER($G270),$G270&lt;$F270))),IF(StatusFilter="All (excl. Cancelled)",IF($H270="Cancelled",0,1),IF(StatusFilter="All",1,IF($H270=StatusFilter,1,0))),0)</f>
        <v>0</v>
      </c>
      <c r="O270">
        <f>IF($N270=0,0,IF(AND($F270&lt;=EOMONTH(DATE(PlanYear,1,1),0),IF(ISNUMBER($G270),$G270,$F270)&gt;=DATE(PlanYear,1,1)),1,0))</f>
        <v>0</v>
      </c>
      <c r="P270">
        <f>IF($N270=0,0,IF(AND($F270&lt;=EOMONTH(DATE(PlanYear,2,1),0),IF(ISNUMBER($G270),$G270,$F270)&gt;=DATE(PlanYear,2,1)),1,0))</f>
        <v>0</v>
      </c>
      <c r="Q270">
        <f>IF($N270=0,0,IF(AND($F270&lt;=EOMONTH(DATE(PlanYear,3,1),0),IF(ISNUMBER($G270),$G270,$F270)&gt;=DATE(PlanYear,3,1)),1,0))</f>
        <v>0</v>
      </c>
      <c r="R270">
        <f>IF($N270=0,0,IF(AND($F270&lt;=EOMONTH(DATE(PlanYear,4,1),0),IF(ISNUMBER($G270),$G270,$F270)&gt;=DATE(PlanYear,4,1)),1,0))</f>
        <v>0</v>
      </c>
      <c r="S270">
        <f>IF($N270=0,0,IF(AND($F270&lt;=EOMONTH(DATE(PlanYear,5,1),0),IF(ISNUMBER($G270),$G270,$F270)&gt;=DATE(PlanYear,5,1)),1,0))</f>
        <v>0</v>
      </c>
      <c r="T270">
        <f>IF($N270=0,0,IF(AND($F270&lt;=EOMONTH(DATE(PlanYear,6,1),0),IF(ISNUMBER($G270),$G270,$F270)&gt;=DATE(PlanYear,6,1)),1,0))</f>
        <v>0</v>
      </c>
      <c r="U270">
        <f>IF($N270=0,0,IF(AND($F270&lt;=EOMONTH(DATE(PlanYear,7,1),0),IF(ISNUMBER($G270),$G270,$F270)&gt;=DATE(PlanYear,7,1)),1,0))</f>
        <v>0</v>
      </c>
      <c r="V270">
        <f>IF($N270=0,0,IF(AND($F270&lt;=EOMONTH(DATE(PlanYear,8,1),0),IF(ISNUMBER($G270),$G270,$F270)&gt;=DATE(PlanYear,8,1)),1,0))</f>
        <v>0</v>
      </c>
      <c r="W270">
        <f>IF($N270=0,0,IF(AND($F270&lt;=EOMONTH(DATE(PlanYear,9,1),0),IF(ISNUMBER($G270),$G270,$F270)&gt;=DATE(PlanYear,9,1)),1,0))</f>
        <v>0</v>
      </c>
      <c r="X270">
        <f>IF($N270=0,0,IF(AND($F270&lt;=EOMONTH(DATE(PlanYear,10,1),0),IF(ISNUMBER($G270),$G270,$F270)&gt;=DATE(PlanYear,10,1)),1,0))</f>
        <v>0</v>
      </c>
      <c r="Y270">
        <f>IF($N270=0,0,IF(AND($F270&lt;=EOMONTH(DATE(PlanYear,11,1),0),IF(ISNUMBER($G270),$G270,$F270)&gt;=DATE(PlanYear,11,1)),1,0))</f>
        <v>0</v>
      </c>
      <c r="Z270">
        <f>IF($N270=0,0,IF(AND($F270&lt;=EOMONTH(DATE(PlanYear,12,1),0),IF(ISNUMBER($G270),$G270,$F270)&gt;=DATE(PlanYear,12,1)),1,0))</f>
        <v>0</v>
      </c>
      <c r="AA270">
        <f>SUM($O270:$Z270)</f>
        <v>0</v>
      </c>
    </row>
    <row r="271" spans="1:27">
      <c r="A271" s="42">
        <f>IF($B271="","","ACT-"&amp;TEXT(ROW()-4,"000"))</f>
        <v>0</v>
      </c>
      <c r="M271" s="43">
        <f>IF(COUNTA($B271:$K271)=0,"",IF($B271="","Missing activity name",IF($C271="","Missing practice",IF(COUNTIF(PracticeNames,$C271)=0,"Practice not in Lists",IF($D271="","Missing motion",IF(NOT(ISNUMBER($F271)),"Missing or invalid start date",IF(AND(ISNUMBER($G271),$G271&lt;$F271),"End date before start",IF(AND($N271=1,$AA271=0),"Outside planning year","OK"))))))))</f>
        <v>0</v>
      </c>
      <c r="N271">
        <f>IF(AND($B271&lt;&gt;"",$C271&lt;&gt;"",$D271&lt;&gt;"",ISNUMBER($F271),COUNTIF(PracticeNames,$C271)&gt;0,COUNTIF(MotionNames,$D271)&gt;0,NOT(AND(ISNUMBER($G271),$G271&lt;$F271))),IF(StatusFilter="All (excl. Cancelled)",IF($H271="Cancelled",0,1),IF(StatusFilter="All",1,IF($H271=StatusFilter,1,0))),0)</f>
        <v>0</v>
      </c>
      <c r="O271">
        <f>IF($N271=0,0,IF(AND($F271&lt;=EOMONTH(DATE(PlanYear,1,1),0),IF(ISNUMBER($G271),$G271,$F271)&gt;=DATE(PlanYear,1,1)),1,0))</f>
        <v>0</v>
      </c>
      <c r="P271">
        <f>IF($N271=0,0,IF(AND($F271&lt;=EOMONTH(DATE(PlanYear,2,1),0),IF(ISNUMBER($G271),$G271,$F271)&gt;=DATE(PlanYear,2,1)),1,0))</f>
        <v>0</v>
      </c>
      <c r="Q271">
        <f>IF($N271=0,0,IF(AND($F271&lt;=EOMONTH(DATE(PlanYear,3,1),0),IF(ISNUMBER($G271),$G271,$F271)&gt;=DATE(PlanYear,3,1)),1,0))</f>
        <v>0</v>
      </c>
      <c r="R271">
        <f>IF($N271=0,0,IF(AND($F271&lt;=EOMONTH(DATE(PlanYear,4,1),0),IF(ISNUMBER($G271),$G271,$F271)&gt;=DATE(PlanYear,4,1)),1,0))</f>
        <v>0</v>
      </c>
      <c r="S271">
        <f>IF($N271=0,0,IF(AND($F271&lt;=EOMONTH(DATE(PlanYear,5,1),0),IF(ISNUMBER($G271),$G271,$F271)&gt;=DATE(PlanYear,5,1)),1,0))</f>
        <v>0</v>
      </c>
      <c r="T271">
        <f>IF($N271=0,0,IF(AND($F271&lt;=EOMONTH(DATE(PlanYear,6,1),0),IF(ISNUMBER($G271),$G271,$F271)&gt;=DATE(PlanYear,6,1)),1,0))</f>
        <v>0</v>
      </c>
      <c r="U271">
        <f>IF($N271=0,0,IF(AND($F271&lt;=EOMONTH(DATE(PlanYear,7,1),0),IF(ISNUMBER($G271),$G271,$F271)&gt;=DATE(PlanYear,7,1)),1,0))</f>
        <v>0</v>
      </c>
      <c r="V271">
        <f>IF($N271=0,0,IF(AND($F271&lt;=EOMONTH(DATE(PlanYear,8,1),0),IF(ISNUMBER($G271),$G271,$F271)&gt;=DATE(PlanYear,8,1)),1,0))</f>
        <v>0</v>
      </c>
      <c r="W271">
        <f>IF($N271=0,0,IF(AND($F271&lt;=EOMONTH(DATE(PlanYear,9,1),0),IF(ISNUMBER($G271),$G271,$F271)&gt;=DATE(PlanYear,9,1)),1,0))</f>
        <v>0</v>
      </c>
      <c r="X271">
        <f>IF($N271=0,0,IF(AND($F271&lt;=EOMONTH(DATE(PlanYear,10,1),0),IF(ISNUMBER($G271),$G271,$F271)&gt;=DATE(PlanYear,10,1)),1,0))</f>
        <v>0</v>
      </c>
      <c r="Y271">
        <f>IF($N271=0,0,IF(AND($F271&lt;=EOMONTH(DATE(PlanYear,11,1),0),IF(ISNUMBER($G271),$G271,$F271)&gt;=DATE(PlanYear,11,1)),1,0))</f>
        <v>0</v>
      </c>
      <c r="Z271">
        <f>IF($N271=0,0,IF(AND($F271&lt;=EOMONTH(DATE(PlanYear,12,1),0),IF(ISNUMBER($G271),$G271,$F271)&gt;=DATE(PlanYear,12,1)),1,0))</f>
        <v>0</v>
      </c>
      <c r="AA271">
        <f>SUM($O271:$Z271)</f>
        <v>0</v>
      </c>
    </row>
    <row r="272" spans="1:27">
      <c r="A272" s="42">
        <f>IF($B272="","","ACT-"&amp;TEXT(ROW()-4,"000"))</f>
        <v>0</v>
      </c>
      <c r="M272" s="43">
        <f>IF(COUNTA($B272:$K272)=0,"",IF($B272="","Missing activity name",IF($C272="","Missing practice",IF(COUNTIF(PracticeNames,$C272)=0,"Practice not in Lists",IF($D272="","Missing motion",IF(NOT(ISNUMBER($F272)),"Missing or invalid start date",IF(AND(ISNUMBER($G272),$G272&lt;$F272),"End date before start",IF(AND($N272=1,$AA272=0),"Outside planning year","OK"))))))))</f>
        <v>0</v>
      </c>
      <c r="N272">
        <f>IF(AND($B272&lt;&gt;"",$C272&lt;&gt;"",$D272&lt;&gt;"",ISNUMBER($F272),COUNTIF(PracticeNames,$C272)&gt;0,COUNTIF(MotionNames,$D272)&gt;0,NOT(AND(ISNUMBER($G272),$G272&lt;$F272))),IF(StatusFilter="All (excl. Cancelled)",IF($H272="Cancelled",0,1),IF(StatusFilter="All",1,IF($H272=StatusFilter,1,0))),0)</f>
        <v>0</v>
      </c>
      <c r="O272">
        <f>IF($N272=0,0,IF(AND($F272&lt;=EOMONTH(DATE(PlanYear,1,1),0),IF(ISNUMBER($G272),$G272,$F272)&gt;=DATE(PlanYear,1,1)),1,0))</f>
        <v>0</v>
      </c>
      <c r="P272">
        <f>IF($N272=0,0,IF(AND($F272&lt;=EOMONTH(DATE(PlanYear,2,1),0),IF(ISNUMBER($G272),$G272,$F272)&gt;=DATE(PlanYear,2,1)),1,0))</f>
        <v>0</v>
      </c>
      <c r="Q272">
        <f>IF($N272=0,0,IF(AND($F272&lt;=EOMONTH(DATE(PlanYear,3,1),0),IF(ISNUMBER($G272),$G272,$F272)&gt;=DATE(PlanYear,3,1)),1,0))</f>
        <v>0</v>
      </c>
      <c r="R272">
        <f>IF($N272=0,0,IF(AND($F272&lt;=EOMONTH(DATE(PlanYear,4,1),0),IF(ISNUMBER($G272),$G272,$F272)&gt;=DATE(PlanYear,4,1)),1,0))</f>
        <v>0</v>
      </c>
      <c r="S272">
        <f>IF($N272=0,0,IF(AND($F272&lt;=EOMONTH(DATE(PlanYear,5,1),0),IF(ISNUMBER($G272),$G272,$F272)&gt;=DATE(PlanYear,5,1)),1,0))</f>
        <v>0</v>
      </c>
      <c r="T272">
        <f>IF($N272=0,0,IF(AND($F272&lt;=EOMONTH(DATE(PlanYear,6,1),0),IF(ISNUMBER($G272),$G272,$F272)&gt;=DATE(PlanYear,6,1)),1,0))</f>
        <v>0</v>
      </c>
      <c r="U272">
        <f>IF($N272=0,0,IF(AND($F272&lt;=EOMONTH(DATE(PlanYear,7,1),0),IF(ISNUMBER($G272),$G272,$F272)&gt;=DATE(PlanYear,7,1)),1,0))</f>
        <v>0</v>
      </c>
      <c r="V272">
        <f>IF($N272=0,0,IF(AND($F272&lt;=EOMONTH(DATE(PlanYear,8,1),0),IF(ISNUMBER($G272),$G272,$F272)&gt;=DATE(PlanYear,8,1)),1,0))</f>
        <v>0</v>
      </c>
      <c r="W272">
        <f>IF($N272=0,0,IF(AND($F272&lt;=EOMONTH(DATE(PlanYear,9,1),0),IF(ISNUMBER($G272),$G272,$F272)&gt;=DATE(PlanYear,9,1)),1,0))</f>
        <v>0</v>
      </c>
      <c r="X272">
        <f>IF($N272=0,0,IF(AND($F272&lt;=EOMONTH(DATE(PlanYear,10,1),0),IF(ISNUMBER($G272),$G272,$F272)&gt;=DATE(PlanYear,10,1)),1,0))</f>
        <v>0</v>
      </c>
      <c r="Y272">
        <f>IF($N272=0,0,IF(AND($F272&lt;=EOMONTH(DATE(PlanYear,11,1),0),IF(ISNUMBER($G272),$G272,$F272)&gt;=DATE(PlanYear,11,1)),1,0))</f>
        <v>0</v>
      </c>
      <c r="Z272">
        <f>IF($N272=0,0,IF(AND($F272&lt;=EOMONTH(DATE(PlanYear,12,1),0),IF(ISNUMBER($G272),$G272,$F272)&gt;=DATE(PlanYear,12,1)),1,0))</f>
        <v>0</v>
      </c>
      <c r="AA272">
        <f>SUM($O272:$Z272)</f>
        <v>0</v>
      </c>
    </row>
    <row r="273" spans="1:27">
      <c r="A273" s="42">
        <f>IF($B273="","","ACT-"&amp;TEXT(ROW()-4,"000"))</f>
        <v>0</v>
      </c>
      <c r="M273" s="43">
        <f>IF(COUNTA($B273:$K273)=0,"",IF($B273="","Missing activity name",IF($C273="","Missing practice",IF(COUNTIF(PracticeNames,$C273)=0,"Practice not in Lists",IF($D273="","Missing motion",IF(NOT(ISNUMBER($F273)),"Missing or invalid start date",IF(AND(ISNUMBER($G273),$G273&lt;$F273),"End date before start",IF(AND($N273=1,$AA273=0),"Outside planning year","OK"))))))))</f>
        <v>0</v>
      </c>
      <c r="N273">
        <f>IF(AND($B273&lt;&gt;"",$C273&lt;&gt;"",$D273&lt;&gt;"",ISNUMBER($F273),COUNTIF(PracticeNames,$C273)&gt;0,COUNTIF(MotionNames,$D273)&gt;0,NOT(AND(ISNUMBER($G273),$G273&lt;$F273))),IF(StatusFilter="All (excl. Cancelled)",IF($H273="Cancelled",0,1),IF(StatusFilter="All",1,IF($H273=StatusFilter,1,0))),0)</f>
        <v>0</v>
      </c>
      <c r="O273">
        <f>IF($N273=0,0,IF(AND($F273&lt;=EOMONTH(DATE(PlanYear,1,1),0),IF(ISNUMBER($G273),$G273,$F273)&gt;=DATE(PlanYear,1,1)),1,0))</f>
        <v>0</v>
      </c>
      <c r="P273">
        <f>IF($N273=0,0,IF(AND($F273&lt;=EOMONTH(DATE(PlanYear,2,1),0),IF(ISNUMBER($G273),$G273,$F273)&gt;=DATE(PlanYear,2,1)),1,0))</f>
        <v>0</v>
      </c>
      <c r="Q273">
        <f>IF($N273=0,0,IF(AND($F273&lt;=EOMONTH(DATE(PlanYear,3,1),0),IF(ISNUMBER($G273),$G273,$F273)&gt;=DATE(PlanYear,3,1)),1,0))</f>
        <v>0</v>
      </c>
      <c r="R273">
        <f>IF($N273=0,0,IF(AND($F273&lt;=EOMONTH(DATE(PlanYear,4,1),0),IF(ISNUMBER($G273),$G273,$F273)&gt;=DATE(PlanYear,4,1)),1,0))</f>
        <v>0</v>
      </c>
      <c r="S273">
        <f>IF($N273=0,0,IF(AND($F273&lt;=EOMONTH(DATE(PlanYear,5,1),0),IF(ISNUMBER($G273),$G273,$F273)&gt;=DATE(PlanYear,5,1)),1,0))</f>
        <v>0</v>
      </c>
      <c r="T273">
        <f>IF($N273=0,0,IF(AND($F273&lt;=EOMONTH(DATE(PlanYear,6,1),0),IF(ISNUMBER($G273),$G273,$F273)&gt;=DATE(PlanYear,6,1)),1,0))</f>
        <v>0</v>
      </c>
      <c r="U273">
        <f>IF($N273=0,0,IF(AND($F273&lt;=EOMONTH(DATE(PlanYear,7,1),0),IF(ISNUMBER($G273),$G273,$F273)&gt;=DATE(PlanYear,7,1)),1,0))</f>
        <v>0</v>
      </c>
      <c r="V273">
        <f>IF($N273=0,0,IF(AND($F273&lt;=EOMONTH(DATE(PlanYear,8,1),0),IF(ISNUMBER($G273),$G273,$F273)&gt;=DATE(PlanYear,8,1)),1,0))</f>
        <v>0</v>
      </c>
      <c r="W273">
        <f>IF($N273=0,0,IF(AND($F273&lt;=EOMONTH(DATE(PlanYear,9,1),0),IF(ISNUMBER($G273),$G273,$F273)&gt;=DATE(PlanYear,9,1)),1,0))</f>
        <v>0</v>
      </c>
      <c r="X273">
        <f>IF($N273=0,0,IF(AND($F273&lt;=EOMONTH(DATE(PlanYear,10,1),0),IF(ISNUMBER($G273),$G273,$F273)&gt;=DATE(PlanYear,10,1)),1,0))</f>
        <v>0</v>
      </c>
      <c r="Y273">
        <f>IF($N273=0,0,IF(AND($F273&lt;=EOMONTH(DATE(PlanYear,11,1),0),IF(ISNUMBER($G273),$G273,$F273)&gt;=DATE(PlanYear,11,1)),1,0))</f>
        <v>0</v>
      </c>
      <c r="Z273">
        <f>IF($N273=0,0,IF(AND($F273&lt;=EOMONTH(DATE(PlanYear,12,1),0),IF(ISNUMBER($G273),$G273,$F273)&gt;=DATE(PlanYear,12,1)),1,0))</f>
        <v>0</v>
      </c>
      <c r="AA273">
        <f>SUM($O273:$Z273)</f>
        <v>0</v>
      </c>
    </row>
    <row r="274" spans="1:27">
      <c r="A274" s="42">
        <f>IF($B274="","","ACT-"&amp;TEXT(ROW()-4,"000"))</f>
        <v>0</v>
      </c>
      <c r="M274" s="43">
        <f>IF(COUNTA($B274:$K274)=0,"",IF($B274="","Missing activity name",IF($C274="","Missing practice",IF(COUNTIF(PracticeNames,$C274)=0,"Practice not in Lists",IF($D274="","Missing motion",IF(NOT(ISNUMBER($F274)),"Missing or invalid start date",IF(AND(ISNUMBER($G274),$G274&lt;$F274),"End date before start",IF(AND($N274=1,$AA274=0),"Outside planning year","OK"))))))))</f>
        <v>0</v>
      </c>
      <c r="N274">
        <f>IF(AND($B274&lt;&gt;"",$C274&lt;&gt;"",$D274&lt;&gt;"",ISNUMBER($F274),COUNTIF(PracticeNames,$C274)&gt;0,COUNTIF(MotionNames,$D274)&gt;0,NOT(AND(ISNUMBER($G274),$G274&lt;$F274))),IF(StatusFilter="All (excl. Cancelled)",IF($H274="Cancelled",0,1),IF(StatusFilter="All",1,IF($H274=StatusFilter,1,0))),0)</f>
        <v>0</v>
      </c>
      <c r="O274">
        <f>IF($N274=0,0,IF(AND($F274&lt;=EOMONTH(DATE(PlanYear,1,1),0),IF(ISNUMBER($G274),$G274,$F274)&gt;=DATE(PlanYear,1,1)),1,0))</f>
        <v>0</v>
      </c>
      <c r="P274">
        <f>IF($N274=0,0,IF(AND($F274&lt;=EOMONTH(DATE(PlanYear,2,1),0),IF(ISNUMBER($G274),$G274,$F274)&gt;=DATE(PlanYear,2,1)),1,0))</f>
        <v>0</v>
      </c>
      <c r="Q274">
        <f>IF($N274=0,0,IF(AND($F274&lt;=EOMONTH(DATE(PlanYear,3,1),0),IF(ISNUMBER($G274),$G274,$F274)&gt;=DATE(PlanYear,3,1)),1,0))</f>
        <v>0</v>
      </c>
      <c r="R274">
        <f>IF($N274=0,0,IF(AND($F274&lt;=EOMONTH(DATE(PlanYear,4,1),0),IF(ISNUMBER($G274),$G274,$F274)&gt;=DATE(PlanYear,4,1)),1,0))</f>
        <v>0</v>
      </c>
      <c r="S274">
        <f>IF($N274=0,0,IF(AND($F274&lt;=EOMONTH(DATE(PlanYear,5,1),0),IF(ISNUMBER($G274),$G274,$F274)&gt;=DATE(PlanYear,5,1)),1,0))</f>
        <v>0</v>
      </c>
      <c r="T274">
        <f>IF($N274=0,0,IF(AND($F274&lt;=EOMONTH(DATE(PlanYear,6,1),0),IF(ISNUMBER($G274),$G274,$F274)&gt;=DATE(PlanYear,6,1)),1,0))</f>
        <v>0</v>
      </c>
      <c r="U274">
        <f>IF($N274=0,0,IF(AND($F274&lt;=EOMONTH(DATE(PlanYear,7,1),0),IF(ISNUMBER($G274),$G274,$F274)&gt;=DATE(PlanYear,7,1)),1,0))</f>
        <v>0</v>
      </c>
      <c r="V274">
        <f>IF($N274=0,0,IF(AND($F274&lt;=EOMONTH(DATE(PlanYear,8,1),0),IF(ISNUMBER($G274),$G274,$F274)&gt;=DATE(PlanYear,8,1)),1,0))</f>
        <v>0</v>
      </c>
      <c r="W274">
        <f>IF($N274=0,0,IF(AND($F274&lt;=EOMONTH(DATE(PlanYear,9,1),0),IF(ISNUMBER($G274),$G274,$F274)&gt;=DATE(PlanYear,9,1)),1,0))</f>
        <v>0</v>
      </c>
      <c r="X274">
        <f>IF($N274=0,0,IF(AND($F274&lt;=EOMONTH(DATE(PlanYear,10,1),0),IF(ISNUMBER($G274),$G274,$F274)&gt;=DATE(PlanYear,10,1)),1,0))</f>
        <v>0</v>
      </c>
      <c r="Y274">
        <f>IF($N274=0,0,IF(AND($F274&lt;=EOMONTH(DATE(PlanYear,11,1),0),IF(ISNUMBER($G274),$G274,$F274)&gt;=DATE(PlanYear,11,1)),1,0))</f>
        <v>0</v>
      </c>
      <c r="Z274">
        <f>IF($N274=0,0,IF(AND($F274&lt;=EOMONTH(DATE(PlanYear,12,1),0),IF(ISNUMBER($G274),$G274,$F274)&gt;=DATE(PlanYear,12,1)),1,0))</f>
        <v>0</v>
      </c>
      <c r="AA274">
        <f>SUM($O274:$Z274)</f>
        <v>0</v>
      </c>
    </row>
    <row r="275" spans="1:27">
      <c r="A275" s="42">
        <f>IF($B275="","","ACT-"&amp;TEXT(ROW()-4,"000"))</f>
        <v>0</v>
      </c>
      <c r="M275" s="43">
        <f>IF(COUNTA($B275:$K275)=0,"",IF($B275="","Missing activity name",IF($C275="","Missing practice",IF(COUNTIF(PracticeNames,$C275)=0,"Practice not in Lists",IF($D275="","Missing motion",IF(NOT(ISNUMBER($F275)),"Missing or invalid start date",IF(AND(ISNUMBER($G275),$G275&lt;$F275),"End date before start",IF(AND($N275=1,$AA275=0),"Outside planning year","OK"))))))))</f>
        <v>0</v>
      </c>
      <c r="N275">
        <f>IF(AND($B275&lt;&gt;"",$C275&lt;&gt;"",$D275&lt;&gt;"",ISNUMBER($F275),COUNTIF(PracticeNames,$C275)&gt;0,COUNTIF(MotionNames,$D275)&gt;0,NOT(AND(ISNUMBER($G275),$G275&lt;$F275))),IF(StatusFilter="All (excl. Cancelled)",IF($H275="Cancelled",0,1),IF(StatusFilter="All",1,IF($H275=StatusFilter,1,0))),0)</f>
        <v>0</v>
      </c>
      <c r="O275">
        <f>IF($N275=0,0,IF(AND($F275&lt;=EOMONTH(DATE(PlanYear,1,1),0),IF(ISNUMBER($G275),$G275,$F275)&gt;=DATE(PlanYear,1,1)),1,0))</f>
        <v>0</v>
      </c>
      <c r="P275">
        <f>IF($N275=0,0,IF(AND($F275&lt;=EOMONTH(DATE(PlanYear,2,1),0),IF(ISNUMBER($G275),$G275,$F275)&gt;=DATE(PlanYear,2,1)),1,0))</f>
        <v>0</v>
      </c>
      <c r="Q275">
        <f>IF($N275=0,0,IF(AND($F275&lt;=EOMONTH(DATE(PlanYear,3,1),0),IF(ISNUMBER($G275),$G275,$F275)&gt;=DATE(PlanYear,3,1)),1,0))</f>
        <v>0</v>
      </c>
      <c r="R275">
        <f>IF($N275=0,0,IF(AND($F275&lt;=EOMONTH(DATE(PlanYear,4,1),0),IF(ISNUMBER($G275),$G275,$F275)&gt;=DATE(PlanYear,4,1)),1,0))</f>
        <v>0</v>
      </c>
      <c r="S275">
        <f>IF($N275=0,0,IF(AND($F275&lt;=EOMONTH(DATE(PlanYear,5,1),0),IF(ISNUMBER($G275),$G275,$F275)&gt;=DATE(PlanYear,5,1)),1,0))</f>
        <v>0</v>
      </c>
      <c r="T275">
        <f>IF($N275=0,0,IF(AND($F275&lt;=EOMONTH(DATE(PlanYear,6,1),0),IF(ISNUMBER($G275),$G275,$F275)&gt;=DATE(PlanYear,6,1)),1,0))</f>
        <v>0</v>
      </c>
      <c r="U275">
        <f>IF($N275=0,0,IF(AND($F275&lt;=EOMONTH(DATE(PlanYear,7,1),0),IF(ISNUMBER($G275),$G275,$F275)&gt;=DATE(PlanYear,7,1)),1,0))</f>
        <v>0</v>
      </c>
      <c r="V275">
        <f>IF($N275=0,0,IF(AND($F275&lt;=EOMONTH(DATE(PlanYear,8,1),0),IF(ISNUMBER($G275),$G275,$F275)&gt;=DATE(PlanYear,8,1)),1,0))</f>
        <v>0</v>
      </c>
      <c r="W275">
        <f>IF($N275=0,0,IF(AND($F275&lt;=EOMONTH(DATE(PlanYear,9,1),0),IF(ISNUMBER($G275),$G275,$F275)&gt;=DATE(PlanYear,9,1)),1,0))</f>
        <v>0</v>
      </c>
      <c r="X275">
        <f>IF($N275=0,0,IF(AND($F275&lt;=EOMONTH(DATE(PlanYear,10,1),0),IF(ISNUMBER($G275),$G275,$F275)&gt;=DATE(PlanYear,10,1)),1,0))</f>
        <v>0</v>
      </c>
      <c r="Y275">
        <f>IF($N275=0,0,IF(AND($F275&lt;=EOMONTH(DATE(PlanYear,11,1),0),IF(ISNUMBER($G275),$G275,$F275)&gt;=DATE(PlanYear,11,1)),1,0))</f>
        <v>0</v>
      </c>
      <c r="Z275">
        <f>IF($N275=0,0,IF(AND($F275&lt;=EOMONTH(DATE(PlanYear,12,1),0),IF(ISNUMBER($G275),$G275,$F275)&gt;=DATE(PlanYear,12,1)),1,0))</f>
        <v>0</v>
      </c>
      <c r="AA275">
        <f>SUM($O275:$Z275)</f>
        <v>0</v>
      </c>
    </row>
    <row r="276" spans="1:27">
      <c r="A276" s="42">
        <f>IF($B276="","","ACT-"&amp;TEXT(ROW()-4,"000"))</f>
        <v>0</v>
      </c>
      <c r="M276" s="43">
        <f>IF(COUNTA($B276:$K276)=0,"",IF($B276="","Missing activity name",IF($C276="","Missing practice",IF(COUNTIF(PracticeNames,$C276)=0,"Practice not in Lists",IF($D276="","Missing motion",IF(NOT(ISNUMBER($F276)),"Missing or invalid start date",IF(AND(ISNUMBER($G276),$G276&lt;$F276),"End date before start",IF(AND($N276=1,$AA276=0),"Outside planning year","OK"))))))))</f>
        <v>0</v>
      </c>
      <c r="N276">
        <f>IF(AND($B276&lt;&gt;"",$C276&lt;&gt;"",$D276&lt;&gt;"",ISNUMBER($F276),COUNTIF(PracticeNames,$C276)&gt;0,COUNTIF(MotionNames,$D276)&gt;0,NOT(AND(ISNUMBER($G276),$G276&lt;$F276))),IF(StatusFilter="All (excl. Cancelled)",IF($H276="Cancelled",0,1),IF(StatusFilter="All",1,IF($H276=StatusFilter,1,0))),0)</f>
        <v>0</v>
      </c>
      <c r="O276">
        <f>IF($N276=0,0,IF(AND($F276&lt;=EOMONTH(DATE(PlanYear,1,1),0),IF(ISNUMBER($G276),$G276,$F276)&gt;=DATE(PlanYear,1,1)),1,0))</f>
        <v>0</v>
      </c>
      <c r="P276">
        <f>IF($N276=0,0,IF(AND($F276&lt;=EOMONTH(DATE(PlanYear,2,1),0),IF(ISNUMBER($G276),$G276,$F276)&gt;=DATE(PlanYear,2,1)),1,0))</f>
        <v>0</v>
      </c>
      <c r="Q276">
        <f>IF($N276=0,0,IF(AND($F276&lt;=EOMONTH(DATE(PlanYear,3,1),0),IF(ISNUMBER($G276),$G276,$F276)&gt;=DATE(PlanYear,3,1)),1,0))</f>
        <v>0</v>
      </c>
      <c r="R276">
        <f>IF($N276=0,0,IF(AND($F276&lt;=EOMONTH(DATE(PlanYear,4,1),0),IF(ISNUMBER($G276),$G276,$F276)&gt;=DATE(PlanYear,4,1)),1,0))</f>
        <v>0</v>
      </c>
      <c r="S276">
        <f>IF($N276=0,0,IF(AND($F276&lt;=EOMONTH(DATE(PlanYear,5,1),0),IF(ISNUMBER($G276),$G276,$F276)&gt;=DATE(PlanYear,5,1)),1,0))</f>
        <v>0</v>
      </c>
      <c r="T276">
        <f>IF($N276=0,0,IF(AND($F276&lt;=EOMONTH(DATE(PlanYear,6,1),0),IF(ISNUMBER($G276),$G276,$F276)&gt;=DATE(PlanYear,6,1)),1,0))</f>
        <v>0</v>
      </c>
      <c r="U276">
        <f>IF($N276=0,0,IF(AND($F276&lt;=EOMONTH(DATE(PlanYear,7,1),0),IF(ISNUMBER($G276),$G276,$F276)&gt;=DATE(PlanYear,7,1)),1,0))</f>
        <v>0</v>
      </c>
      <c r="V276">
        <f>IF($N276=0,0,IF(AND($F276&lt;=EOMONTH(DATE(PlanYear,8,1),0),IF(ISNUMBER($G276),$G276,$F276)&gt;=DATE(PlanYear,8,1)),1,0))</f>
        <v>0</v>
      </c>
      <c r="W276">
        <f>IF($N276=0,0,IF(AND($F276&lt;=EOMONTH(DATE(PlanYear,9,1),0),IF(ISNUMBER($G276),$G276,$F276)&gt;=DATE(PlanYear,9,1)),1,0))</f>
        <v>0</v>
      </c>
      <c r="X276">
        <f>IF($N276=0,0,IF(AND($F276&lt;=EOMONTH(DATE(PlanYear,10,1),0),IF(ISNUMBER($G276),$G276,$F276)&gt;=DATE(PlanYear,10,1)),1,0))</f>
        <v>0</v>
      </c>
      <c r="Y276">
        <f>IF($N276=0,0,IF(AND($F276&lt;=EOMONTH(DATE(PlanYear,11,1),0),IF(ISNUMBER($G276),$G276,$F276)&gt;=DATE(PlanYear,11,1)),1,0))</f>
        <v>0</v>
      </c>
      <c r="Z276">
        <f>IF($N276=0,0,IF(AND($F276&lt;=EOMONTH(DATE(PlanYear,12,1),0),IF(ISNUMBER($G276),$G276,$F276)&gt;=DATE(PlanYear,12,1)),1,0))</f>
        <v>0</v>
      </c>
      <c r="AA276">
        <f>SUM($O276:$Z276)</f>
        <v>0</v>
      </c>
    </row>
    <row r="277" spans="1:27">
      <c r="A277" s="42">
        <f>IF($B277="","","ACT-"&amp;TEXT(ROW()-4,"000"))</f>
        <v>0</v>
      </c>
      <c r="M277" s="43">
        <f>IF(COUNTA($B277:$K277)=0,"",IF($B277="","Missing activity name",IF($C277="","Missing practice",IF(COUNTIF(PracticeNames,$C277)=0,"Practice not in Lists",IF($D277="","Missing motion",IF(NOT(ISNUMBER($F277)),"Missing or invalid start date",IF(AND(ISNUMBER($G277),$G277&lt;$F277),"End date before start",IF(AND($N277=1,$AA277=0),"Outside planning year","OK"))))))))</f>
        <v>0</v>
      </c>
      <c r="N277">
        <f>IF(AND($B277&lt;&gt;"",$C277&lt;&gt;"",$D277&lt;&gt;"",ISNUMBER($F277),COUNTIF(PracticeNames,$C277)&gt;0,COUNTIF(MotionNames,$D277)&gt;0,NOT(AND(ISNUMBER($G277),$G277&lt;$F277))),IF(StatusFilter="All (excl. Cancelled)",IF($H277="Cancelled",0,1),IF(StatusFilter="All",1,IF($H277=StatusFilter,1,0))),0)</f>
        <v>0</v>
      </c>
      <c r="O277">
        <f>IF($N277=0,0,IF(AND($F277&lt;=EOMONTH(DATE(PlanYear,1,1),0),IF(ISNUMBER($G277),$G277,$F277)&gt;=DATE(PlanYear,1,1)),1,0))</f>
        <v>0</v>
      </c>
      <c r="P277">
        <f>IF($N277=0,0,IF(AND($F277&lt;=EOMONTH(DATE(PlanYear,2,1),0),IF(ISNUMBER($G277),$G277,$F277)&gt;=DATE(PlanYear,2,1)),1,0))</f>
        <v>0</v>
      </c>
      <c r="Q277">
        <f>IF($N277=0,0,IF(AND($F277&lt;=EOMONTH(DATE(PlanYear,3,1),0),IF(ISNUMBER($G277),$G277,$F277)&gt;=DATE(PlanYear,3,1)),1,0))</f>
        <v>0</v>
      </c>
      <c r="R277">
        <f>IF($N277=0,0,IF(AND($F277&lt;=EOMONTH(DATE(PlanYear,4,1),0),IF(ISNUMBER($G277),$G277,$F277)&gt;=DATE(PlanYear,4,1)),1,0))</f>
        <v>0</v>
      </c>
      <c r="S277">
        <f>IF($N277=0,0,IF(AND($F277&lt;=EOMONTH(DATE(PlanYear,5,1),0),IF(ISNUMBER($G277),$G277,$F277)&gt;=DATE(PlanYear,5,1)),1,0))</f>
        <v>0</v>
      </c>
      <c r="T277">
        <f>IF($N277=0,0,IF(AND($F277&lt;=EOMONTH(DATE(PlanYear,6,1),0),IF(ISNUMBER($G277),$G277,$F277)&gt;=DATE(PlanYear,6,1)),1,0))</f>
        <v>0</v>
      </c>
      <c r="U277">
        <f>IF($N277=0,0,IF(AND($F277&lt;=EOMONTH(DATE(PlanYear,7,1),0),IF(ISNUMBER($G277),$G277,$F277)&gt;=DATE(PlanYear,7,1)),1,0))</f>
        <v>0</v>
      </c>
      <c r="V277">
        <f>IF($N277=0,0,IF(AND($F277&lt;=EOMONTH(DATE(PlanYear,8,1),0),IF(ISNUMBER($G277),$G277,$F277)&gt;=DATE(PlanYear,8,1)),1,0))</f>
        <v>0</v>
      </c>
      <c r="W277">
        <f>IF($N277=0,0,IF(AND($F277&lt;=EOMONTH(DATE(PlanYear,9,1),0),IF(ISNUMBER($G277),$G277,$F277)&gt;=DATE(PlanYear,9,1)),1,0))</f>
        <v>0</v>
      </c>
      <c r="X277">
        <f>IF($N277=0,0,IF(AND($F277&lt;=EOMONTH(DATE(PlanYear,10,1),0),IF(ISNUMBER($G277),$G277,$F277)&gt;=DATE(PlanYear,10,1)),1,0))</f>
        <v>0</v>
      </c>
      <c r="Y277">
        <f>IF($N277=0,0,IF(AND($F277&lt;=EOMONTH(DATE(PlanYear,11,1),0),IF(ISNUMBER($G277),$G277,$F277)&gt;=DATE(PlanYear,11,1)),1,0))</f>
        <v>0</v>
      </c>
      <c r="Z277">
        <f>IF($N277=0,0,IF(AND($F277&lt;=EOMONTH(DATE(PlanYear,12,1),0),IF(ISNUMBER($G277),$G277,$F277)&gt;=DATE(PlanYear,12,1)),1,0))</f>
        <v>0</v>
      </c>
      <c r="AA277">
        <f>SUM($O277:$Z277)</f>
        <v>0</v>
      </c>
    </row>
    <row r="278" spans="1:27">
      <c r="A278" s="42">
        <f>IF($B278="","","ACT-"&amp;TEXT(ROW()-4,"000"))</f>
        <v>0</v>
      </c>
      <c r="M278" s="43">
        <f>IF(COUNTA($B278:$K278)=0,"",IF($B278="","Missing activity name",IF($C278="","Missing practice",IF(COUNTIF(PracticeNames,$C278)=0,"Practice not in Lists",IF($D278="","Missing motion",IF(NOT(ISNUMBER($F278)),"Missing or invalid start date",IF(AND(ISNUMBER($G278),$G278&lt;$F278),"End date before start",IF(AND($N278=1,$AA278=0),"Outside planning year","OK"))))))))</f>
        <v>0</v>
      </c>
      <c r="N278">
        <f>IF(AND($B278&lt;&gt;"",$C278&lt;&gt;"",$D278&lt;&gt;"",ISNUMBER($F278),COUNTIF(PracticeNames,$C278)&gt;0,COUNTIF(MotionNames,$D278)&gt;0,NOT(AND(ISNUMBER($G278),$G278&lt;$F278))),IF(StatusFilter="All (excl. Cancelled)",IF($H278="Cancelled",0,1),IF(StatusFilter="All",1,IF($H278=StatusFilter,1,0))),0)</f>
        <v>0</v>
      </c>
      <c r="O278">
        <f>IF($N278=0,0,IF(AND($F278&lt;=EOMONTH(DATE(PlanYear,1,1),0),IF(ISNUMBER($G278),$G278,$F278)&gt;=DATE(PlanYear,1,1)),1,0))</f>
        <v>0</v>
      </c>
      <c r="P278">
        <f>IF($N278=0,0,IF(AND($F278&lt;=EOMONTH(DATE(PlanYear,2,1),0),IF(ISNUMBER($G278),$G278,$F278)&gt;=DATE(PlanYear,2,1)),1,0))</f>
        <v>0</v>
      </c>
      <c r="Q278">
        <f>IF($N278=0,0,IF(AND($F278&lt;=EOMONTH(DATE(PlanYear,3,1),0),IF(ISNUMBER($G278),$G278,$F278)&gt;=DATE(PlanYear,3,1)),1,0))</f>
        <v>0</v>
      </c>
      <c r="R278">
        <f>IF($N278=0,0,IF(AND($F278&lt;=EOMONTH(DATE(PlanYear,4,1),0),IF(ISNUMBER($G278),$G278,$F278)&gt;=DATE(PlanYear,4,1)),1,0))</f>
        <v>0</v>
      </c>
      <c r="S278">
        <f>IF($N278=0,0,IF(AND($F278&lt;=EOMONTH(DATE(PlanYear,5,1),0),IF(ISNUMBER($G278),$G278,$F278)&gt;=DATE(PlanYear,5,1)),1,0))</f>
        <v>0</v>
      </c>
      <c r="T278">
        <f>IF($N278=0,0,IF(AND($F278&lt;=EOMONTH(DATE(PlanYear,6,1),0),IF(ISNUMBER($G278),$G278,$F278)&gt;=DATE(PlanYear,6,1)),1,0))</f>
        <v>0</v>
      </c>
      <c r="U278">
        <f>IF($N278=0,0,IF(AND($F278&lt;=EOMONTH(DATE(PlanYear,7,1),0),IF(ISNUMBER($G278),$G278,$F278)&gt;=DATE(PlanYear,7,1)),1,0))</f>
        <v>0</v>
      </c>
      <c r="V278">
        <f>IF($N278=0,0,IF(AND($F278&lt;=EOMONTH(DATE(PlanYear,8,1),0),IF(ISNUMBER($G278),$G278,$F278)&gt;=DATE(PlanYear,8,1)),1,0))</f>
        <v>0</v>
      </c>
      <c r="W278">
        <f>IF($N278=0,0,IF(AND($F278&lt;=EOMONTH(DATE(PlanYear,9,1),0),IF(ISNUMBER($G278),$G278,$F278)&gt;=DATE(PlanYear,9,1)),1,0))</f>
        <v>0</v>
      </c>
      <c r="X278">
        <f>IF($N278=0,0,IF(AND($F278&lt;=EOMONTH(DATE(PlanYear,10,1),0),IF(ISNUMBER($G278),$G278,$F278)&gt;=DATE(PlanYear,10,1)),1,0))</f>
        <v>0</v>
      </c>
      <c r="Y278">
        <f>IF($N278=0,0,IF(AND($F278&lt;=EOMONTH(DATE(PlanYear,11,1),0),IF(ISNUMBER($G278),$G278,$F278)&gt;=DATE(PlanYear,11,1)),1,0))</f>
        <v>0</v>
      </c>
      <c r="Z278">
        <f>IF($N278=0,0,IF(AND($F278&lt;=EOMONTH(DATE(PlanYear,12,1),0),IF(ISNUMBER($G278),$G278,$F278)&gt;=DATE(PlanYear,12,1)),1,0))</f>
        <v>0</v>
      </c>
      <c r="AA278">
        <f>SUM($O278:$Z278)</f>
        <v>0</v>
      </c>
    </row>
    <row r="279" spans="1:27">
      <c r="A279" s="42">
        <f>IF($B279="","","ACT-"&amp;TEXT(ROW()-4,"000"))</f>
        <v>0</v>
      </c>
      <c r="M279" s="43">
        <f>IF(COUNTA($B279:$K279)=0,"",IF($B279="","Missing activity name",IF($C279="","Missing practice",IF(COUNTIF(PracticeNames,$C279)=0,"Practice not in Lists",IF($D279="","Missing motion",IF(NOT(ISNUMBER($F279)),"Missing or invalid start date",IF(AND(ISNUMBER($G279),$G279&lt;$F279),"End date before start",IF(AND($N279=1,$AA279=0),"Outside planning year","OK"))))))))</f>
        <v>0</v>
      </c>
      <c r="N279">
        <f>IF(AND($B279&lt;&gt;"",$C279&lt;&gt;"",$D279&lt;&gt;"",ISNUMBER($F279),COUNTIF(PracticeNames,$C279)&gt;0,COUNTIF(MotionNames,$D279)&gt;0,NOT(AND(ISNUMBER($G279),$G279&lt;$F279))),IF(StatusFilter="All (excl. Cancelled)",IF($H279="Cancelled",0,1),IF(StatusFilter="All",1,IF($H279=StatusFilter,1,0))),0)</f>
        <v>0</v>
      </c>
      <c r="O279">
        <f>IF($N279=0,0,IF(AND($F279&lt;=EOMONTH(DATE(PlanYear,1,1),0),IF(ISNUMBER($G279),$G279,$F279)&gt;=DATE(PlanYear,1,1)),1,0))</f>
        <v>0</v>
      </c>
      <c r="P279">
        <f>IF($N279=0,0,IF(AND($F279&lt;=EOMONTH(DATE(PlanYear,2,1),0),IF(ISNUMBER($G279),$G279,$F279)&gt;=DATE(PlanYear,2,1)),1,0))</f>
        <v>0</v>
      </c>
      <c r="Q279">
        <f>IF($N279=0,0,IF(AND($F279&lt;=EOMONTH(DATE(PlanYear,3,1),0),IF(ISNUMBER($G279),$G279,$F279)&gt;=DATE(PlanYear,3,1)),1,0))</f>
        <v>0</v>
      </c>
      <c r="R279">
        <f>IF($N279=0,0,IF(AND($F279&lt;=EOMONTH(DATE(PlanYear,4,1),0),IF(ISNUMBER($G279),$G279,$F279)&gt;=DATE(PlanYear,4,1)),1,0))</f>
        <v>0</v>
      </c>
      <c r="S279">
        <f>IF($N279=0,0,IF(AND($F279&lt;=EOMONTH(DATE(PlanYear,5,1),0),IF(ISNUMBER($G279),$G279,$F279)&gt;=DATE(PlanYear,5,1)),1,0))</f>
        <v>0</v>
      </c>
      <c r="T279">
        <f>IF($N279=0,0,IF(AND($F279&lt;=EOMONTH(DATE(PlanYear,6,1),0),IF(ISNUMBER($G279),$G279,$F279)&gt;=DATE(PlanYear,6,1)),1,0))</f>
        <v>0</v>
      </c>
      <c r="U279">
        <f>IF($N279=0,0,IF(AND($F279&lt;=EOMONTH(DATE(PlanYear,7,1),0),IF(ISNUMBER($G279),$G279,$F279)&gt;=DATE(PlanYear,7,1)),1,0))</f>
        <v>0</v>
      </c>
      <c r="V279">
        <f>IF($N279=0,0,IF(AND($F279&lt;=EOMONTH(DATE(PlanYear,8,1),0),IF(ISNUMBER($G279),$G279,$F279)&gt;=DATE(PlanYear,8,1)),1,0))</f>
        <v>0</v>
      </c>
      <c r="W279">
        <f>IF($N279=0,0,IF(AND($F279&lt;=EOMONTH(DATE(PlanYear,9,1),0),IF(ISNUMBER($G279),$G279,$F279)&gt;=DATE(PlanYear,9,1)),1,0))</f>
        <v>0</v>
      </c>
      <c r="X279">
        <f>IF($N279=0,0,IF(AND($F279&lt;=EOMONTH(DATE(PlanYear,10,1),0),IF(ISNUMBER($G279),$G279,$F279)&gt;=DATE(PlanYear,10,1)),1,0))</f>
        <v>0</v>
      </c>
      <c r="Y279">
        <f>IF($N279=0,0,IF(AND($F279&lt;=EOMONTH(DATE(PlanYear,11,1),0),IF(ISNUMBER($G279),$G279,$F279)&gt;=DATE(PlanYear,11,1)),1,0))</f>
        <v>0</v>
      </c>
      <c r="Z279">
        <f>IF($N279=0,0,IF(AND($F279&lt;=EOMONTH(DATE(PlanYear,12,1),0),IF(ISNUMBER($G279),$G279,$F279)&gt;=DATE(PlanYear,12,1)),1,0))</f>
        <v>0</v>
      </c>
      <c r="AA279">
        <f>SUM($O279:$Z279)</f>
        <v>0</v>
      </c>
    </row>
    <row r="280" spans="1:27">
      <c r="A280" s="42">
        <f>IF($B280="","","ACT-"&amp;TEXT(ROW()-4,"000"))</f>
        <v>0</v>
      </c>
      <c r="M280" s="43">
        <f>IF(COUNTA($B280:$K280)=0,"",IF($B280="","Missing activity name",IF($C280="","Missing practice",IF(COUNTIF(PracticeNames,$C280)=0,"Practice not in Lists",IF($D280="","Missing motion",IF(NOT(ISNUMBER($F280)),"Missing or invalid start date",IF(AND(ISNUMBER($G280),$G280&lt;$F280),"End date before start",IF(AND($N280=1,$AA280=0),"Outside planning year","OK"))))))))</f>
        <v>0</v>
      </c>
      <c r="N280">
        <f>IF(AND($B280&lt;&gt;"",$C280&lt;&gt;"",$D280&lt;&gt;"",ISNUMBER($F280),COUNTIF(PracticeNames,$C280)&gt;0,COUNTIF(MotionNames,$D280)&gt;0,NOT(AND(ISNUMBER($G280),$G280&lt;$F280))),IF(StatusFilter="All (excl. Cancelled)",IF($H280="Cancelled",0,1),IF(StatusFilter="All",1,IF($H280=StatusFilter,1,0))),0)</f>
        <v>0</v>
      </c>
      <c r="O280">
        <f>IF($N280=0,0,IF(AND($F280&lt;=EOMONTH(DATE(PlanYear,1,1),0),IF(ISNUMBER($G280),$G280,$F280)&gt;=DATE(PlanYear,1,1)),1,0))</f>
        <v>0</v>
      </c>
      <c r="P280">
        <f>IF($N280=0,0,IF(AND($F280&lt;=EOMONTH(DATE(PlanYear,2,1),0),IF(ISNUMBER($G280),$G280,$F280)&gt;=DATE(PlanYear,2,1)),1,0))</f>
        <v>0</v>
      </c>
      <c r="Q280">
        <f>IF($N280=0,0,IF(AND($F280&lt;=EOMONTH(DATE(PlanYear,3,1),0),IF(ISNUMBER($G280),$G280,$F280)&gt;=DATE(PlanYear,3,1)),1,0))</f>
        <v>0</v>
      </c>
      <c r="R280">
        <f>IF($N280=0,0,IF(AND($F280&lt;=EOMONTH(DATE(PlanYear,4,1),0),IF(ISNUMBER($G280),$G280,$F280)&gt;=DATE(PlanYear,4,1)),1,0))</f>
        <v>0</v>
      </c>
      <c r="S280">
        <f>IF($N280=0,0,IF(AND($F280&lt;=EOMONTH(DATE(PlanYear,5,1),0),IF(ISNUMBER($G280),$G280,$F280)&gt;=DATE(PlanYear,5,1)),1,0))</f>
        <v>0</v>
      </c>
      <c r="T280">
        <f>IF($N280=0,0,IF(AND($F280&lt;=EOMONTH(DATE(PlanYear,6,1),0),IF(ISNUMBER($G280),$G280,$F280)&gt;=DATE(PlanYear,6,1)),1,0))</f>
        <v>0</v>
      </c>
      <c r="U280">
        <f>IF($N280=0,0,IF(AND($F280&lt;=EOMONTH(DATE(PlanYear,7,1),0),IF(ISNUMBER($G280),$G280,$F280)&gt;=DATE(PlanYear,7,1)),1,0))</f>
        <v>0</v>
      </c>
      <c r="V280">
        <f>IF($N280=0,0,IF(AND($F280&lt;=EOMONTH(DATE(PlanYear,8,1),0),IF(ISNUMBER($G280),$G280,$F280)&gt;=DATE(PlanYear,8,1)),1,0))</f>
        <v>0</v>
      </c>
      <c r="W280">
        <f>IF($N280=0,0,IF(AND($F280&lt;=EOMONTH(DATE(PlanYear,9,1),0),IF(ISNUMBER($G280),$G280,$F280)&gt;=DATE(PlanYear,9,1)),1,0))</f>
        <v>0</v>
      </c>
      <c r="X280">
        <f>IF($N280=0,0,IF(AND($F280&lt;=EOMONTH(DATE(PlanYear,10,1),0),IF(ISNUMBER($G280),$G280,$F280)&gt;=DATE(PlanYear,10,1)),1,0))</f>
        <v>0</v>
      </c>
      <c r="Y280">
        <f>IF($N280=0,0,IF(AND($F280&lt;=EOMONTH(DATE(PlanYear,11,1),0),IF(ISNUMBER($G280),$G280,$F280)&gt;=DATE(PlanYear,11,1)),1,0))</f>
        <v>0</v>
      </c>
      <c r="Z280">
        <f>IF($N280=0,0,IF(AND($F280&lt;=EOMONTH(DATE(PlanYear,12,1),0),IF(ISNUMBER($G280),$G280,$F280)&gt;=DATE(PlanYear,12,1)),1,0))</f>
        <v>0</v>
      </c>
      <c r="AA280">
        <f>SUM($O280:$Z280)</f>
        <v>0</v>
      </c>
    </row>
    <row r="281" spans="1:27">
      <c r="A281" s="42">
        <f>IF($B281="","","ACT-"&amp;TEXT(ROW()-4,"000"))</f>
        <v>0</v>
      </c>
      <c r="M281" s="43">
        <f>IF(COUNTA($B281:$K281)=0,"",IF($B281="","Missing activity name",IF($C281="","Missing practice",IF(COUNTIF(PracticeNames,$C281)=0,"Practice not in Lists",IF($D281="","Missing motion",IF(NOT(ISNUMBER($F281)),"Missing or invalid start date",IF(AND(ISNUMBER($G281),$G281&lt;$F281),"End date before start",IF(AND($N281=1,$AA281=0),"Outside planning year","OK"))))))))</f>
        <v>0</v>
      </c>
      <c r="N281">
        <f>IF(AND($B281&lt;&gt;"",$C281&lt;&gt;"",$D281&lt;&gt;"",ISNUMBER($F281),COUNTIF(PracticeNames,$C281)&gt;0,COUNTIF(MotionNames,$D281)&gt;0,NOT(AND(ISNUMBER($G281),$G281&lt;$F281))),IF(StatusFilter="All (excl. Cancelled)",IF($H281="Cancelled",0,1),IF(StatusFilter="All",1,IF($H281=StatusFilter,1,0))),0)</f>
        <v>0</v>
      </c>
      <c r="O281">
        <f>IF($N281=0,0,IF(AND($F281&lt;=EOMONTH(DATE(PlanYear,1,1),0),IF(ISNUMBER($G281),$G281,$F281)&gt;=DATE(PlanYear,1,1)),1,0))</f>
        <v>0</v>
      </c>
      <c r="P281">
        <f>IF($N281=0,0,IF(AND($F281&lt;=EOMONTH(DATE(PlanYear,2,1),0),IF(ISNUMBER($G281),$G281,$F281)&gt;=DATE(PlanYear,2,1)),1,0))</f>
        <v>0</v>
      </c>
      <c r="Q281">
        <f>IF($N281=0,0,IF(AND($F281&lt;=EOMONTH(DATE(PlanYear,3,1),0),IF(ISNUMBER($G281),$G281,$F281)&gt;=DATE(PlanYear,3,1)),1,0))</f>
        <v>0</v>
      </c>
      <c r="R281">
        <f>IF($N281=0,0,IF(AND($F281&lt;=EOMONTH(DATE(PlanYear,4,1),0),IF(ISNUMBER($G281),$G281,$F281)&gt;=DATE(PlanYear,4,1)),1,0))</f>
        <v>0</v>
      </c>
      <c r="S281">
        <f>IF($N281=0,0,IF(AND($F281&lt;=EOMONTH(DATE(PlanYear,5,1),0),IF(ISNUMBER($G281),$G281,$F281)&gt;=DATE(PlanYear,5,1)),1,0))</f>
        <v>0</v>
      </c>
      <c r="T281">
        <f>IF($N281=0,0,IF(AND($F281&lt;=EOMONTH(DATE(PlanYear,6,1),0),IF(ISNUMBER($G281),$G281,$F281)&gt;=DATE(PlanYear,6,1)),1,0))</f>
        <v>0</v>
      </c>
      <c r="U281">
        <f>IF($N281=0,0,IF(AND($F281&lt;=EOMONTH(DATE(PlanYear,7,1),0),IF(ISNUMBER($G281),$G281,$F281)&gt;=DATE(PlanYear,7,1)),1,0))</f>
        <v>0</v>
      </c>
      <c r="V281">
        <f>IF($N281=0,0,IF(AND($F281&lt;=EOMONTH(DATE(PlanYear,8,1),0),IF(ISNUMBER($G281),$G281,$F281)&gt;=DATE(PlanYear,8,1)),1,0))</f>
        <v>0</v>
      </c>
      <c r="W281">
        <f>IF($N281=0,0,IF(AND($F281&lt;=EOMONTH(DATE(PlanYear,9,1),0),IF(ISNUMBER($G281),$G281,$F281)&gt;=DATE(PlanYear,9,1)),1,0))</f>
        <v>0</v>
      </c>
      <c r="X281">
        <f>IF($N281=0,0,IF(AND($F281&lt;=EOMONTH(DATE(PlanYear,10,1),0),IF(ISNUMBER($G281),$G281,$F281)&gt;=DATE(PlanYear,10,1)),1,0))</f>
        <v>0</v>
      </c>
      <c r="Y281">
        <f>IF($N281=0,0,IF(AND($F281&lt;=EOMONTH(DATE(PlanYear,11,1),0),IF(ISNUMBER($G281),$G281,$F281)&gt;=DATE(PlanYear,11,1)),1,0))</f>
        <v>0</v>
      </c>
      <c r="Z281">
        <f>IF($N281=0,0,IF(AND($F281&lt;=EOMONTH(DATE(PlanYear,12,1),0),IF(ISNUMBER($G281),$G281,$F281)&gt;=DATE(PlanYear,12,1)),1,0))</f>
        <v>0</v>
      </c>
      <c r="AA281">
        <f>SUM($O281:$Z281)</f>
        <v>0</v>
      </c>
    </row>
    <row r="282" spans="1:27">
      <c r="A282" s="42">
        <f>IF($B282="","","ACT-"&amp;TEXT(ROW()-4,"000"))</f>
        <v>0</v>
      </c>
      <c r="M282" s="43">
        <f>IF(COUNTA($B282:$K282)=0,"",IF($B282="","Missing activity name",IF($C282="","Missing practice",IF(COUNTIF(PracticeNames,$C282)=0,"Practice not in Lists",IF($D282="","Missing motion",IF(NOT(ISNUMBER($F282)),"Missing or invalid start date",IF(AND(ISNUMBER($G282),$G282&lt;$F282),"End date before start",IF(AND($N282=1,$AA282=0),"Outside planning year","OK"))))))))</f>
        <v>0</v>
      </c>
      <c r="N282">
        <f>IF(AND($B282&lt;&gt;"",$C282&lt;&gt;"",$D282&lt;&gt;"",ISNUMBER($F282),COUNTIF(PracticeNames,$C282)&gt;0,COUNTIF(MotionNames,$D282)&gt;0,NOT(AND(ISNUMBER($G282),$G282&lt;$F282))),IF(StatusFilter="All (excl. Cancelled)",IF($H282="Cancelled",0,1),IF(StatusFilter="All",1,IF($H282=StatusFilter,1,0))),0)</f>
        <v>0</v>
      </c>
      <c r="O282">
        <f>IF($N282=0,0,IF(AND($F282&lt;=EOMONTH(DATE(PlanYear,1,1),0),IF(ISNUMBER($G282),$G282,$F282)&gt;=DATE(PlanYear,1,1)),1,0))</f>
        <v>0</v>
      </c>
      <c r="P282">
        <f>IF($N282=0,0,IF(AND($F282&lt;=EOMONTH(DATE(PlanYear,2,1),0),IF(ISNUMBER($G282),$G282,$F282)&gt;=DATE(PlanYear,2,1)),1,0))</f>
        <v>0</v>
      </c>
      <c r="Q282">
        <f>IF($N282=0,0,IF(AND($F282&lt;=EOMONTH(DATE(PlanYear,3,1),0),IF(ISNUMBER($G282),$G282,$F282)&gt;=DATE(PlanYear,3,1)),1,0))</f>
        <v>0</v>
      </c>
      <c r="R282">
        <f>IF($N282=0,0,IF(AND($F282&lt;=EOMONTH(DATE(PlanYear,4,1),0),IF(ISNUMBER($G282),$G282,$F282)&gt;=DATE(PlanYear,4,1)),1,0))</f>
        <v>0</v>
      </c>
      <c r="S282">
        <f>IF($N282=0,0,IF(AND($F282&lt;=EOMONTH(DATE(PlanYear,5,1),0),IF(ISNUMBER($G282),$G282,$F282)&gt;=DATE(PlanYear,5,1)),1,0))</f>
        <v>0</v>
      </c>
      <c r="T282">
        <f>IF($N282=0,0,IF(AND($F282&lt;=EOMONTH(DATE(PlanYear,6,1),0),IF(ISNUMBER($G282),$G282,$F282)&gt;=DATE(PlanYear,6,1)),1,0))</f>
        <v>0</v>
      </c>
      <c r="U282">
        <f>IF($N282=0,0,IF(AND($F282&lt;=EOMONTH(DATE(PlanYear,7,1),0),IF(ISNUMBER($G282),$G282,$F282)&gt;=DATE(PlanYear,7,1)),1,0))</f>
        <v>0</v>
      </c>
      <c r="V282">
        <f>IF($N282=0,0,IF(AND($F282&lt;=EOMONTH(DATE(PlanYear,8,1),0),IF(ISNUMBER($G282),$G282,$F282)&gt;=DATE(PlanYear,8,1)),1,0))</f>
        <v>0</v>
      </c>
      <c r="W282">
        <f>IF($N282=0,0,IF(AND($F282&lt;=EOMONTH(DATE(PlanYear,9,1),0),IF(ISNUMBER($G282),$G282,$F282)&gt;=DATE(PlanYear,9,1)),1,0))</f>
        <v>0</v>
      </c>
      <c r="X282">
        <f>IF($N282=0,0,IF(AND($F282&lt;=EOMONTH(DATE(PlanYear,10,1),0),IF(ISNUMBER($G282),$G282,$F282)&gt;=DATE(PlanYear,10,1)),1,0))</f>
        <v>0</v>
      </c>
      <c r="Y282">
        <f>IF($N282=0,0,IF(AND($F282&lt;=EOMONTH(DATE(PlanYear,11,1),0),IF(ISNUMBER($G282),$G282,$F282)&gt;=DATE(PlanYear,11,1)),1,0))</f>
        <v>0</v>
      </c>
      <c r="Z282">
        <f>IF($N282=0,0,IF(AND($F282&lt;=EOMONTH(DATE(PlanYear,12,1),0),IF(ISNUMBER($G282),$G282,$F282)&gt;=DATE(PlanYear,12,1)),1,0))</f>
        <v>0</v>
      </c>
      <c r="AA282">
        <f>SUM($O282:$Z282)</f>
        <v>0</v>
      </c>
    </row>
    <row r="283" spans="1:27">
      <c r="A283" s="42">
        <f>IF($B283="","","ACT-"&amp;TEXT(ROW()-4,"000"))</f>
        <v>0</v>
      </c>
      <c r="M283" s="43">
        <f>IF(COUNTA($B283:$K283)=0,"",IF($B283="","Missing activity name",IF($C283="","Missing practice",IF(COUNTIF(PracticeNames,$C283)=0,"Practice not in Lists",IF($D283="","Missing motion",IF(NOT(ISNUMBER($F283)),"Missing or invalid start date",IF(AND(ISNUMBER($G283),$G283&lt;$F283),"End date before start",IF(AND($N283=1,$AA283=0),"Outside planning year","OK"))))))))</f>
        <v>0</v>
      </c>
      <c r="N283">
        <f>IF(AND($B283&lt;&gt;"",$C283&lt;&gt;"",$D283&lt;&gt;"",ISNUMBER($F283),COUNTIF(PracticeNames,$C283)&gt;0,COUNTIF(MotionNames,$D283)&gt;0,NOT(AND(ISNUMBER($G283),$G283&lt;$F283))),IF(StatusFilter="All (excl. Cancelled)",IF($H283="Cancelled",0,1),IF(StatusFilter="All",1,IF($H283=StatusFilter,1,0))),0)</f>
        <v>0</v>
      </c>
      <c r="O283">
        <f>IF($N283=0,0,IF(AND($F283&lt;=EOMONTH(DATE(PlanYear,1,1),0),IF(ISNUMBER($G283),$G283,$F283)&gt;=DATE(PlanYear,1,1)),1,0))</f>
        <v>0</v>
      </c>
      <c r="P283">
        <f>IF($N283=0,0,IF(AND($F283&lt;=EOMONTH(DATE(PlanYear,2,1),0),IF(ISNUMBER($G283),$G283,$F283)&gt;=DATE(PlanYear,2,1)),1,0))</f>
        <v>0</v>
      </c>
      <c r="Q283">
        <f>IF($N283=0,0,IF(AND($F283&lt;=EOMONTH(DATE(PlanYear,3,1),0),IF(ISNUMBER($G283),$G283,$F283)&gt;=DATE(PlanYear,3,1)),1,0))</f>
        <v>0</v>
      </c>
      <c r="R283">
        <f>IF($N283=0,0,IF(AND($F283&lt;=EOMONTH(DATE(PlanYear,4,1),0),IF(ISNUMBER($G283),$G283,$F283)&gt;=DATE(PlanYear,4,1)),1,0))</f>
        <v>0</v>
      </c>
      <c r="S283">
        <f>IF($N283=0,0,IF(AND($F283&lt;=EOMONTH(DATE(PlanYear,5,1),0),IF(ISNUMBER($G283),$G283,$F283)&gt;=DATE(PlanYear,5,1)),1,0))</f>
        <v>0</v>
      </c>
      <c r="T283">
        <f>IF($N283=0,0,IF(AND($F283&lt;=EOMONTH(DATE(PlanYear,6,1),0),IF(ISNUMBER($G283),$G283,$F283)&gt;=DATE(PlanYear,6,1)),1,0))</f>
        <v>0</v>
      </c>
      <c r="U283">
        <f>IF($N283=0,0,IF(AND($F283&lt;=EOMONTH(DATE(PlanYear,7,1),0),IF(ISNUMBER($G283),$G283,$F283)&gt;=DATE(PlanYear,7,1)),1,0))</f>
        <v>0</v>
      </c>
      <c r="V283">
        <f>IF($N283=0,0,IF(AND($F283&lt;=EOMONTH(DATE(PlanYear,8,1),0),IF(ISNUMBER($G283),$G283,$F283)&gt;=DATE(PlanYear,8,1)),1,0))</f>
        <v>0</v>
      </c>
      <c r="W283">
        <f>IF($N283=0,0,IF(AND($F283&lt;=EOMONTH(DATE(PlanYear,9,1),0),IF(ISNUMBER($G283),$G283,$F283)&gt;=DATE(PlanYear,9,1)),1,0))</f>
        <v>0</v>
      </c>
      <c r="X283">
        <f>IF($N283=0,0,IF(AND($F283&lt;=EOMONTH(DATE(PlanYear,10,1),0),IF(ISNUMBER($G283),$G283,$F283)&gt;=DATE(PlanYear,10,1)),1,0))</f>
        <v>0</v>
      </c>
      <c r="Y283">
        <f>IF($N283=0,0,IF(AND($F283&lt;=EOMONTH(DATE(PlanYear,11,1),0),IF(ISNUMBER($G283),$G283,$F283)&gt;=DATE(PlanYear,11,1)),1,0))</f>
        <v>0</v>
      </c>
      <c r="Z283">
        <f>IF($N283=0,0,IF(AND($F283&lt;=EOMONTH(DATE(PlanYear,12,1),0),IF(ISNUMBER($G283),$G283,$F283)&gt;=DATE(PlanYear,12,1)),1,0))</f>
        <v>0</v>
      </c>
      <c r="AA283">
        <f>SUM($O283:$Z283)</f>
        <v>0</v>
      </c>
    </row>
    <row r="284" spans="1:27">
      <c r="A284" s="42">
        <f>IF($B284="","","ACT-"&amp;TEXT(ROW()-4,"000"))</f>
        <v>0</v>
      </c>
      <c r="M284" s="43">
        <f>IF(COUNTA($B284:$K284)=0,"",IF($B284="","Missing activity name",IF($C284="","Missing practice",IF(COUNTIF(PracticeNames,$C284)=0,"Practice not in Lists",IF($D284="","Missing motion",IF(NOT(ISNUMBER($F284)),"Missing or invalid start date",IF(AND(ISNUMBER($G284),$G284&lt;$F284),"End date before start",IF(AND($N284=1,$AA284=0),"Outside planning year","OK"))))))))</f>
        <v>0</v>
      </c>
      <c r="N284">
        <f>IF(AND($B284&lt;&gt;"",$C284&lt;&gt;"",$D284&lt;&gt;"",ISNUMBER($F284),COUNTIF(PracticeNames,$C284)&gt;0,COUNTIF(MotionNames,$D284)&gt;0,NOT(AND(ISNUMBER($G284),$G284&lt;$F284))),IF(StatusFilter="All (excl. Cancelled)",IF($H284="Cancelled",0,1),IF(StatusFilter="All",1,IF($H284=StatusFilter,1,0))),0)</f>
        <v>0</v>
      </c>
      <c r="O284">
        <f>IF($N284=0,0,IF(AND($F284&lt;=EOMONTH(DATE(PlanYear,1,1),0),IF(ISNUMBER($G284),$G284,$F284)&gt;=DATE(PlanYear,1,1)),1,0))</f>
        <v>0</v>
      </c>
      <c r="P284">
        <f>IF($N284=0,0,IF(AND($F284&lt;=EOMONTH(DATE(PlanYear,2,1),0),IF(ISNUMBER($G284),$G284,$F284)&gt;=DATE(PlanYear,2,1)),1,0))</f>
        <v>0</v>
      </c>
      <c r="Q284">
        <f>IF($N284=0,0,IF(AND($F284&lt;=EOMONTH(DATE(PlanYear,3,1),0),IF(ISNUMBER($G284),$G284,$F284)&gt;=DATE(PlanYear,3,1)),1,0))</f>
        <v>0</v>
      </c>
      <c r="R284">
        <f>IF($N284=0,0,IF(AND($F284&lt;=EOMONTH(DATE(PlanYear,4,1),0),IF(ISNUMBER($G284),$G284,$F284)&gt;=DATE(PlanYear,4,1)),1,0))</f>
        <v>0</v>
      </c>
      <c r="S284">
        <f>IF($N284=0,0,IF(AND($F284&lt;=EOMONTH(DATE(PlanYear,5,1),0),IF(ISNUMBER($G284),$G284,$F284)&gt;=DATE(PlanYear,5,1)),1,0))</f>
        <v>0</v>
      </c>
      <c r="T284">
        <f>IF($N284=0,0,IF(AND($F284&lt;=EOMONTH(DATE(PlanYear,6,1),0),IF(ISNUMBER($G284),$G284,$F284)&gt;=DATE(PlanYear,6,1)),1,0))</f>
        <v>0</v>
      </c>
      <c r="U284">
        <f>IF($N284=0,0,IF(AND($F284&lt;=EOMONTH(DATE(PlanYear,7,1),0),IF(ISNUMBER($G284),$G284,$F284)&gt;=DATE(PlanYear,7,1)),1,0))</f>
        <v>0</v>
      </c>
      <c r="V284">
        <f>IF($N284=0,0,IF(AND($F284&lt;=EOMONTH(DATE(PlanYear,8,1),0),IF(ISNUMBER($G284),$G284,$F284)&gt;=DATE(PlanYear,8,1)),1,0))</f>
        <v>0</v>
      </c>
      <c r="W284">
        <f>IF($N284=0,0,IF(AND($F284&lt;=EOMONTH(DATE(PlanYear,9,1),0),IF(ISNUMBER($G284),$G284,$F284)&gt;=DATE(PlanYear,9,1)),1,0))</f>
        <v>0</v>
      </c>
      <c r="X284">
        <f>IF($N284=0,0,IF(AND($F284&lt;=EOMONTH(DATE(PlanYear,10,1),0),IF(ISNUMBER($G284),$G284,$F284)&gt;=DATE(PlanYear,10,1)),1,0))</f>
        <v>0</v>
      </c>
      <c r="Y284">
        <f>IF($N284=0,0,IF(AND($F284&lt;=EOMONTH(DATE(PlanYear,11,1),0),IF(ISNUMBER($G284),$G284,$F284)&gt;=DATE(PlanYear,11,1)),1,0))</f>
        <v>0</v>
      </c>
      <c r="Z284">
        <f>IF($N284=0,0,IF(AND($F284&lt;=EOMONTH(DATE(PlanYear,12,1),0),IF(ISNUMBER($G284),$G284,$F284)&gt;=DATE(PlanYear,12,1)),1,0))</f>
        <v>0</v>
      </c>
      <c r="AA284">
        <f>SUM($O284:$Z284)</f>
        <v>0</v>
      </c>
    </row>
    <row r="285" spans="1:27">
      <c r="A285" s="42">
        <f>IF($B285="","","ACT-"&amp;TEXT(ROW()-4,"000"))</f>
        <v>0</v>
      </c>
      <c r="M285" s="43">
        <f>IF(COUNTA($B285:$K285)=0,"",IF($B285="","Missing activity name",IF($C285="","Missing practice",IF(COUNTIF(PracticeNames,$C285)=0,"Practice not in Lists",IF($D285="","Missing motion",IF(NOT(ISNUMBER($F285)),"Missing or invalid start date",IF(AND(ISNUMBER($G285),$G285&lt;$F285),"End date before start",IF(AND($N285=1,$AA285=0),"Outside planning year","OK"))))))))</f>
        <v>0</v>
      </c>
      <c r="N285">
        <f>IF(AND($B285&lt;&gt;"",$C285&lt;&gt;"",$D285&lt;&gt;"",ISNUMBER($F285),COUNTIF(PracticeNames,$C285)&gt;0,COUNTIF(MotionNames,$D285)&gt;0,NOT(AND(ISNUMBER($G285),$G285&lt;$F285))),IF(StatusFilter="All (excl. Cancelled)",IF($H285="Cancelled",0,1),IF(StatusFilter="All",1,IF($H285=StatusFilter,1,0))),0)</f>
        <v>0</v>
      </c>
      <c r="O285">
        <f>IF($N285=0,0,IF(AND($F285&lt;=EOMONTH(DATE(PlanYear,1,1),0),IF(ISNUMBER($G285),$G285,$F285)&gt;=DATE(PlanYear,1,1)),1,0))</f>
        <v>0</v>
      </c>
      <c r="P285">
        <f>IF($N285=0,0,IF(AND($F285&lt;=EOMONTH(DATE(PlanYear,2,1),0),IF(ISNUMBER($G285),$G285,$F285)&gt;=DATE(PlanYear,2,1)),1,0))</f>
        <v>0</v>
      </c>
      <c r="Q285">
        <f>IF($N285=0,0,IF(AND($F285&lt;=EOMONTH(DATE(PlanYear,3,1),0),IF(ISNUMBER($G285),$G285,$F285)&gt;=DATE(PlanYear,3,1)),1,0))</f>
        <v>0</v>
      </c>
      <c r="R285">
        <f>IF($N285=0,0,IF(AND($F285&lt;=EOMONTH(DATE(PlanYear,4,1),0),IF(ISNUMBER($G285),$G285,$F285)&gt;=DATE(PlanYear,4,1)),1,0))</f>
        <v>0</v>
      </c>
      <c r="S285">
        <f>IF($N285=0,0,IF(AND($F285&lt;=EOMONTH(DATE(PlanYear,5,1),0),IF(ISNUMBER($G285),$G285,$F285)&gt;=DATE(PlanYear,5,1)),1,0))</f>
        <v>0</v>
      </c>
      <c r="T285">
        <f>IF($N285=0,0,IF(AND($F285&lt;=EOMONTH(DATE(PlanYear,6,1),0),IF(ISNUMBER($G285),$G285,$F285)&gt;=DATE(PlanYear,6,1)),1,0))</f>
        <v>0</v>
      </c>
      <c r="U285">
        <f>IF($N285=0,0,IF(AND($F285&lt;=EOMONTH(DATE(PlanYear,7,1),0),IF(ISNUMBER($G285),$G285,$F285)&gt;=DATE(PlanYear,7,1)),1,0))</f>
        <v>0</v>
      </c>
      <c r="V285">
        <f>IF($N285=0,0,IF(AND($F285&lt;=EOMONTH(DATE(PlanYear,8,1),0),IF(ISNUMBER($G285),$G285,$F285)&gt;=DATE(PlanYear,8,1)),1,0))</f>
        <v>0</v>
      </c>
      <c r="W285">
        <f>IF($N285=0,0,IF(AND($F285&lt;=EOMONTH(DATE(PlanYear,9,1),0),IF(ISNUMBER($G285),$G285,$F285)&gt;=DATE(PlanYear,9,1)),1,0))</f>
        <v>0</v>
      </c>
      <c r="X285">
        <f>IF($N285=0,0,IF(AND($F285&lt;=EOMONTH(DATE(PlanYear,10,1),0),IF(ISNUMBER($G285),$G285,$F285)&gt;=DATE(PlanYear,10,1)),1,0))</f>
        <v>0</v>
      </c>
      <c r="Y285">
        <f>IF($N285=0,0,IF(AND($F285&lt;=EOMONTH(DATE(PlanYear,11,1),0),IF(ISNUMBER($G285),$G285,$F285)&gt;=DATE(PlanYear,11,1)),1,0))</f>
        <v>0</v>
      </c>
      <c r="Z285">
        <f>IF($N285=0,0,IF(AND($F285&lt;=EOMONTH(DATE(PlanYear,12,1),0),IF(ISNUMBER($G285),$G285,$F285)&gt;=DATE(PlanYear,12,1)),1,0))</f>
        <v>0</v>
      </c>
      <c r="AA285">
        <f>SUM($O285:$Z285)</f>
        <v>0</v>
      </c>
    </row>
    <row r="286" spans="1:27">
      <c r="A286" s="42">
        <f>IF($B286="","","ACT-"&amp;TEXT(ROW()-4,"000"))</f>
        <v>0</v>
      </c>
      <c r="M286" s="43">
        <f>IF(COUNTA($B286:$K286)=0,"",IF($B286="","Missing activity name",IF($C286="","Missing practice",IF(COUNTIF(PracticeNames,$C286)=0,"Practice not in Lists",IF($D286="","Missing motion",IF(NOT(ISNUMBER($F286)),"Missing or invalid start date",IF(AND(ISNUMBER($G286),$G286&lt;$F286),"End date before start",IF(AND($N286=1,$AA286=0),"Outside planning year","OK"))))))))</f>
        <v>0</v>
      </c>
      <c r="N286">
        <f>IF(AND($B286&lt;&gt;"",$C286&lt;&gt;"",$D286&lt;&gt;"",ISNUMBER($F286),COUNTIF(PracticeNames,$C286)&gt;0,COUNTIF(MotionNames,$D286)&gt;0,NOT(AND(ISNUMBER($G286),$G286&lt;$F286))),IF(StatusFilter="All (excl. Cancelled)",IF($H286="Cancelled",0,1),IF(StatusFilter="All",1,IF($H286=StatusFilter,1,0))),0)</f>
        <v>0</v>
      </c>
      <c r="O286">
        <f>IF($N286=0,0,IF(AND($F286&lt;=EOMONTH(DATE(PlanYear,1,1),0),IF(ISNUMBER($G286),$G286,$F286)&gt;=DATE(PlanYear,1,1)),1,0))</f>
        <v>0</v>
      </c>
      <c r="P286">
        <f>IF($N286=0,0,IF(AND($F286&lt;=EOMONTH(DATE(PlanYear,2,1),0),IF(ISNUMBER($G286),$G286,$F286)&gt;=DATE(PlanYear,2,1)),1,0))</f>
        <v>0</v>
      </c>
      <c r="Q286">
        <f>IF($N286=0,0,IF(AND($F286&lt;=EOMONTH(DATE(PlanYear,3,1),0),IF(ISNUMBER($G286),$G286,$F286)&gt;=DATE(PlanYear,3,1)),1,0))</f>
        <v>0</v>
      </c>
      <c r="R286">
        <f>IF($N286=0,0,IF(AND($F286&lt;=EOMONTH(DATE(PlanYear,4,1),0),IF(ISNUMBER($G286),$G286,$F286)&gt;=DATE(PlanYear,4,1)),1,0))</f>
        <v>0</v>
      </c>
      <c r="S286">
        <f>IF($N286=0,0,IF(AND($F286&lt;=EOMONTH(DATE(PlanYear,5,1),0),IF(ISNUMBER($G286),$G286,$F286)&gt;=DATE(PlanYear,5,1)),1,0))</f>
        <v>0</v>
      </c>
      <c r="T286">
        <f>IF($N286=0,0,IF(AND($F286&lt;=EOMONTH(DATE(PlanYear,6,1),0),IF(ISNUMBER($G286),$G286,$F286)&gt;=DATE(PlanYear,6,1)),1,0))</f>
        <v>0</v>
      </c>
      <c r="U286">
        <f>IF($N286=0,0,IF(AND($F286&lt;=EOMONTH(DATE(PlanYear,7,1),0),IF(ISNUMBER($G286),$G286,$F286)&gt;=DATE(PlanYear,7,1)),1,0))</f>
        <v>0</v>
      </c>
      <c r="V286">
        <f>IF($N286=0,0,IF(AND($F286&lt;=EOMONTH(DATE(PlanYear,8,1),0),IF(ISNUMBER($G286),$G286,$F286)&gt;=DATE(PlanYear,8,1)),1,0))</f>
        <v>0</v>
      </c>
      <c r="W286">
        <f>IF($N286=0,0,IF(AND($F286&lt;=EOMONTH(DATE(PlanYear,9,1),0),IF(ISNUMBER($G286),$G286,$F286)&gt;=DATE(PlanYear,9,1)),1,0))</f>
        <v>0</v>
      </c>
      <c r="X286">
        <f>IF($N286=0,0,IF(AND($F286&lt;=EOMONTH(DATE(PlanYear,10,1),0),IF(ISNUMBER($G286),$G286,$F286)&gt;=DATE(PlanYear,10,1)),1,0))</f>
        <v>0</v>
      </c>
      <c r="Y286">
        <f>IF($N286=0,0,IF(AND($F286&lt;=EOMONTH(DATE(PlanYear,11,1),0),IF(ISNUMBER($G286),$G286,$F286)&gt;=DATE(PlanYear,11,1)),1,0))</f>
        <v>0</v>
      </c>
      <c r="Z286">
        <f>IF($N286=0,0,IF(AND($F286&lt;=EOMONTH(DATE(PlanYear,12,1),0),IF(ISNUMBER($G286),$G286,$F286)&gt;=DATE(PlanYear,12,1)),1,0))</f>
        <v>0</v>
      </c>
      <c r="AA286">
        <f>SUM($O286:$Z286)</f>
        <v>0</v>
      </c>
    </row>
    <row r="287" spans="1:27">
      <c r="A287" s="42">
        <f>IF($B287="","","ACT-"&amp;TEXT(ROW()-4,"000"))</f>
        <v>0</v>
      </c>
      <c r="M287" s="43">
        <f>IF(COUNTA($B287:$K287)=0,"",IF($B287="","Missing activity name",IF($C287="","Missing practice",IF(COUNTIF(PracticeNames,$C287)=0,"Practice not in Lists",IF($D287="","Missing motion",IF(NOT(ISNUMBER($F287)),"Missing or invalid start date",IF(AND(ISNUMBER($G287),$G287&lt;$F287),"End date before start",IF(AND($N287=1,$AA287=0),"Outside planning year","OK"))))))))</f>
        <v>0</v>
      </c>
      <c r="N287">
        <f>IF(AND($B287&lt;&gt;"",$C287&lt;&gt;"",$D287&lt;&gt;"",ISNUMBER($F287),COUNTIF(PracticeNames,$C287)&gt;0,COUNTIF(MotionNames,$D287)&gt;0,NOT(AND(ISNUMBER($G287),$G287&lt;$F287))),IF(StatusFilter="All (excl. Cancelled)",IF($H287="Cancelled",0,1),IF(StatusFilter="All",1,IF($H287=StatusFilter,1,0))),0)</f>
        <v>0</v>
      </c>
      <c r="O287">
        <f>IF($N287=0,0,IF(AND($F287&lt;=EOMONTH(DATE(PlanYear,1,1),0),IF(ISNUMBER($G287),$G287,$F287)&gt;=DATE(PlanYear,1,1)),1,0))</f>
        <v>0</v>
      </c>
      <c r="P287">
        <f>IF($N287=0,0,IF(AND($F287&lt;=EOMONTH(DATE(PlanYear,2,1),0),IF(ISNUMBER($G287),$G287,$F287)&gt;=DATE(PlanYear,2,1)),1,0))</f>
        <v>0</v>
      </c>
      <c r="Q287">
        <f>IF($N287=0,0,IF(AND($F287&lt;=EOMONTH(DATE(PlanYear,3,1),0),IF(ISNUMBER($G287),$G287,$F287)&gt;=DATE(PlanYear,3,1)),1,0))</f>
        <v>0</v>
      </c>
      <c r="R287">
        <f>IF($N287=0,0,IF(AND($F287&lt;=EOMONTH(DATE(PlanYear,4,1),0),IF(ISNUMBER($G287),$G287,$F287)&gt;=DATE(PlanYear,4,1)),1,0))</f>
        <v>0</v>
      </c>
      <c r="S287">
        <f>IF($N287=0,0,IF(AND($F287&lt;=EOMONTH(DATE(PlanYear,5,1),0),IF(ISNUMBER($G287),$G287,$F287)&gt;=DATE(PlanYear,5,1)),1,0))</f>
        <v>0</v>
      </c>
      <c r="T287">
        <f>IF($N287=0,0,IF(AND($F287&lt;=EOMONTH(DATE(PlanYear,6,1),0),IF(ISNUMBER($G287),$G287,$F287)&gt;=DATE(PlanYear,6,1)),1,0))</f>
        <v>0</v>
      </c>
      <c r="U287">
        <f>IF($N287=0,0,IF(AND($F287&lt;=EOMONTH(DATE(PlanYear,7,1),0),IF(ISNUMBER($G287),$G287,$F287)&gt;=DATE(PlanYear,7,1)),1,0))</f>
        <v>0</v>
      </c>
      <c r="V287">
        <f>IF($N287=0,0,IF(AND($F287&lt;=EOMONTH(DATE(PlanYear,8,1),0),IF(ISNUMBER($G287),$G287,$F287)&gt;=DATE(PlanYear,8,1)),1,0))</f>
        <v>0</v>
      </c>
      <c r="W287">
        <f>IF($N287=0,0,IF(AND($F287&lt;=EOMONTH(DATE(PlanYear,9,1),0),IF(ISNUMBER($G287),$G287,$F287)&gt;=DATE(PlanYear,9,1)),1,0))</f>
        <v>0</v>
      </c>
      <c r="X287">
        <f>IF($N287=0,0,IF(AND($F287&lt;=EOMONTH(DATE(PlanYear,10,1),0),IF(ISNUMBER($G287),$G287,$F287)&gt;=DATE(PlanYear,10,1)),1,0))</f>
        <v>0</v>
      </c>
      <c r="Y287">
        <f>IF($N287=0,0,IF(AND($F287&lt;=EOMONTH(DATE(PlanYear,11,1),0),IF(ISNUMBER($G287),$G287,$F287)&gt;=DATE(PlanYear,11,1)),1,0))</f>
        <v>0</v>
      </c>
      <c r="Z287">
        <f>IF($N287=0,0,IF(AND($F287&lt;=EOMONTH(DATE(PlanYear,12,1),0),IF(ISNUMBER($G287),$G287,$F287)&gt;=DATE(PlanYear,12,1)),1,0))</f>
        <v>0</v>
      </c>
      <c r="AA287">
        <f>SUM($O287:$Z287)</f>
        <v>0</v>
      </c>
    </row>
    <row r="288" spans="1:27">
      <c r="A288" s="42">
        <f>IF($B288="","","ACT-"&amp;TEXT(ROW()-4,"000"))</f>
        <v>0</v>
      </c>
      <c r="M288" s="43">
        <f>IF(COUNTA($B288:$K288)=0,"",IF($B288="","Missing activity name",IF($C288="","Missing practice",IF(COUNTIF(PracticeNames,$C288)=0,"Practice not in Lists",IF($D288="","Missing motion",IF(NOT(ISNUMBER($F288)),"Missing or invalid start date",IF(AND(ISNUMBER($G288),$G288&lt;$F288),"End date before start",IF(AND($N288=1,$AA288=0),"Outside planning year","OK"))))))))</f>
        <v>0</v>
      </c>
      <c r="N288">
        <f>IF(AND($B288&lt;&gt;"",$C288&lt;&gt;"",$D288&lt;&gt;"",ISNUMBER($F288),COUNTIF(PracticeNames,$C288)&gt;0,COUNTIF(MotionNames,$D288)&gt;0,NOT(AND(ISNUMBER($G288),$G288&lt;$F288))),IF(StatusFilter="All (excl. Cancelled)",IF($H288="Cancelled",0,1),IF(StatusFilter="All",1,IF($H288=StatusFilter,1,0))),0)</f>
        <v>0</v>
      </c>
      <c r="O288">
        <f>IF($N288=0,0,IF(AND($F288&lt;=EOMONTH(DATE(PlanYear,1,1),0),IF(ISNUMBER($G288),$G288,$F288)&gt;=DATE(PlanYear,1,1)),1,0))</f>
        <v>0</v>
      </c>
      <c r="P288">
        <f>IF($N288=0,0,IF(AND($F288&lt;=EOMONTH(DATE(PlanYear,2,1),0),IF(ISNUMBER($G288),$G288,$F288)&gt;=DATE(PlanYear,2,1)),1,0))</f>
        <v>0</v>
      </c>
      <c r="Q288">
        <f>IF($N288=0,0,IF(AND($F288&lt;=EOMONTH(DATE(PlanYear,3,1),0),IF(ISNUMBER($G288),$G288,$F288)&gt;=DATE(PlanYear,3,1)),1,0))</f>
        <v>0</v>
      </c>
      <c r="R288">
        <f>IF($N288=0,0,IF(AND($F288&lt;=EOMONTH(DATE(PlanYear,4,1),0),IF(ISNUMBER($G288),$G288,$F288)&gt;=DATE(PlanYear,4,1)),1,0))</f>
        <v>0</v>
      </c>
      <c r="S288">
        <f>IF($N288=0,0,IF(AND($F288&lt;=EOMONTH(DATE(PlanYear,5,1),0),IF(ISNUMBER($G288),$G288,$F288)&gt;=DATE(PlanYear,5,1)),1,0))</f>
        <v>0</v>
      </c>
      <c r="T288">
        <f>IF($N288=0,0,IF(AND($F288&lt;=EOMONTH(DATE(PlanYear,6,1),0),IF(ISNUMBER($G288),$G288,$F288)&gt;=DATE(PlanYear,6,1)),1,0))</f>
        <v>0</v>
      </c>
      <c r="U288">
        <f>IF($N288=0,0,IF(AND($F288&lt;=EOMONTH(DATE(PlanYear,7,1),0),IF(ISNUMBER($G288),$G288,$F288)&gt;=DATE(PlanYear,7,1)),1,0))</f>
        <v>0</v>
      </c>
      <c r="V288">
        <f>IF($N288=0,0,IF(AND($F288&lt;=EOMONTH(DATE(PlanYear,8,1),0),IF(ISNUMBER($G288),$G288,$F288)&gt;=DATE(PlanYear,8,1)),1,0))</f>
        <v>0</v>
      </c>
      <c r="W288">
        <f>IF($N288=0,0,IF(AND($F288&lt;=EOMONTH(DATE(PlanYear,9,1),0),IF(ISNUMBER($G288),$G288,$F288)&gt;=DATE(PlanYear,9,1)),1,0))</f>
        <v>0</v>
      </c>
      <c r="X288">
        <f>IF($N288=0,0,IF(AND($F288&lt;=EOMONTH(DATE(PlanYear,10,1),0),IF(ISNUMBER($G288),$G288,$F288)&gt;=DATE(PlanYear,10,1)),1,0))</f>
        <v>0</v>
      </c>
      <c r="Y288">
        <f>IF($N288=0,0,IF(AND($F288&lt;=EOMONTH(DATE(PlanYear,11,1),0),IF(ISNUMBER($G288),$G288,$F288)&gt;=DATE(PlanYear,11,1)),1,0))</f>
        <v>0</v>
      </c>
      <c r="Z288">
        <f>IF($N288=0,0,IF(AND($F288&lt;=EOMONTH(DATE(PlanYear,12,1),0),IF(ISNUMBER($G288),$G288,$F288)&gt;=DATE(PlanYear,12,1)),1,0))</f>
        <v>0</v>
      </c>
      <c r="AA288">
        <f>SUM($O288:$Z288)</f>
        <v>0</v>
      </c>
    </row>
    <row r="289" spans="1:27">
      <c r="A289" s="42">
        <f>IF($B289="","","ACT-"&amp;TEXT(ROW()-4,"000"))</f>
        <v>0</v>
      </c>
      <c r="M289" s="43">
        <f>IF(COUNTA($B289:$K289)=0,"",IF($B289="","Missing activity name",IF($C289="","Missing practice",IF(COUNTIF(PracticeNames,$C289)=0,"Practice not in Lists",IF($D289="","Missing motion",IF(NOT(ISNUMBER($F289)),"Missing or invalid start date",IF(AND(ISNUMBER($G289),$G289&lt;$F289),"End date before start",IF(AND($N289=1,$AA289=0),"Outside planning year","OK"))))))))</f>
        <v>0</v>
      </c>
      <c r="N289">
        <f>IF(AND($B289&lt;&gt;"",$C289&lt;&gt;"",$D289&lt;&gt;"",ISNUMBER($F289),COUNTIF(PracticeNames,$C289)&gt;0,COUNTIF(MotionNames,$D289)&gt;0,NOT(AND(ISNUMBER($G289),$G289&lt;$F289))),IF(StatusFilter="All (excl. Cancelled)",IF($H289="Cancelled",0,1),IF(StatusFilter="All",1,IF($H289=StatusFilter,1,0))),0)</f>
        <v>0</v>
      </c>
      <c r="O289">
        <f>IF($N289=0,0,IF(AND($F289&lt;=EOMONTH(DATE(PlanYear,1,1),0),IF(ISNUMBER($G289),$G289,$F289)&gt;=DATE(PlanYear,1,1)),1,0))</f>
        <v>0</v>
      </c>
      <c r="P289">
        <f>IF($N289=0,0,IF(AND($F289&lt;=EOMONTH(DATE(PlanYear,2,1),0),IF(ISNUMBER($G289),$G289,$F289)&gt;=DATE(PlanYear,2,1)),1,0))</f>
        <v>0</v>
      </c>
      <c r="Q289">
        <f>IF($N289=0,0,IF(AND($F289&lt;=EOMONTH(DATE(PlanYear,3,1),0),IF(ISNUMBER($G289),$G289,$F289)&gt;=DATE(PlanYear,3,1)),1,0))</f>
        <v>0</v>
      </c>
      <c r="R289">
        <f>IF($N289=0,0,IF(AND($F289&lt;=EOMONTH(DATE(PlanYear,4,1),0),IF(ISNUMBER($G289),$G289,$F289)&gt;=DATE(PlanYear,4,1)),1,0))</f>
        <v>0</v>
      </c>
      <c r="S289">
        <f>IF($N289=0,0,IF(AND($F289&lt;=EOMONTH(DATE(PlanYear,5,1),0),IF(ISNUMBER($G289),$G289,$F289)&gt;=DATE(PlanYear,5,1)),1,0))</f>
        <v>0</v>
      </c>
      <c r="T289">
        <f>IF($N289=0,0,IF(AND($F289&lt;=EOMONTH(DATE(PlanYear,6,1),0),IF(ISNUMBER($G289),$G289,$F289)&gt;=DATE(PlanYear,6,1)),1,0))</f>
        <v>0</v>
      </c>
      <c r="U289">
        <f>IF($N289=0,0,IF(AND($F289&lt;=EOMONTH(DATE(PlanYear,7,1),0),IF(ISNUMBER($G289),$G289,$F289)&gt;=DATE(PlanYear,7,1)),1,0))</f>
        <v>0</v>
      </c>
      <c r="V289">
        <f>IF($N289=0,0,IF(AND($F289&lt;=EOMONTH(DATE(PlanYear,8,1),0),IF(ISNUMBER($G289),$G289,$F289)&gt;=DATE(PlanYear,8,1)),1,0))</f>
        <v>0</v>
      </c>
      <c r="W289">
        <f>IF($N289=0,0,IF(AND($F289&lt;=EOMONTH(DATE(PlanYear,9,1),0),IF(ISNUMBER($G289),$G289,$F289)&gt;=DATE(PlanYear,9,1)),1,0))</f>
        <v>0</v>
      </c>
      <c r="X289">
        <f>IF($N289=0,0,IF(AND($F289&lt;=EOMONTH(DATE(PlanYear,10,1),0),IF(ISNUMBER($G289),$G289,$F289)&gt;=DATE(PlanYear,10,1)),1,0))</f>
        <v>0</v>
      </c>
      <c r="Y289">
        <f>IF($N289=0,0,IF(AND($F289&lt;=EOMONTH(DATE(PlanYear,11,1),0),IF(ISNUMBER($G289),$G289,$F289)&gt;=DATE(PlanYear,11,1)),1,0))</f>
        <v>0</v>
      </c>
      <c r="Z289">
        <f>IF($N289=0,0,IF(AND($F289&lt;=EOMONTH(DATE(PlanYear,12,1),0),IF(ISNUMBER($G289),$G289,$F289)&gt;=DATE(PlanYear,12,1)),1,0))</f>
        <v>0</v>
      </c>
      <c r="AA289">
        <f>SUM($O289:$Z289)</f>
        <v>0</v>
      </c>
    </row>
    <row r="290" spans="1:27">
      <c r="A290" s="42">
        <f>IF($B290="","","ACT-"&amp;TEXT(ROW()-4,"000"))</f>
        <v>0</v>
      </c>
      <c r="M290" s="43">
        <f>IF(COUNTA($B290:$K290)=0,"",IF($B290="","Missing activity name",IF($C290="","Missing practice",IF(COUNTIF(PracticeNames,$C290)=0,"Practice not in Lists",IF($D290="","Missing motion",IF(NOT(ISNUMBER($F290)),"Missing or invalid start date",IF(AND(ISNUMBER($G290),$G290&lt;$F290),"End date before start",IF(AND($N290=1,$AA290=0),"Outside planning year","OK"))))))))</f>
        <v>0</v>
      </c>
      <c r="N290">
        <f>IF(AND($B290&lt;&gt;"",$C290&lt;&gt;"",$D290&lt;&gt;"",ISNUMBER($F290),COUNTIF(PracticeNames,$C290)&gt;0,COUNTIF(MotionNames,$D290)&gt;0,NOT(AND(ISNUMBER($G290),$G290&lt;$F290))),IF(StatusFilter="All (excl. Cancelled)",IF($H290="Cancelled",0,1),IF(StatusFilter="All",1,IF($H290=StatusFilter,1,0))),0)</f>
        <v>0</v>
      </c>
      <c r="O290">
        <f>IF($N290=0,0,IF(AND($F290&lt;=EOMONTH(DATE(PlanYear,1,1),0),IF(ISNUMBER($G290),$G290,$F290)&gt;=DATE(PlanYear,1,1)),1,0))</f>
        <v>0</v>
      </c>
      <c r="P290">
        <f>IF($N290=0,0,IF(AND($F290&lt;=EOMONTH(DATE(PlanYear,2,1),0),IF(ISNUMBER($G290),$G290,$F290)&gt;=DATE(PlanYear,2,1)),1,0))</f>
        <v>0</v>
      </c>
      <c r="Q290">
        <f>IF($N290=0,0,IF(AND($F290&lt;=EOMONTH(DATE(PlanYear,3,1),0),IF(ISNUMBER($G290),$G290,$F290)&gt;=DATE(PlanYear,3,1)),1,0))</f>
        <v>0</v>
      </c>
      <c r="R290">
        <f>IF($N290=0,0,IF(AND($F290&lt;=EOMONTH(DATE(PlanYear,4,1),0),IF(ISNUMBER($G290),$G290,$F290)&gt;=DATE(PlanYear,4,1)),1,0))</f>
        <v>0</v>
      </c>
      <c r="S290">
        <f>IF($N290=0,0,IF(AND($F290&lt;=EOMONTH(DATE(PlanYear,5,1),0),IF(ISNUMBER($G290),$G290,$F290)&gt;=DATE(PlanYear,5,1)),1,0))</f>
        <v>0</v>
      </c>
      <c r="T290">
        <f>IF($N290=0,0,IF(AND($F290&lt;=EOMONTH(DATE(PlanYear,6,1),0),IF(ISNUMBER($G290),$G290,$F290)&gt;=DATE(PlanYear,6,1)),1,0))</f>
        <v>0</v>
      </c>
      <c r="U290">
        <f>IF($N290=0,0,IF(AND($F290&lt;=EOMONTH(DATE(PlanYear,7,1),0),IF(ISNUMBER($G290),$G290,$F290)&gt;=DATE(PlanYear,7,1)),1,0))</f>
        <v>0</v>
      </c>
      <c r="V290">
        <f>IF($N290=0,0,IF(AND($F290&lt;=EOMONTH(DATE(PlanYear,8,1),0),IF(ISNUMBER($G290),$G290,$F290)&gt;=DATE(PlanYear,8,1)),1,0))</f>
        <v>0</v>
      </c>
      <c r="W290">
        <f>IF($N290=0,0,IF(AND($F290&lt;=EOMONTH(DATE(PlanYear,9,1),0),IF(ISNUMBER($G290),$G290,$F290)&gt;=DATE(PlanYear,9,1)),1,0))</f>
        <v>0</v>
      </c>
      <c r="X290">
        <f>IF($N290=0,0,IF(AND($F290&lt;=EOMONTH(DATE(PlanYear,10,1),0),IF(ISNUMBER($G290),$G290,$F290)&gt;=DATE(PlanYear,10,1)),1,0))</f>
        <v>0</v>
      </c>
      <c r="Y290">
        <f>IF($N290=0,0,IF(AND($F290&lt;=EOMONTH(DATE(PlanYear,11,1),0),IF(ISNUMBER($G290),$G290,$F290)&gt;=DATE(PlanYear,11,1)),1,0))</f>
        <v>0</v>
      </c>
      <c r="Z290">
        <f>IF($N290=0,0,IF(AND($F290&lt;=EOMONTH(DATE(PlanYear,12,1),0),IF(ISNUMBER($G290),$G290,$F290)&gt;=DATE(PlanYear,12,1)),1,0))</f>
        <v>0</v>
      </c>
      <c r="AA290">
        <f>SUM($O290:$Z290)</f>
        <v>0</v>
      </c>
    </row>
    <row r="291" spans="1:27">
      <c r="A291" s="42">
        <f>IF($B291="","","ACT-"&amp;TEXT(ROW()-4,"000"))</f>
        <v>0</v>
      </c>
      <c r="M291" s="43">
        <f>IF(COUNTA($B291:$K291)=0,"",IF($B291="","Missing activity name",IF($C291="","Missing practice",IF(COUNTIF(PracticeNames,$C291)=0,"Practice not in Lists",IF($D291="","Missing motion",IF(NOT(ISNUMBER($F291)),"Missing or invalid start date",IF(AND(ISNUMBER($G291),$G291&lt;$F291),"End date before start",IF(AND($N291=1,$AA291=0),"Outside planning year","OK"))))))))</f>
        <v>0</v>
      </c>
      <c r="N291">
        <f>IF(AND($B291&lt;&gt;"",$C291&lt;&gt;"",$D291&lt;&gt;"",ISNUMBER($F291),COUNTIF(PracticeNames,$C291)&gt;0,COUNTIF(MotionNames,$D291)&gt;0,NOT(AND(ISNUMBER($G291),$G291&lt;$F291))),IF(StatusFilter="All (excl. Cancelled)",IF($H291="Cancelled",0,1),IF(StatusFilter="All",1,IF($H291=StatusFilter,1,0))),0)</f>
        <v>0</v>
      </c>
      <c r="O291">
        <f>IF($N291=0,0,IF(AND($F291&lt;=EOMONTH(DATE(PlanYear,1,1),0),IF(ISNUMBER($G291),$G291,$F291)&gt;=DATE(PlanYear,1,1)),1,0))</f>
        <v>0</v>
      </c>
      <c r="P291">
        <f>IF($N291=0,0,IF(AND($F291&lt;=EOMONTH(DATE(PlanYear,2,1),0),IF(ISNUMBER($G291),$G291,$F291)&gt;=DATE(PlanYear,2,1)),1,0))</f>
        <v>0</v>
      </c>
      <c r="Q291">
        <f>IF($N291=0,0,IF(AND($F291&lt;=EOMONTH(DATE(PlanYear,3,1),0),IF(ISNUMBER($G291),$G291,$F291)&gt;=DATE(PlanYear,3,1)),1,0))</f>
        <v>0</v>
      </c>
      <c r="R291">
        <f>IF($N291=0,0,IF(AND($F291&lt;=EOMONTH(DATE(PlanYear,4,1),0),IF(ISNUMBER($G291),$G291,$F291)&gt;=DATE(PlanYear,4,1)),1,0))</f>
        <v>0</v>
      </c>
      <c r="S291">
        <f>IF($N291=0,0,IF(AND($F291&lt;=EOMONTH(DATE(PlanYear,5,1),0),IF(ISNUMBER($G291),$G291,$F291)&gt;=DATE(PlanYear,5,1)),1,0))</f>
        <v>0</v>
      </c>
      <c r="T291">
        <f>IF($N291=0,0,IF(AND($F291&lt;=EOMONTH(DATE(PlanYear,6,1),0),IF(ISNUMBER($G291),$G291,$F291)&gt;=DATE(PlanYear,6,1)),1,0))</f>
        <v>0</v>
      </c>
      <c r="U291">
        <f>IF($N291=0,0,IF(AND($F291&lt;=EOMONTH(DATE(PlanYear,7,1),0),IF(ISNUMBER($G291),$G291,$F291)&gt;=DATE(PlanYear,7,1)),1,0))</f>
        <v>0</v>
      </c>
      <c r="V291">
        <f>IF($N291=0,0,IF(AND($F291&lt;=EOMONTH(DATE(PlanYear,8,1),0),IF(ISNUMBER($G291),$G291,$F291)&gt;=DATE(PlanYear,8,1)),1,0))</f>
        <v>0</v>
      </c>
      <c r="W291">
        <f>IF($N291=0,0,IF(AND($F291&lt;=EOMONTH(DATE(PlanYear,9,1),0),IF(ISNUMBER($G291),$G291,$F291)&gt;=DATE(PlanYear,9,1)),1,0))</f>
        <v>0</v>
      </c>
      <c r="X291">
        <f>IF($N291=0,0,IF(AND($F291&lt;=EOMONTH(DATE(PlanYear,10,1),0),IF(ISNUMBER($G291),$G291,$F291)&gt;=DATE(PlanYear,10,1)),1,0))</f>
        <v>0</v>
      </c>
      <c r="Y291">
        <f>IF($N291=0,0,IF(AND($F291&lt;=EOMONTH(DATE(PlanYear,11,1),0),IF(ISNUMBER($G291),$G291,$F291)&gt;=DATE(PlanYear,11,1)),1,0))</f>
        <v>0</v>
      </c>
      <c r="Z291">
        <f>IF($N291=0,0,IF(AND($F291&lt;=EOMONTH(DATE(PlanYear,12,1),0),IF(ISNUMBER($G291),$G291,$F291)&gt;=DATE(PlanYear,12,1)),1,0))</f>
        <v>0</v>
      </c>
      <c r="AA291">
        <f>SUM($O291:$Z291)</f>
        <v>0</v>
      </c>
    </row>
    <row r="292" spans="1:27">
      <c r="A292" s="42">
        <f>IF($B292="","","ACT-"&amp;TEXT(ROW()-4,"000"))</f>
        <v>0</v>
      </c>
      <c r="M292" s="43">
        <f>IF(COUNTA($B292:$K292)=0,"",IF($B292="","Missing activity name",IF($C292="","Missing practice",IF(COUNTIF(PracticeNames,$C292)=0,"Practice not in Lists",IF($D292="","Missing motion",IF(NOT(ISNUMBER($F292)),"Missing or invalid start date",IF(AND(ISNUMBER($G292),$G292&lt;$F292),"End date before start",IF(AND($N292=1,$AA292=0),"Outside planning year","OK"))))))))</f>
        <v>0</v>
      </c>
      <c r="N292">
        <f>IF(AND($B292&lt;&gt;"",$C292&lt;&gt;"",$D292&lt;&gt;"",ISNUMBER($F292),COUNTIF(PracticeNames,$C292)&gt;0,COUNTIF(MotionNames,$D292)&gt;0,NOT(AND(ISNUMBER($G292),$G292&lt;$F292))),IF(StatusFilter="All (excl. Cancelled)",IF($H292="Cancelled",0,1),IF(StatusFilter="All",1,IF($H292=StatusFilter,1,0))),0)</f>
        <v>0</v>
      </c>
      <c r="O292">
        <f>IF($N292=0,0,IF(AND($F292&lt;=EOMONTH(DATE(PlanYear,1,1),0),IF(ISNUMBER($G292),$G292,$F292)&gt;=DATE(PlanYear,1,1)),1,0))</f>
        <v>0</v>
      </c>
      <c r="P292">
        <f>IF($N292=0,0,IF(AND($F292&lt;=EOMONTH(DATE(PlanYear,2,1),0),IF(ISNUMBER($G292),$G292,$F292)&gt;=DATE(PlanYear,2,1)),1,0))</f>
        <v>0</v>
      </c>
      <c r="Q292">
        <f>IF($N292=0,0,IF(AND($F292&lt;=EOMONTH(DATE(PlanYear,3,1),0),IF(ISNUMBER($G292),$G292,$F292)&gt;=DATE(PlanYear,3,1)),1,0))</f>
        <v>0</v>
      </c>
      <c r="R292">
        <f>IF($N292=0,0,IF(AND($F292&lt;=EOMONTH(DATE(PlanYear,4,1),0),IF(ISNUMBER($G292),$G292,$F292)&gt;=DATE(PlanYear,4,1)),1,0))</f>
        <v>0</v>
      </c>
      <c r="S292">
        <f>IF($N292=0,0,IF(AND($F292&lt;=EOMONTH(DATE(PlanYear,5,1),0),IF(ISNUMBER($G292),$G292,$F292)&gt;=DATE(PlanYear,5,1)),1,0))</f>
        <v>0</v>
      </c>
      <c r="T292">
        <f>IF($N292=0,0,IF(AND($F292&lt;=EOMONTH(DATE(PlanYear,6,1),0),IF(ISNUMBER($G292),$G292,$F292)&gt;=DATE(PlanYear,6,1)),1,0))</f>
        <v>0</v>
      </c>
      <c r="U292">
        <f>IF($N292=0,0,IF(AND($F292&lt;=EOMONTH(DATE(PlanYear,7,1),0),IF(ISNUMBER($G292),$G292,$F292)&gt;=DATE(PlanYear,7,1)),1,0))</f>
        <v>0</v>
      </c>
      <c r="V292">
        <f>IF($N292=0,0,IF(AND($F292&lt;=EOMONTH(DATE(PlanYear,8,1),0),IF(ISNUMBER($G292),$G292,$F292)&gt;=DATE(PlanYear,8,1)),1,0))</f>
        <v>0</v>
      </c>
      <c r="W292">
        <f>IF($N292=0,0,IF(AND($F292&lt;=EOMONTH(DATE(PlanYear,9,1),0),IF(ISNUMBER($G292),$G292,$F292)&gt;=DATE(PlanYear,9,1)),1,0))</f>
        <v>0</v>
      </c>
      <c r="X292">
        <f>IF($N292=0,0,IF(AND($F292&lt;=EOMONTH(DATE(PlanYear,10,1),0),IF(ISNUMBER($G292),$G292,$F292)&gt;=DATE(PlanYear,10,1)),1,0))</f>
        <v>0</v>
      </c>
      <c r="Y292">
        <f>IF($N292=0,0,IF(AND($F292&lt;=EOMONTH(DATE(PlanYear,11,1),0),IF(ISNUMBER($G292),$G292,$F292)&gt;=DATE(PlanYear,11,1)),1,0))</f>
        <v>0</v>
      </c>
      <c r="Z292">
        <f>IF($N292=0,0,IF(AND($F292&lt;=EOMONTH(DATE(PlanYear,12,1),0),IF(ISNUMBER($G292),$G292,$F292)&gt;=DATE(PlanYear,12,1)),1,0))</f>
        <v>0</v>
      </c>
      <c r="AA292">
        <f>SUM($O292:$Z292)</f>
        <v>0</v>
      </c>
    </row>
    <row r="293" spans="1:27">
      <c r="A293" s="42">
        <f>IF($B293="","","ACT-"&amp;TEXT(ROW()-4,"000"))</f>
        <v>0</v>
      </c>
      <c r="M293" s="43">
        <f>IF(COUNTA($B293:$K293)=0,"",IF($B293="","Missing activity name",IF($C293="","Missing practice",IF(COUNTIF(PracticeNames,$C293)=0,"Practice not in Lists",IF($D293="","Missing motion",IF(NOT(ISNUMBER($F293)),"Missing or invalid start date",IF(AND(ISNUMBER($G293),$G293&lt;$F293),"End date before start",IF(AND($N293=1,$AA293=0),"Outside planning year","OK"))))))))</f>
        <v>0</v>
      </c>
      <c r="N293">
        <f>IF(AND($B293&lt;&gt;"",$C293&lt;&gt;"",$D293&lt;&gt;"",ISNUMBER($F293),COUNTIF(PracticeNames,$C293)&gt;0,COUNTIF(MotionNames,$D293)&gt;0,NOT(AND(ISNUMBER($G293),$G293&lt;$F293))),IF(StatusFilter="All (excl. Cancelled)",IF($H293="Cancelled",0,1),IF(StatusFilter="All",1,IF($H293=StatusFilter,1,0))),0)</f>
        <v>0</v>
      </c>
      <c r="O293">
        <f>IF($N293=0,0,IF(AND($F293&lt;=EOMONTH(DATE(PlanYear,1,1),0),IF(ISNUMBER($G293),$G293,$F293)&gt;=DATE(PlanYear,1,1)),1,0))</f>
        <v>0</v>
      </c>
      <c r="P293">
        <f>IF($N293=0,0,IF(AND($F293&lt;=EOMONTH(DATE(PlanYear,2,1),0),IF(ISNUMBER($G293),$G293,$F293)&gt;=DATE(PlanYear,2,1)),1,0))</f>
        <v>0</v>
      </c>
      <c r="Q293">
        <f>IF($N293=0,0,IF(AND($F293&lt;=EOMONTH(DATE(PlanYear,3,1),0),IF(ISNUMBER($G293),$G293,$F293)&gt;=DATE(PlanYear,3,1)),1,0))</f>
        <v>0</v>
      </c>
      <c r="R293">
        <f>IF($N293=0,0,IF(AND($F293&lt;=EOMONTH(DATE(PlanYear,4,1),0),IF(ISNUMBER($G293),$G293,$F293)&gt;=DATE(PlanYear,4,1)),1,0))</f>
        <v>0</v>
      </c>
      <c r="S293">
        <f>IF($N293=0,0,IF(AND($F293&lt;=EOMONTH(DATE(PlanYear,5,1),0),IF(ISNUMBER($G293),$G293,$F293)&gt;=DATE(PlanYear,5,1)),1,0))</f>
        <v>0</v>
      </c>
      <c r="T293">
        <f>IF($N293=0,0,IF(AND($F293&lt;=EOMONTH(DATE(PlanYear,6,1),0),IF(ISNUMBER($G293),$G293,$F293)&gt;=DATE(PlanYear,6,1)),1,0))</f>
        <v>0</v>
      </c>
      <c r="U293">
        <f>IF($N293=0,0,IF(AND($F293&lt;=EOMONTH(DATE(PlanYear,7,1),0),IF(ISNUMBER($G293),$G293,$F293)&gt;=DATE(PlanYear,7,1)),1,0))</f>
        <v>0</v>
      </c>
      <c r="V293">
        <f>IF($N293=0,0,IF(AND($F293&lt;=EOMONTH(DATE(PlanYear,8,1),0),IF(ISNUMBER($G293),$G293,$F293)&gt;=DATE(PlanYear,8,1)),1,0))</f>
        <v>0</v>
      </c>
      <c r="W293">
        <f>IF($N293=0,0,IF(AND($F293&lt;=EOMONTH(DATE(PlanYear,9,1),0),IF(ISNUMBER($G293),$G293,$F293)&gt;=DATE(PlanYear,9,1)),1,0))</f>
        <v>0</v>
      </c>
      <c r="X293">
        <f>IF($N293=0,0,IF(AND($F293&lt;=EOMONTH(DATE(PlanYear,10,1),0),IF(ISNUMBER($G293),$G293,$F293)&gt;=DATE(PlanYear,10,1)),1,0))</f>
        <v>0</v>
      </c>
      <c r="Y293">
        <f>IF($N293=0,0,IF(AND($F293&lt;=EOMONTH(DATE(PlanYear,11,1),0),IF(ISNUMBER($G293),$G293,$F293)&gt;=DATE(PlanYear,11,1)),1,0))</f>
        <v>0</v>
      </c>
      <c r="Z293">
        <f>IF($N293=0,0,IF(AND($F293&lt;=EOMONTH(DATE(PlanYear,12,1),0),IF(ISNUMBER($G293),$G293,$F293)&gt;=DATE(PlanYear,12,1)),1,0))</f>
        <v>0</v>
      </c>
      <c r="AA293">
        <f>SUM($O293:$Z293)</f>
        <v>0</v>
      </c>
    </row>
    <row r="294" spans="1:27">
      <c r="A294" s="42">
        <f>IF($B294="","","ACT-"&amp;TEXT(ROW()-4,"000"))</f>
        <v>0</v>
      </c>
      <c r="M294" s="43">
        <f>IF(COUNTA($B294:$K294)=0,"",IF($B294="","Missing activity name",IF($C294="","Missing practice",IF(COUNTIF(PracticeNames,$C294)=0,"Practice not in Lists",IF($D294="","Missing motion",IF(NOT(ISNUMBER($F294)),"Missing or invalid start date",IF(AND(ISNUMBER($G294),$G294&lt;$F294),"End date before start",IF(AND($N294=1,$AA294=0),"Outside planning year","OK"))))))))</f>
        <v>0</v>
      </c>
      <c r="N294">
        <f>IF(AND($B294&lt;&gt;"",$C294&lt;&gt;"",$D294&lt;&gt;"",ISNUMBER($F294),COUNTIF(PracticeNames,$C294)&gt;0,COUNTIF(MotionNames,$D294)&gt;0,NOT(AND(ISNUMBER($G294),$G294&lt;$F294))),IF(StatusFilter="All (excl. Cancelled)",IF($H294="Cancelled",0,1),IF(StatusFilter="All",1,IF($H294=StatusFilter,1,0))),0)</f>
        <v>0</v>
      </c>
      <c r="O294">
        <f>IF($N294=0,0,IF(AND($F294&lt;=EOMONTH(DATE(PlanYear,1,1),0),IF(ISNUMBER($G294),$G294,$F294)&gt;=DATE(PlanYear,1,1)),1,0))</f>
        <v>0</v>
      </c>
      <c r="P294">
        <f>IF($N294=0,0,IF(AND($F294&lt;=EOMONTH(DATE(PlanYear,2,1),0),IF(ISNUMBER($G294),$G294,$F294)&gt;=DATE(PlanYear,2,1)),1,0))</f>
        <v>0</v>
      </c>
      <c r="Q294">
        <f>IF($N294=0,0,IF(AND($F294&lt;=EOMONTH(DATE(PlanYear,3,1),0),IF(ISNUMBER($G294),$G294,$F294)&gt;=DATE(PlanYear,3,1)),1,0))</f>
        <v>0</v>
      </c>
      <c r="R294">
        <f>IF($N294=0,0,IF(AND($F294&lt;=EOMONTH(DATE(PlanYear,4,1),0),IF(ISNUMBER($G294),$G294,$F294)&gt;=DATE(PlanYear,4,1)),1,0))</f>
        <v>0</v>
      </c>
      <c r="S294">
        <f>IF($N294=0,0,IF(AND($F294&lt;=EOMONTH(DATE(PlanYear,5,1),0),IF(ISNUMBER($G294),$G294,$F294)&gt;=DATE(PlanYear,5,1)),1,0))</f>
        <v>0</v>
      </c>
      <c r="T294">
        <f>IF($N294=0,0,IF(AND($F294&lt;=EOMONTH(DATE(PlanYear,6,1),0),IF(ISNUMBER($G294),$G294,$F294)&gt;=DATE(PlanYear,6,1)),1,0))</f>
        <v>0</v>
      </c>
      <c r="U294">
        <f>IF($N294=0,0,IF(AND($F294&lt;=EOMONTH(DATE(PlanYear,7,1),0),IF(ISNUMBER($G294),$G294,$F294)&gt;=DATE(PlanYear,7,1)),1,0))</f>
        <v>0</v>
      </c>
      <c r="V294">
        <f>IF($N294=0,0,IF(AND($F294&lt;=EOMONTH(DATE(PlanYear,8,1),0),IF(ISNUMBER($G294),$G294,$F294)&gt;=DATE(PlanYear,8,1)),1,0))</f>
        <v>0</v>
      </c>
      <c r="W294">
        <f>IF($N294=0,0,IF(AND($F294&lt;=EOMONTH(DATE(PlanYear,9,1),0),IF(ISNUMBER($G294),$G294,$F294)&gt;=DATE(PlanYear,9,1)),1,0))</f>
        <v>0</v>
      </c>
      <c r="X294">
        <f>IF($N294=0,0,IF(AND($F294&lt;=EOMONTH(DATE(PlanYear,10,1),0),IF(ISNUMBER($G294),$G294,$F294)&gt;=DATE(PlanYear,10,1)),1,0))</f>
        <v>0</v>
      </c>
      <c r="Y294">
        <f>IF($N294=0,0,IF(AND($F294&lt;=EOMONTH(DATE(PlanYear,11,1),0),IF(ISNUMBER($G294),$G294,$F294)&gt;=DATE(PlanYear,11,1)),1,0))</f>
        <v>0</v>
      </c>
      <c r="Z294">
        <f>IF($N294=0,0,IF(AND($F294&lt;=EOMONTH(DATE(PlanYear,12,1),0),IF(ISNUMBER($G294),$G294,$F294)&gt;=DATE(PlanYear,12,1)),1,0))</f>
        <v>0</v>
      </c>
      <c r="AA294">
        <f>SUM($O294:$Z294)</f>
        <v>0</v>
      </c>
    </row>
    <row r="295" spans="1:27">
      <c r="A295" s="42">
        <f>IF($B295="","","ACT-"&amp;TEXT(ROW()-4,"000"))</f>
        <v>0</v>
      </c>
      <c r="M295" s="43">
        <f>IF(COUNTA($B295:$K295)=0,"",IF($B295="","Missing activity name",IF($C295="","Missing practice",IF(COUNTIF(PracticeNames,$C295)=0,"Practice not in Lists",IF($D295="","Missing motion",IF(NOT(ISNUMBER($F295)),"Missing or invalid start date",IF(AND(ISNUMBER($G295),$G295&lt;$F295),"End date before start",IF(AND($N295=1,$AA295=0),"Outside planning year","OK"))))))))</f>
        <v>0</v>
      </c>
      <c r="N295">
        <f>IF(AND($B295&lt;&gt;"",$C295&lt;&gt;"",$D295&lt;&gt;"",ISNUMBER($F295),COUNTIF(PracticeNames,$C295)&gt;0,COUNTIF(MotionNames,$D295)&gt;0,NOT(AND(ISNUMBER($G295),$G295&lt;$F295))),IF(StatusFilter="All (excl. Cancelled)",IF($H295="Cancelled",0,1),IF(StatusFilter="All",1,IF($H295=StatusFilter,1,0))),0)</f>
        <v>0</v>
      </c>
      <c r="O295">
        <f>IF($N295=0,0,IF(AND($F295&lt;=EOMONTH(DATE(PlanYear,1,1),0),IF(ISNUMBER($G295),$G295,$F295)&gt;=DATE(PlanYear,1,1)),1,0))</f>
        <v>0</v>
      </c>
      <c r="P295">
        <f>IF($N295=0,0,IF(AND($F295&lt;=EOMONTH(DATE(PlanYear,2,1),0),IF(ISNUMBER($G295),$G295,$F295)&gt;=DATE(PlanYear,2,1)),1,0))</f>
        <v>0</v>
      </c>
      <c r="Q295">
        <f>IF($N295=0,0,IF(AND($F295&lt;=EOMONTH(DATE(PlanYear,3,1),0),IF(ISNUMBER($G295),$G295,$F295)&gt;=DATE(PlanYear,3,1)),1,0))</f>
        <v>0</v>
      </c>
      <c r="R295">
        <f>IF($N295=0,0,IF(AND($F295&lt;=EOMONTH(DATE(PlanYear,4,1),0),IF(ISNUMBER($G295),$G295,$F295)&gt;=DATE(PlanYear,4,1)),1,0))</f>
        <v>0</v>
      </c>
      <c r="S295">
        <f>IF($N295=0,0,IF(AND($F295&lt;=EOMONTH(DATE(PlanYear,5,1),0),IF(ISNUMBER($G295),$G295,$F295)&gt;=DATE(PlanYear,5,1)),1,0))</f>
        <v>0</v>
      </c>
      <c r="T295">
        <f>IF($N295=0,0,IF(AND($F295&lt;=EOMONTH(DATE(PlanYear,6,1),0),IF(ISNUMBER($G295),$G295,$F295)&gt;=DATE(PlanYear,6,1)),1,0))</f>
        <v>0</v>
      </c>
      <c r="U295">
        <f>IF($N295=0,0,IF(AND($F295&lt;=EOMONTH(DATE(PlanYear,7,1),0),IF(ISNUMBER($G295),$G295,$F295)&gt;=DATE(PlanYear,7,1)),1,0))</f>
        <v>0</v>
      </c>
      <c r="V295">
        <f>IF($N295=0,0,IF(AND($F295&lt;=EOMONTH(DATE(PlanYear,8,1),0),IF(ISNUMBER($G295),$G295,$F295)&gt;=DATE(PlanYear,8,1)),1,0))</f>
        <v>0</v>
      </c>
      <c r="W295">
        <f>IF($N295=0,0,IF(AND($F295&lt;=EOMONTH(DATE(PlanYear,9,1),0),IF(ISNUMBER($G295),$G295,$F295)&gt;=DATE(PlanYear,9,1)),1,0))</f>
        <v>0</v>
      </c>
      <c r="X295">
        <f>IF($N295=0,0,IF(AND($F295&lt;=EOMONTH(DATE(PlanYear,10,1),0),IF(ISNUMBER($G295),$G295,$F295)&gt;=DATE(PlanYear,10,1)),1,0))</f>
        <v>0</v>
      </c>
      <c r="Y295">
        <f>IF($N295=0,0,IF(AND($F295&lt;=EOMONTH(DATE(PlanYear,11,1),0),IF(ISNUMBER($G295),$G295,$F295)&gt;=DATE(PlanYear,11,1)),1,0))</f>
        <v>0</v>
      </c>
      <c r="Z295">
        <f>IF($N295=0,0,IF(AND($F295&lt;=EOMONTH(DATE(PlanYear,12,1),0),IF(ISNUMBER($G295),$G295,$F295)&gt;=DATE(PlanYear,12,1)),1,0))</f>
        <v>0</v>
      </c>
      <c r="AA295">
        <f>SUM($O295:$Z295)</f>
        <v>0</v>
      </c>
    </row>
    <row r="296" spans="1:27">
      <c r="A296" s="42">
        <f>IF($B296="","","ACT-"&amp;TEXT(ROW()-4,"000"))</f>
        <v>0</v>
      </c>
      <c r="M296" s="43">
        <f>IF(COUNTA($B296:$K296)=0,"",IF($B296="","Missing activity name",IF($C296="","Missing practice",IF(COUNTIF(PracticeNames,$C296)=0,"Practice not in Lists",IF($D296="","Missing motion",IF(NOT(ISNUMBER($F296)),"Missing or invalid start date",IF(AND(ISNUMBER($G296),$G296&lt;$F296),"End date before start",IF(AND($N296=1,$AA296=0),"Outside planning year","OK"))))))))</f>
        <v>0</v>
      </c>
      <c r="N296">
        <f>IF(AND($B296&lt;&gt;"",$C296&lt;&gt;"",$D296&lt;&gt;"",ISNUMBER($F296),COUNTIF(PracticeNames,$C296)&gt;0,COUNTIF(MotionNames,$D296)&gt;0,NOT(AND(ISNUMBER($G296),$G296&lt;$F296))),IF(StatusFilter="All (excl. Cancelled)",IF($H296="Cancelled",0,1),IF(StatusFilter="All",1,IF($H296=StatusFilter,1,0))),0)</f>
        <v>0</v>
      </c>
      <c r="O296">
        <f>IF($N296=0,0,IF(AND($F296&lt;=EOMONTH(DATE(PlanYear,1,1),0),IF(ISNUMBER($G296),$G296,$F296)&gt;=DATE(PlanYear,1,1)),1,0))</f>
        <v>0</v>
      </c>
      <c r="P296">
        <f>IF($N296=0,0,IF(AND($F296&lt;=EOMONTH(DATE(PlanYear,2,1),0),IF(ISNUMBER($G296),$G296,$F296)&gt;=DATE(PlanYear,2,1)),1,0))</f>
        <v>0</v>
      </c>
      <c r="Q296">
        <f>IF($N296=0,0,IF(AND($F296&lt;=EOMONTH(DATE(PlanYear,3,1),0),IF(ISNUMBER($G296),$G296,$F296)&gt;=DATE(PlanYear,3,1)),1,0))</f>
        <v>0</v>
      </c>
      <c r="R296">
        <f>IF($N296=0,0,IF(AND($F296&lt;=EOMONTH(DATE(PlanYear,4,1),0),IF(ISNUMBER($G296),$G296,$F296)&gt;=DATE(PlanYear,4,1)),1,0))</f>
        <v>0</v>
      </c>
      <c r="S296">
        <f>IF($N296=0,0,IF(AND($F296&lt;=EOMONTH(DATE(PlanYear,5,1),0),IF(ISNUMBER($G296),$G296,$F296)&gt;=DATE(PlanYear,5,1)),1,0))</f>
        <v>0</v>
      </c>
      <c r="T296">
        <f>IF($N296=0,0,IF(AND($F296&lt;=EOMONTH(DATE(PlanYear,6,1),0),IF(ISNUMBER($G296),$G296,$F296)&gt;=DATE(PlanYear,6,1)),1,0))</f>
        <v>0</v>
      </c>
      <c r="U296">
        <f>IF($N296=0,0,IF(AND($F296&lt;=EOMONTH(DATE(PlanYear,7,1),0),IF(ISNUMBER($G296),$G296,$F296)&gt;=DATE(PlanYear,7,1)),1,0))</f>
        <v>0</v>
      </c>
      <c r="V296">
        <f>IF($N296=0,0,IF(AND($F296&lt;=EOMONTH(DATE(PlanYear,8,1),0),IF(ISNUMBER($G296),$G296,$F296)&gt;=DATE(PlanYear,8,1)),1,0))</f>
        <v>0</v>
      </c>
      <c r="W296">
        <f>IF($N296=0,0,IF(AND($F296&lt;=EOMONTH(DATE(PlanYear,9,1),0),IF(ISNUMBER($G296),$G296,$F296)&gt;=DATE(PlanYear,9,1)),1,0))</f>
        <v>0</v>
      </c>
      <c r="X296">
        <f>IF($N296=0,0,IF(AND($F296&lt;=EOMONTH(DATE(PlanYear,10,1),0),IF(ISNUMBER($G296),$G296,$F296)&gt;=DATE(PlanYear,10,1)),1,0))</f>
        <v>0</v>
      </c>
      <c r="Y296">
        <f>IF($N296=0,0,IF(AND($F296&lt;=EOMONTH(DATE(PlanYear,11,1),0),IF(ISNUMBER($G296),$G296,$F296)&gt;=DATE(PlanYear,11,1)),1,0))</f>
        <v>0</v>
      </c>
      <c r="Z296">
        <f>IF($N296=0,0,IF(AND($F296&lt;=EOMONTH(DATE(PlanYear,12,1),0),IF(ISNUMBER($G296),$G296,$F296)&gt;=DATE(PlanYear,12,1)),1,0))</f>
        <v>0</v>
      </c>
      <c r="AA296">
        <f>SUM($O296:$Z296)</f>
        <v>0</v>
      </c>
    </row>
    <row r="297" spans="1:27">
      <c r="A297" s="42">
        <f>IF($B297="","","ACT-"&amp;TEXT(ROW()-4,"000"))</f>
        <v>0</v>
      </c>
      <c r="M297" s="43">
        <f>IF(COUNTA($B297:$K297)=0,"",IF($B297="","Missing activity name",IF($C297="","Missing practice",IF(COUNTIF(PracticeNames,$C297)=0,"Practice not in Lists",IF($D297="","Missing motion",IF(NOT(ISNUMBER($F297)),"Missing or invalid start date",IF(AND(ISNUMBER($G297),$G297&lt;$F297),"End date before start",IF(AND($N297=1,$AA297=0),"Outside planning year","OK"))))))))</f>
        <v>0</v>
      </c>
      <c r="N297">
        <f>IF(AND($B297&lt;&gt;"",$C297&lt;&gt;"",$D297&lt;&gt;"",ISNUMBER($F297),COUNTIF(PracticeNames,$C297)&gt;0,COUNTIF(MotionNames,$D297)&gt;0,NOT(AND(ISNUMBER($G297),$G297&lt;$F297))),IF(StatusFilter="All (excl. Cancelled)",IF($H297="Cancelled",0,1),IF(StatusFilter="All",1,IF($H297=StatusFilter,1,0))),0)</f>
        <v>0</v>
      </c>
      <c r="O297">
        <f>IF($N297=0,0,IF(AND($F297&lt;=EOMONTH(DATE(PlanYear,1,1),0),IF(ISNUMBER($G297),$G297,$F297)&gt;=DATE(PlanYear,1,1)),1,0))</f>
        <v>0</v>
      </c>
      <c r="P297">
        <f>IF($N297=0,0,IF(AND($F297&lt;=EOMONTH(DATE(PlanYear,2,1),0),IF(ISNUMBER($G297),$G297,$F297)&gt;=DATE(PlanYear,2,1)),1,0))</f>
        <v>0</v>
      </c>
      <c r="Q297">
        <f>IF($N297=0,0,IF(AND($F297&lt;=EOMONTH(DATE(PlanYear,3,1),0),IF(ISNUMBER($G297),$G297,$F297)&gt;=DATE(PlanYear,3,1)),1,0))</f>
        <v>0</v>
      </c>
      <c r="R297">
        <f>IF($N297=0,0,IF(AND($F297&lt;=EOMONTH(DATE(PlanYear,4,1),0),IF(ISNUMBER($G297),$G297,$F297)&gt;=DATE(PlanYear,4,1)),1,0))</f>
        <v>0</v>
      </c>
      <c r="S297">
        <f>IF($N297=0,0,IF(AND($F297&lt;=EOMONTH(DATE(PlanYear,5,1),0),IF(ISNUMBER($G297),$G297,$F297)&gt;=DATE(PlanYear,5,1)),1,0))</f>
        <v>0</v>
      </c>
      <c r="T297">
        <f>IF($N297=0,0,IF(AND($F297&lt;=EOMONTH(DATE(PlanYear,6,1),0),IF(ISNUMBER($G297),$G297,$F297)&gt;=DATE(PlanYear,6,1)),1,0))</f>
        <v>0</v>
      </c>
      <c r="U297">
        <f>IF($N297=0,0,IF(AND($F297&lt;=EOMONTH(DATE(PlanYear,7,1),0),IF(ISNUMBER($G297),$G297,$F297)&gt;=DATE(PlanYear,7,1)),1,0))</f>
        <v>0</v>
      </c>
      <c r="V297">
        <f>IF($N297=0,0,IF(AND($F297&lt;=EOMONTH(DATE(PlanYear,8,1),0),IF(ISNUMBER($G297),$G297,$F297)&gt;=DATE(PlanYear,8,1)),1,0))</f>
        <v>0</v>
      </c>
      <c r="W297">
        <f>IF($N297=0,0,IF(AND($F297&lt;=EOMONTH(DATE(PlanYear,9,1),0),IF(ISNUMBER($G297),$G297,$F297)&gt;=DATE(PlanYear,9,1)),1,0))</f>
        <v>0</v>
      </c>
      <c r="X297">
        <f>IF($N297=0,0,IF(AND($F297&lt;=EOMONTH(DATE(PlanYear,10,1),0),IF(ISNUMBER($G297),$G297,$F297)&gt;=DATE(PlanYear,10,1)),1,0))</f>
        <v>0</v>
      </c>
      <c r="Y297">
        <f>IF($N297=0,0,IF(AND($F297&lt;=EOMONTH(DATE(PlanYear,11,1),0),IF(ISNUMBER($G297),$G297,$F297)&gt;=DATE(PlanYear,11,1)),1,0))</f>
        <v>0</v>
      </c>
      <c r="Z297">
        <f>IF($N297=0,0,IF(AND($F297&lt;=EOMONTH(DATE(PlanYear,12,1),0),IF(ISNUMBER($G297),$G297,$F297)&gt;=DATE(PlanYear,12,1)),1,0))</f>
        <v>0</v>
      </c>
      <c r="AA297">
        <f>SUM($O297:$Z297)</f>
        <v>0</v>
      </c>
    </row>
    <row r="298" spans="1:27">
      <c r="A298" s="42">
        <f>IF($B298="","","ACT-"&amp;TEXT(ROW()-4,"000"))</f>
        <v>0</v>
      </c>
      <c r="M298" s="43">
        <f>IF(COUNTA($B298:$K298)=0,"",IF($B298="","Missing activity name",IF($C298="","Missing practice",IF(COUNTIF(PracticeNames,$C298)=0,"Practice not in Lists",IF($D298="","Missing motion",IF(NOT(ISNUMBER($F298)),"Missing or invalid start date",IF(AND(ISNUMBER($G298),$G298&lt;$F298),"End date before start",IF(AND($N298=1,$AA298=0),"Outside planning year","OK"))))))))</f>
        <v>0</v>
      </c>
      <c r="N298">
        <f>IF(AND($B298&lt;&gt;"",$C298&lt;&gt;"",$D298&lt;&gt;"",ISNUMBER($F298),COUNTIF(PracticeNames,$C298)&gt;0,COUNTIF(MotionNames,$D298)&gt;0,NOT(AND(ISNUMBER($G298),$G298&lt;$F298))),IF(StatusFilter="All (excl. Cancelled)",IF($H298="Cancelled",0,1),IF(StatusFilter="All",1,IF($H298=StatusFilter,1,0))),0)</f>
        <v>0</v>
      </c>
      <c r="O298">
        <f>IF($N298=0,0,IF(AND($F298&lt;=EOMONTH(DATE(PlanYear,1,1),0),IF(ISNUMBER($G298),$G298,$F298)&gt;=DATE(PlanYear,1,1)),1,0))</f>
        <v>0</v>
      </c>
      <c r="P298">
        <f>IF($N298=0,0,IF(AND($F298&lt;=EOMONTH(DATE(PlanYear,2,1),0),IF(ISNUMBER($G298),$G298,$F298)&gt;=DATE(PlanYear,2,1)),1,0))</f>
        <v>0</v>
      </c>
      <c r="Q298">
        <f>IF($N298=0,0,IF(AND($F298&lt;=EOMONTH(DATE(PlanYear,3,1),0),IF(ISNUMBER($G298),$G298,$F298)&gt;=DATE(PlanYear,3,1)),1,0))</f>
        <v>0</v>
      </c>
      <c r="R298">
        <f>IF($N298=0,0,IF(AND($F298&lt;=EOMONTH(DATE(PlanYear,4,1),0),IF(ISNUMBER($G298),$G298,$F298)&gt;=DATE(PlanYear,4,1)),1,0))</f>
        <v>0</v>
      </c>
      <c r="S298">
        <f>IF($N298=0,0,IF(AND($F298&lt;=EOMONTH(DATE(PlanYear,5,1),0),IF(ISNUMBER($G298),$G298,$F298)&gt;=DATE(PlanYear,5,1)),1,0))</f>
        <v>0</v>
      </c>
      <c r="T298">
        <f>IF($N298=0,0,IF(AND($F298&lt;=EOMONTH(DATE(PlanYear,6,1),0),IF(ISNUMBER($G298),$G298,$F298)&gt;=DATE(PlanYear,6,1)),1,0))</f>
        <v>0</v>
      </c>
      <c r="U298">
        <f>IF($N298=0,0,IF(AND($F298&lt;=EOMONTH(DATE(PlanYear,7,1),0),IF(ISNUMBER($G298),$G298,$F298)&gt;=DATE(PlanYear,7,1)),1,0))</f>
        <v>0</v>
      </c>
      <c r="V298">
        <f>IF($N298=0,0,IF(AND($F298&lt;=EOMONTH(DATE(PlanYear,8,1),0),IF(ISNUMBER($G298),$G298,$F298)&gt;=DATE(PlanYear,8,1)),1,0))</f>
        <v>0</v>
      </c>
      <c r="W298">
        <f>IF($N298=0,0,IF(AND($F298&lt;=EOMONTH(DATE(PlanYear,9,1),0),IF(ISNUMBER($G298),$G298,$F298)&gt;=DATE(PlanYear,9,1)),1,0))</f>
        <v>0</v>
      </c>
      <c r="X298">
        <f>IF($N298=0,0,IF(AND($F298&lt;=EOMONTH(DATE(PlanYear,10,1),0),IF(ISNUMBER($G298),$G298,$F298)&gt;=DATE(PlanYear,10,1)),1,0))</f>
        <v>0</v>
      </c>
      <c r="Y298">
        <f>IF($N298=0,0,IF(AND($F298&lt;=EOMONTH(DATE(PlanYear,11,1),0),IF(ISNUMBER($G298),$G298,$F298)&gt;=DATE(PlanYear,11,1)),1,0))</f>
        <v>0</v>
      </c>
      <c r="Z298">
        <f>IF($N298=0,0,IF(AND($F298&lt;=EOMONTH(DATE(PlanYear,12,1),0),IF(ISNUMBER($G298),$G298,$F298)&gt;=DATE(PlanYear,12,1)),1,0))</f>
        <v>0</v>
      </c>
      <c r="AA298">
        <f>SUM($O298:$Z298)</f>
        <v>0</v>
      </c>
    </row>
    <row r="299" spans="1:27">
      <c r="A299" s="42">
        <f>IF($B299="","","ACT-"&amp;TEXT(ROW()-4,"000"))</f>
        <v>0</v>
      </c>
      <c r="M299" s="43">
        <f>IF(COUNTA($B299:$K299)=0,"",IF($B299="","Missing activity name",IF($C299="","Missing practice",IF(COUNTIF(PracticeNames,$C299)=0,"Practice not in Lists",IF($D299="","Missing motion",IF(NOT(ISNUMBER($F299)),"Missing or invalid start date",IF(AND(ISNUMBER($G299),$G299&lt;$F299),"End date before start",IF(AND($N299=1,$AA299=0),"Outside planning year","OK"))))))))</f>
        <v>0</v>
      </c>
      <c r="N299">
        <f>IF(AND($B299&lt;&gt;"",$C299&lt;&gt;"",$D299&lt;&gt;"",ISNUMBER($F299),COUNTIF(PracticeNames,$C299)&gt;0,COUNTIF(MotionNames,$D299)&gt;0,NOT(AND(ISNUMBER($G299),$G299&lt;$F299))),IF(StatusFilter="All (excl. Cancelled)",IF($H299="Cancelled",0,1),IF(StatusFilter="All",1,IF($H299=StatusFilter,1,0))),0)</f>
        <v>0</v>
      </c>
      <c r="O299">
        <f>IF($N299=0,0,IF(AND($F299&lt;=EOMONTH(DATE(PlanYear,1,1),0),IF(ISNUMBER($G299),$G299,$F299)&gt;=DATE(PlanYear,1,1)),1,0))</f>
        <v>0</v>
      </c>
      <c r="P299">
        <f>IF($N299=0,0,IF(AND($F299&lt;=EOMONTH(DATE(PlanYear,2,1),0),IF(ISNUMBER($G299),$G299,$F299)&gt;=DATE(PlanYear,2,1)),1,0))</f>
        <v>0</v>
      </c>
      <c r="Q299">
        <f>IF($N299=0,0,IF(AND($F299&lt;=EOMONTH(DATE(PlanYear,3,1),0),IF(ISNUMBER($G299),$G299,$F299)&gt;=DATE(PlanYear,3,1)),1,0))</f>
        <v>0</v>
      </c>
      <c r="R299">
        <f>IF($N299=0,0,IF(AND($F299&lt;=EOMONTH(DATE(PlanYear,4,1),0),IF(ISNUMBER($G299),$G299,$F299)&gt;=DATE(PlanYear,4,1)),1,0))</f>
        <v>0</v>
      </c>
      <c r="S299">
        <f>IF($N299=0,0,IF(AND($F299&lt;=EOMONTH(DATE(PlanYear,5,1),0),IF(ISNUMBER($G299),$G299,$F299)&gt;=DATE(PlanYear,5,1)),1,0))</f>
        <v>0</v>
      </c>
      <c r="T299">
        <f>IF($N299=0,0,IF(AND($F299&lt;=EOMONTH(DATE(PlanYear,6,1),0),IF(ISNUMBER($G299),$G299,$F299)&gt;=DATE(PlanYear,6,1)),1,0))</f>
        <v>0</v>
      </c>
      <c r="U299">
        <f>IF($N299=0,0,IF(AND($F299&lt;=EOMONTH(DATE(PlanYear,7,1),0),IF(ISNUMBER($G299),$G299,$F299)&gt;=DATE(PlanYear,7,1)),1,0))</f>
        <v>0</v>
      </c>
      <c r="V299">
        <f>IF($N299=0,0,IF(AND($F299&lt;=EOMONTH(DATE(PlanYear,8,1),0),IF(ISNUMBER($G299),$G299,$F299)&gt;=DATE(PlanYear,8,1)),1,0))</f>
        <v>0</v>
      </c>
      <c r="W299">
        <f>IF($N299=0,0,IF(AND($F299&lt;=EOMONTH(DATE(PlanYear,9,1),0),IF(ISNUMBER($G299),$G299,$F299)&gt;=DATE(PlanYear,9,1)),1,0))</f>
        <v>0</v>
      </c>
      <c r="X299">
        <f>IF($N299=0,0,IF(AND($F299&lt;=EOMONTH(DATE(PlanYear,10,1),0),IF(ISNUMBER($G299),$G299,$F299)&gt;=DATE(PlanYear,10,1)),1,0))</f>
        <v>0</v>
      </c>
      <c r="Y299">
        <f>IF($N299=0,0,IF(AND($F299&lt;=EOMONTH(DATE(PlanYear,11,1),0),IF(ISNUMBER($G299),$G299,$F299)&gt;=DATE(PlanYear,11,1)),1,0))</f>
        <v>0</v>
      </c>
      <c r="Z299">
        <f>IF($N299=0,0,IF(AND($F299&lt;=EOMONTH(DATE(PlanYear,12,1),0),IF(ISNUMBER($G299),$G299,$F299)&gt;=DATE(PlanYear,12,1)),1,0))</f>
        <v>0</v>
      </c>
      <c r="AA299">
        <f>SUM($O299:$Z299)</f>
        <v>0</v>
      </c>
    </row>
    <row r="300" spans="1:27">
      <c r="A300" s="42">
        <f>IF($B300="","","ACT-"&amp;TEXT(ROW()-4,"000"))</f>
        <v>0</v>
      </c>
      <c r="M300" s="43">
        <f>IF(COUNTA($B300:$K300)=0,"",IF($B300="","Missing activity name",IF($C300="","Missing practice",IF(COUNTIF(PracticeNames,$C300)=0,"Practice not in Lists",IF($D300="","Missing motion",IF(NOT(ISNUMBER($F300)),"Missing or invalid start date",IF(AND(ISNUMBER($G300),$G300&lt;$F300),"End date before start",IF(AND($N300=1,$AA300=0),"Outside planning year","OK"))))))))</f>
        <v>0</v>
      </c>
      <c r="N300">
        <f>IF(AND($B300&lt;&gt;"",$C300&lt;&gt;"",$D300&lt;&gt;"",ISNUMBER($F300),COUNTIF(PracticeNames,$C300)&gt;0,COUNTIF(MotionNames,$D300)&gt;0,NOT(AND(ISNUMBER($G300),$G300&lt;$F300))),IF(StatusFilter="All (excl. Cancelled)",IF($H300="Cancelled",0,1),IF(StatusFilter="All",1,IF($H300=StatusFilter,1,0))),0)</f>
        <v>0</v>
      </c>
      <c r="O300">
        <f>IF($N300=0,0,IF(AND($F300&lt;=EOMONTH(DATE(PlanYear,1,1),0),IF(ISNUMBER($G300),$G300,$F300)&gt;=DATE(PlanYear,1,1)),1,0))</f>
        <v>0</v>
      </c>
      <c r="P300">
        <f>IF($N300=0,0,IF(AND($F300&lt;=EOMONTH(DATE(PlanYear,2,1),0),IF(ISNUMBER($G300),$G300,$F300)&gt;=DATE(PlanYear,2,1)),1,0))</f>
        <v>0</v>
      </c>
      <c r="Q300">
        <f>IF($N300=0,0,IF(AND($F300&lt;=EOMONTH(DATE(PlanYear,3,1),0),IF(ISNUMBER($G300),$G300,$F300)&gt;=DATE(PlanYear,3,1)),1,0))</f>
        <v>0</v>
      </c>
      <c r="R300">
        <f>IF($N300=0,0,IF(AND($F300&lt;=EOMONTH(DATE(PlanYear,4,1),0),IF(ISNUMBER($G300),$G300,$F300)&gt;=DATE(PlanYear,4,1)),1,0))</f>
        <v>0</v>
      </c>
      <c r="S300">
        <f>IF($N300=0,0,IF(AND($F300&lt;=EOMONTH(DATE(PlanYear,5,1),0),IF(ISNUMBER($G300),$G300,$F300)&gt;=DATE(PlanYear,5,1)),1,0))</f>
        <v>0</v>
      </c>
      <c r="T300">
        <f>IF($N300=0,0,IF(AND($F300&lt;=EOMONTH(DATE(PlanYear,6,1),0),IF(ISNUMBER($G300),$G300,$F300)&gt;=DATE(PlanYear,6,1)),1,0))</f>
        <v>0</v>
      </c>
      <c r="U300">
        <f>IF($N300=0,0,IF(AND($F300&lt;=EOMONTH(DATE(PlanYear,7,1),0),IF(ISNUMBER($G300),$G300,$F300)&gt;=DATE(PlanYear,7,1)),1,0))</f>
        <v>0</v>
      </c>
      <c r="V300">
        <f>IF($N300=0,0,IF(AND($F300&lt;=EOMONTH(DATE(PlanYear,8,1),0),IF(ISNUMBER($G300),$G300,$F300)&gt;=DATE(PlanYear,8,1)),1,0))</f>
        <v>0</v>
      </c>
      <c r="W300">
        <f>IF($N300=0,0,IF(AND($F300&lt;=EOMONTH(DATE(PlanYear,9,1),0),IF(ISNUMBER($G300),$G300,$F300)&gt;=DATE(PlanYear,9,1)),1,0))</f>
        <v>0</v>
      </c>
      <c r="X300">
        <f>IF($N300=0,0,IF(AND($F300&lt;=EOMONTH(DATE(PlanYear,10,1),0),IF(ISNUMBER($G300),$G300,$F300)&gt;=DATE(PlanYear,10,1)),1,0))</f>
        <v>0</v>
      </c>
      <c r="Y300">
        <f>IF($N300=0,0,IF(AND($F300&lt;=EOMONTH(DATE(PlanYear,11,1),0),IF(ISNUMBER($G300),$G300,$F300)&gt;=DATE(PlanYear,11,1)),1,0))</f>
        <v>0</v>
      </c>
      <c r="Z300">
        <f>IF($N300=0,0,IF(AND($F300&lt;=EOMONTH(DATE(PlanYear,12,1),0),IF(ISNUMBER($G300),$G300,$F300)&gt;=DATE(PlanYear,12,1)),1,0))</f>
        <v>0</v>
      </c>
      <c r="AA300">
        <f>SUM($O300:$Z300)</f>
        <v>0</v>
      </c>
    </row>
    <row r="301" spans="1:27">
      <c r="A301" s="42">
        <f>IF($B301="","","ACT-"&amp;TEXT(ROW()-4,"000"))</f>
        <v>0</v>
      </c>
      <c r="M301" s="43">
        <f>IF(COUNTA($B301:$K301)=0,"",IF($B301="","Missing activity name",IF($C301="","Missing practice",IF(COUNTIF(PracticeNames,$C301)=0,"Practice not in Lists",IF($D301="","Missing motion",IF(NOT(ISNUMBER($F301)),"Missing or invalid start date",IF(AND(ISNUMBER($G301),$G301&lt;$F301),"End date before start",IF(AND($N301=1,$AA301=0),"Outside planning year","OK"))))))))</f>
        <v>0</v>
      </c>
      <c r="N301">
        <f>IF(AND($B301&lt;&gt;"",$C301&lt;&gt;"",$D301&lt;&gt;"",ISNUMBER($F301),COUNTIF(PracticeNames,$C301)&gt;0,COUNTIF(MotionNames,$D301)&gt;0,NOT(AND(ISNUMBER($G301),$G301&lt;$F301))),IF(StatusFilter="All (excl. Cancelled)",IF($H301="Cancelled",0,1),IF(StatusFilter="All",1,IF($H301=StatusFilter,1,0))),0)</f>
        <v>0</v>
      </c>
      <c r="O301">
        <f>IF($N301=0,0,IF(AND($F301&lt;=EOMONTH(DATE(PlanYear,1,1),0),IF(ISNUMBER($G301),$G301,$F301)&gt;=DATE(PlanYear,1,1)),1,0))</f>
        <v>0</v>
      </c>
      <c r="P301">
        <f>IF($N301=0,0,IF(AND($F301&lt;=EOMONTH(DATE(PlanYear,2,1),0),IF(ISNUMBER($G301),$G301,$F301)&gt;=DATE(PlanYear,2,1)),1,0))</f>
        <v>0</v>
      </c>
      <c r="Q301">
        <f>IF($N301=0,0,IF(AND($F301&lt;=EOMONTH(DATE(PlanYear,3,1),0),IF(ISNUMBER($G301),$G301,$F301)&gt;=DATE(PlanYear,3,1)),1,0))</f>
        <v>0</v>
      </c>
      <c r="R301">
        <f>IF($N301=0,0,IF(AND($F301&lt;=EOMONTH(DATE(PlanYear,4,1),0),IF(ISNUMBER($G301),$G301,$F301)&gt;=DATE(PlanYear,4,1)),1,0))</f>
        <v>0</v>
      </c>
      <c r="S301">
        <f>IF($N301=0,0,IF(AND($F301&lt;=EOMONTH(DATE(PlanYear,5,1),0),IF(ISNUMBER($G301),$G301,$F301)&gt;=DATE(PlanYear,5,1)),1,0))</f>
        <v>0</v>
      </c>
      <c r="T301">
        <f>IF($N301=0,0,IF(AND($F301&lt;=EOMONTH(DATE(PlanYear,6,1),0),IF(ISNUMBER($G301),$G301,$F301)&gt;=DATE(PlanYear,6,1)),1,0))</f>
        <v>0</v>
      </c>
      <c r="U301">
        <f>IF($N301=0,0,IF(AND($F301&lt;=EOMONTH(DATE(PlanYear,7,1),0),IF(ISNUMBER($G301),$G301,$F301)&gt;=DATE(PlanYear,7,1)),1,0))</f>
        <v>0</v>
      </c>
      <c r="V301">
        <f>IF($N301=0,0,IF(AND($F301&lt;=EOMONTH(DATE(PlanYear,8,1),0),IF(ISNUMBER($G301),$G301,$F301)&gt;=DATE(PlanYear,8,1)),1,0))</f>
        <v>0</v>
      </c>
      <c r="W301">
        <f>IF($N301=0,0,IF(AND($F301&lt;=EOMONTH(DATE(PlanYear,9,1),0),IF(ISNUMBER($G301),$G301,$F301)&gt;=DATE(PlanYear,9,1)),1,0))</f>
        <v>0</v>
      </c>
      <c r="X301">
        <f>IF($N301=0,0,IF(AND($F301&lt;=EOMONTH(DATE(PlanYear,10,1),0),IF(ISNUMBER($G301),$G301,$F301)&gt;=DATE(PlanYear,10,1)),1,0))</f>
        <v>0</v>
      </c>
      <c r="Y301">
        <f>IF($N301=0,0,IF(AND($F301&lt;=EOMONTH(DATE(PlanYear,11,1),0),IF(ISNUMBER($G301),$G301,$F301)&gt;=DATE(PlanYear,11,1)),1,0))</f>
        <v>0</v>
      </c>
      <c r="Z301">
        <f>IF($N301=0,0,IF(AND($F301&lt;=EOMONTH(DATE(PlanYear,12,1),0),IF(ISNUMBER($G301),$G301,$F301)&gt;=DATE(PlanYear,12,1)),1,0))</f>
        <v>0</v>
      </c>
      <c r="AA301">
        <f>SUM($O301:$Z301)</f>
        <v>0</v>
      </c>
    </row>
    <row r="302" spans="1:27">
      <c r="A302" s="42">
        <f>IF($B302="","","ACT-"&amp;TEXT(ROW()-4,"000"))</f>
        <v>0</v>
      </c>
      <c r="M302" s="43">
        <f>IF(COUNTA($B302:$K302)=0,"",IF($B302="","Missing activity name",IF($C302="","Missing practice",IF(COUNTIF(PracticeNames,$C302)=0,"Practice not in Lists",IF($D302="","Missing motion",IF(NOT(ISNUMBER($F302)),"Missing or invalid start date",IF(AND(ISNUMBER($G302),$G302&lt;$F302),"End date before start",IF(AND($N302=1,$AA302=0),"Outside planning year","OK"))))))))</f>
        <v>0</v>
      </c>
      <c r="N302">
        <f>IF(AND($B302&lt;&gt;"",$C302&lt;&gt;"",$D302&lt;&gt;"",ISNUMBER($F302),COUNTIF(PracticeNames,$C302)&gt;0,COUNTIF(MotionNames,$D302)&gt;0,NOT(AND(ISNUMBER($G302),$G302&lt;$F302))),IF(StatusFilter="All (excl. Cancelled)",IF($H302="Cancelled",0,1),IF(StatusFilter="All",1,IF($H302=StatusFilter,1,0))),0)</f>
        <v>0</v>
      </c>
      <c r="O302">
        <f>IF($N302=0,0,IF(AND($F302&lt;=EOMONTH(DATE(PlanYear,1,1),0),IF(ISNUMBER($G302),$G302,$F302)&gt;=DATE(PlanYear,1,1)),1,0))</f>
        <v>0</v>
      </c>
      <c r="P302">
        <f>IF($N302=0,0,IF(AND($F302&lt;=EOMONTH(DATE(PlanYear,2,1),0),IF(ISNUMBER($G302),$G302,$F302)&gt;=DATE(PlanYear,2,1)),1,0))</f>
        <v>0</v>
      </c>
      <c r="Q302">
        <f>IF($N302=0,0,IF(AND($F302&lt;=EOMONTH(DATE(PlanYear,3,1),0),IF(ISNUMBER($G302),$G302,$F302)&gt;=DATE(PlanYear,3,1)),1,0))</f>
        <v>0</v>
      </c>
      <c r="R302">
        <f>IF($N302=0,0,IF(AND($F302&lt;=EOMONTH(DATE(PlanYear,4,1),0),IF(ISNUMBER($G302),$G302,$F302)&gt;=DATE(PlanYear,4,1)),1,0))</f>
        <v>0</v>
      </c>
      <c r="S302">
        <f>IF($N302=0,0,IF(AND($F302&lt;=EOMONTH(DATE(PlanYear,5,1),0),IF(ISNUMBER($G302),$G302,$F302)&gt;=DATE(PlanYear,5,1)),1,0))</f>
        <v>0</v>
      </c>
      <c r="T302">
        <f>IF($N302=0,0,IF(AND($F302&lt;=EOMONTH(DATE(PlanYear,6,1),0),IF(ISNUMBER($G302),$G302,$F302)&gt;=DATE(PlanYear,6,1)),1,0))</f>
        <v>0</v>
      </c>
      <c r="U302">
        <f>IF($N302=0,0,IF(AND($F302&lt;=EOMONTH(DATE(PlanYear,7,1),0),IF(ISNUMBER($G302),$G302,$F302)&gt;=DATE(PlanYear,7,1)),1,0))</f>
        <v>0</v>
      </c>
      <c r="V302">
        <f>IF($N302=0,0,IF(AND($F302&lt;=EOMONTH(DATE(PlanYear,8,1),0),IF(ISNUMBER($G302),$G302,$F302)&gt;=DATE(PlanYear,8,1)),1,0))</f>
        <v>0</v>
      </c>
      <c r="W302">
        <f>IF($N302=0,0,IF(AND($F302&lt;=EOMONTH(DATE(PlanYear,9,1),0),IF(ISNUMBER($G302),$G302,$F302)&gt;=DATE(PlanYear,9,1)),1,0))</f>
        <v>0</v>
      </c>
      <c r="X302">
        <f>IF($N302=0,0,IF(AND($F302&lt;=EOMONTH(DATE(PlanYear,10,1),0),IF(ISNUMBER($G302),$G302,$F302)&gt;=DATE(PlanYear,10,1)),1,0))</f>
        <v>0</v>
      </c>
      <c r="Y302">
        <f>IF($N302=0,0,IF(AND($F302&lt;=EOMONTH(DATE(PlanYear,11,1),0),IF(ISNUMBER($G302),$G302,$F302)&gt;=DATE(PlanYear,11,1)),1,0))</f>
        <v>0</v>
      </c>
      <c r="Z302">
        <f>IF($N302=0,0,IF(AND($F302&lt;=EOMONTH(DATE(PlanYear,12,1),0),IF(ISNUMBER($G302),$G302,$F302)&gt;=DATE(PlanYear,12,1)),1,0))</f>
        <v>0</v>
      </c>
      <c r="AA302">
        <f>SUM($O302:$Z302)</f>
        <v>0</v>
      </c>
    </row>
    <row r="303" spans="1:27">
      <c r="A303" s="42">
        <f>IF($B303="","","ACT-"&amp;TEXT(ROW()-4,"000"))</f>
        <v>0</v>
      </c>
      <c r="M303" s="43">
        <f>IF(COUNTA($B303:$K303)=0,"",IF($B303="","Missing activity name",IF($C303="","Missing practice",IF(COUNTIF(PracticeNames,$C303)=0,"Practice not in Lists",IF($D303="","Missing motion",IF(NOT(ISNUMBER($F303)),"Missing or invalid start date",IF(AND(ISNUMBER($G303),$G303&lt;$F303),"End date before start",IF(AND($N303=1,$AA303=0),"Outside planning year","OK"))))))))</f>
        <v>0</v>
      </c>
      <c r="N303">
        <f>IF(AND($B303&lt;&gt;"",$C303&lt;&gt;"",$D303&lt;&gt;"",ISNUMBER($F303),COUNTIF(PracticeNames,$C303)&gt;0,COUNTIF(MotionNames,$D303)&gt;0,NOT(AND(ISNUMBER($G303),$G303&lt;$F303))),IF(StatusFilter="All (excl. Cancelled)",IF($H303="Cancelled",0,1),IF(StatusFilter="All",1,IF($H303=StatusFilter,1,0))),0)</f>
        <v>0</v>
      </c>
      <c r="O303">
        <f>IF($N303=0,0,IF(AND($F303&lt;=EOMONTH(DATE(PlanYear,1,1),0),IF(ISNUMBER($G303),$G303,$F303)&gt;=DATE(PlanYear,1,1)),1,0))</f>
        <v>0</v>
      </c>
      <c r="P303">
        <f>IF($N303=0,0,IF(AND($F303&lt;=EOMONTH(DATE(PlanYear,2,1),0),IF(ISNUMBER($G303),$G303,$F303)&gt;=DATE(PlanYear,2,1)),1,0))</f>
        <v>0</v>
      </c>
      <c r="Q303">
        <f>IF($N303=0,0,IF(AND($F303&lt;=EOMONTH(DATE(PlanYear,3,1),0),IF(ISNUMBER($G303),$G303,$F303)&gt;=DATE(PlanYear,3,1)),1,0))</f>
        <v>0</v>
      </c>
      <c r="R303">
        <f>IF($N303=0,0,IF(AND($F303&lt;=EOMONTH(DATE(PlanYear,4,1),0),IF(ISNUMBER($G303),$G303,$F303)&gt;=DATE(PlanYear,4,1)),1,0))</f>
        <v>0</v>
      </c>
      <c r="S303">
        <f>IF($N303=0,0,IF(AND($F303&lt;=EOMONTH(DATE(PlanYear,5,1),0),IF(ISNUMBER($G303),$G303,$F303)&gt;=DATE(PlanYear,5,1)),1,0))</f>
        <v>0</v>
      </c>
      <c r="T303">
        <f>IF($N303=0,0,IF(AND($F303&lt;=EOMONTH(DATE(PlanYear,6,1),0),IF(ISNUMBER($G303),$G303,$F303)&gt;=DATE(PlanYear,6,1)),1,0))</f>
        <v>0</v>
      </c>
      <c r="U303">
        <f>IF($N303=0,0,IF(AND($F303&lt;=EOMONTH(DATE(PlanYear,7,1),0),IF(ISNUMBER($G303),$G303,$F303)&gt;=DATE(PlanYear,7,1)),1,0))</f>
        <v>0</v>
      </c>
      <c r="V303">
        <f>IF($N303=0,0,IF(AND($F303&lt;=EOMONTH(DATE(PlanYear,8,1),0),IF(ISNUMBER($G303),$G303,$F303)&gt;=DATE(PlanYear,8,1)),1,0))</f>
        <v>0</v>
      </c>
      <c r="W303">
        <f>IF($N303=0,0,IF(AND($F303&lt;=EOMONTH(DATE(PlanYear,9,1),0),IF(ISNUMBER($G303),$G303,$F303)&gt;=DATE(PlanYear,9,1)),1,0))</f>
        <v>0</v>
      </c>
      <c r="X303">
        <f>IF($N303=0,0,IF(AND($F303&lt;=EOMONTH(DATE(PlanYear,10,1),0),IF(ISNUMBER($G303),$G303,$F303)&gt;=DATE(PlanYear,10,1)),1,0))</f>
        <v>0</v>
      </c>
      <c r="Y303">
        <f>IF($N303=0,0,IF(AND($F303&lt;=EOMONTH(DATE(PlanYear,11,1),0),IF(ISNUMBER($G303),$G303,$F303)&gt;=DATE(PlanYear,11,1)),1,0))</f>
        <v>0</v>
      </c>
      <c r="Z303">
        <f>IF($N303=0,0,IF(AND($F303&lt;=EOMONTH(DATE(PlanYear,12,1),0),IF(ISNUMBER($G303),$G303,$F303)&gt;=DATE(PlanYear,12,1)),1,0))</f>
        <v>0</v>
      </c>
      <c r="AA303">
        <f>SUM($O303:$Z303)</f>
        <v>0</v>
      </c>
    </row>
    <row r="304" spans="1:27">
      <c r="A304" s="42">
        <f>IF($B304="","","ACT-"&amp;TEXT(ROW()-4,"000"))</f>
        <v>0</v>
      </c>
      <c r="M304" s="43">
        <f>IF(COUNTA($B304:$K304)=0,"",IF($B304="","Missing activity name",IF($C304="","Missing practice",IF(COUNTIF(PracticeNames,$C304)=0,"Practice not in Lists",IF($D304="","Missing motion",IF(NOT(ISNUMBER($F304)),"Missing or invalid start date",IF(AND(ISNUMBER($G304),$G304&lt;$F304),"End date before start",IF(AND($N304=1,$AA304=0),"Outside planning year","OK"))))))))</f>
        <v>0</v>
      </c>
      <c r="N304">
        <f>IF(AND($B304&lt;&gt;"",$C304&lt;&gt;"",$D304&lt;&gt;"",ISNUMBER($F304),COUNTIF(PracticeNames,$C304)&gt;0,COUNTIF(MotionNames,$D304)&gt;0,NOT(AND(ISNUMBER($G304),$G304&lt;$F304))),IF(StatusFilter="All (excl. Cancelled)",IF($H304="Cancelled",0,1),IF(StatusFilter="All",1,IF($H304=StatusFilter,1,0))),0)</f>
        <v>0</v>
      </c>
      <c r="O304">
        <f>IF($N304=0,0,IF(AND($F304&lt;=EOMONTH(DATE(PlanYear,1,1),0),IF(ISNUMBER($G304),$G304,$F304)&gt;=DATE(PlanYear,1,1)),1,0))</f>
        <v>0</v>
      </c>
      <c r="P304">
        <f>IF($N304=0,0,IF(AND($F304&lt;=EOMONTH(DATE(PlanYear,2,1),0),IF(ISNUMBER($G304),$G304,$F304)&gt;=DATE(PlanYear,2,1)),1,0))</f>
        <v>0</v>
      </c>
      <c r="Q304">
        <f>IF($N304=0,0,IF(AND($F304&lt;=EOMONTH(DATE(PlanYear,3,1),0),IF(ISNUMBER($G304),$G304,$F304)&gt;=DATE(PlanYear,3,1)),1,0))</f>
        <v>0</v>
      </c>
      <c r="R304">
        <f>IF($N304=0,0,IF(AND($F304&lt;=EOMONTH(DATE(PlanYear,4,1),0),IF(ISNUMBER($G304),$G304,$F304)&gt;=DATE(PlanYear,4,1)),1,0))</f>
        <v>0</v>
      </c>
      <c r="S304">
        <f>IF($N304=0,0,IF(AND($F304&lt;=EOMONTH(DATE(PlanYear,5,1),0),IF(ISNUMBER($G304),$G304,$F304)&gt;=DATE(PlanYear,5,1)),1,0))</f>
        <v>0</v>
      </c>
      <c r="T304">
        <f>IF($N304=0,0,IF(AND($F304&lt;=EOMONTH(DATE(PlanYear,6,1),0),IF(ISNUMBER($G304),$G304,$F304)&gt;=DATE(PlanYear,6,1)),1,0))</f>
        <v>0</v>
      </c>
      <c r="U304">
        <f>IF($N304=0,0,IF(AND($F304&lt;=EOMONTH(DATE(PlanYear,7,1),0),IF(ISNUMBER($G304),$G304,$F304)&gt;=DATE(PlanYear,7,1)),1,0))</f>
        <v>0</v>
      </c>
      <c r="V304">
        <f>IF($N304=0,0,IF(AND($F304&lt;=EOMONTH(DATE(PlanYear,8,1),0),IF(ISNUMBER($G304),$G304,$F304)&gt;=DATE(PlanYear,8,1)),1,0))</f>
        <v>0</v>
      </c>
      <c r="W304">
        <f>IF($N304=0,0,IF(AND($F304&lt;=EOMONTH(DATE(PlanYear,9,1),0),IF(ISNUMBER($G304),$G304,$F304)&gt;=DATE(PlanYear,9,1)),1,0))</f>
        <v>0</v>
      </c>
      <c r="X304">
        <f>IF($N304=0,0,IF(AND($F304&lt;=EOMONTH(DATE(PlanYear,10,1),0),IF(ISNUMBER($G304),$G304,$F304)&gt;=DATE(PlanYear,10,1)),1,0))</f>
        <v>0</v>
      </c>
      <c r="Y304">
        <f>IF($N304=0,0,IF(AND($F304&lt;=EOMONTH(DATE(PlanYear,11,1),0),IF(ISNUMBER($G304),$G304,$F304)&gt;=DATE(PlanYear,11,1)),1,0))</f>
        <v>0</v>
      </c>
      <c r="Z304">
        <f>IF($N304=0,0,IF(AND($F304&lt;=EOMONTH(DATE(PlanYear,12,1),0),IF(ISNUMBER($G304),$G304,$F304)&gt;=DATE(PlanYear,12,1)),1,0))</f>
        <v>0</v>
      </c>
      <c r="AA304">
        <f>SUM($O304:$Z304)</f>
        <v>0</v>
      </c>
    </row>
    <row r="305" spans="1:27">
      <c r="A305" s="42">
        <f>IF($B305="","","ACT-"&amp;TEXT(ROW()-4,"000"))</f>
        <v>0</v>
      </c>
      <c r="M305" s="43">
        <f>IF(COUNTA($B305:$K305)=0,"",IF($B305="","Missing activity name",IF($C305="","Missing practice",IF(COUNTIF(PracticeNames,$C305)=0,"Practice not in Lists",IF($D305="","Missing motion",IF(NOT(ISNUMBER($F305)),"Missing or invalid start date",IF(AND(ISNUMBER($G305),$G305&lt;$F305),"End date before start",IF(AND($N305=1,$AA305=0),"Outside planning year","OK"))))))))</f>
        <v>0</v>
      </c>
      <c r="N305">
        <f>IF(AND($B305&lt;&gt;"",$C305&lt;&gt;"",$D305&lt;&gt;"",ISNUMBER($F305),COUNTIF(PracticeNames,$C305)&gt;0,COUNTIF(MotionNames,$D305)&gt;0,NOT(AND(ISNUMBER($G305),$G305&lt;$F305))),IF(StatusFilter="All (excl. Cancelled)",IF($H305="Cancelled",0,1),IF(StatusFilter="All",1,IF($H305=StatusFilter,1,0))),0)</f>
        <v>0</v>
      </c>
      <c r="O305">
        <f>IF($N305=0,0,IF(AND($F305&lt;=EOMONTH(DATE(PlanYear,1,1),0),IF(ISNUMBER($G305),$G305,$F305)&gt;=DATE(PlanYear,1,1)),1,0))</f>
        <v>0</v>
      </c>
      <c r="P305">
        <f>IF($N305=0,0,IF(AND($F305&lt;=EOMONTH(DATE(PlanYear,2,1),0),IF(ISNUMBER($G305),$G305,$F305)&gt;=DATE(PlanYear,2,1)),1,0))</f>
        <v>0</v>
      </c>
      <c r="Q305">
        <f>IF($N305=0,0,IF(AND($F305&lt;=EOMONTH(DATE(PlanYear,3,1),0),IF(ISNUMBER($G305),$G305,$F305)&gt;=DATE(PlanYear,3,1)),1,0))</f>
        <v>0</v>
      </c>
      <c r="R305">
        <f>IF($N305=0,0,IF(AND($F305&lt;=EOMONTH(DATE(PlanYear,4,1),0),IF(ISNUMBER($G305),$G305,$F305)&gt;=DATE(PlanYear,4,1)),1,0))</f>
        <v>0</v>
      </c>
      <c r="S305">
        <f>IF($N305=0,0,IF(AND($F305&lt;=EOMONTH(DATE(PlanYear,5,1),0),IF(ISNUMBER($G305),$G305,$F305)&gt;=DATE(PlanYear,5,1)),1,0))</f>
        <v>0</v>
      </c>
      <c r="T305">
        <f>IF($N305=0,0,IF(AND($F305&lt;=EOMONTH(DATE(PlanYear,6,1),0),IF(ISNUMBER($G305),$G305,$F305)&gt;=DATE(PlanYear,6,1)),1,0))</f>
        <v>0</v>
      </c>
      <c r="U305">
        <f>IF($N305=0,0,IF(AND($F305&lt;=EOMONTH(DATE(PlanYear,7,1),0),IF(ISNUMBER($G305),$G305,$F305)&gt;=DATE(PlanYear,7,1)),1,0))</f>
        <v>0</v>
      </c>
      <c r="V305">
        <f>IF($N305=0,0,IF(AND($F305&lt;=EOMONTH(DATE(PlanYear,8,1),0),IF(ISNUMBER($G305),$G305,$F305)&gt;=DATE(PlanYear,8,1)),1,0))</f>
        <v>0</v>
      </c>
      <c r="W305">
        <f>IF($N305=0,0,IF(AND($F305&lt;=EOMONTH(DATE(PlanYear,9,1),0),IF(ISNUMBER($G305),$G305,$F305)&gt;=DATE(PlanYear,9,1)),1,0))</f>
        <v>0</v>
      </c>
      <c r="X305">
        <f>IF($N305=0,0,IF(AND($F305&lt;=EOMONTH(DATE(PlanYear,10,1),0),IF(ISNUMBER($G305),$G305,$F305)&gt;=DATE(PlanYear,10,1)),1,0))</f>
        <v>0</v>
      </c>
      <c r="Y305">
        <f>IF($N305=0,0,IF(AND($F305&lt;=EOMONTH(DATE(PlanYear,11,1),0),IF(ISNUMBER($G305),$G305,$F305)&gt;=DATE(PlanYear,11,1)),1,0))</f>
        <v>0</v>
      </c>
      <c r="Z305">
        <f>IF($N305=0,0,IF(AND($F305&lt;=EOMONTH(DATE(PlanYear,12,1),0),IF(ISNUMBER($G305),$G305,$F305)&gt;=DATE(PlanYear,12,1)),1,0))</f>
        <v>0</v>
      </c>
      <c r="AA305">
        <f>SUM($O305:$Z305)</f>
        <v>0</v>
      </c>
    </row>
    <row r="306" spans="1:27">
      <c r="A306" s="42">
        <f>IF($B306="","","ACT-"&amp;TEXT(ROW()-4,"000"))</f>
        <v>0</v>
      </c>
      <c r="M306" s="43">
        <f>IF(COUNTA($B306:$K306)=0,"",IF($B306="","Missing activity name",IF($C306="","Missing practice",IF(COUNTIF(PracticeNames,$C306)=0,"Practice not in Lists",IF($D306="","Missing motion",IF(NOT(ISNUMBER($F306)),"Missing or invalid start date",IF(AND(ISNUMBER($G306),$G306&lt;$F306),"End date before start",IF(AND($N306=1,$AA306=0),"Outside planning year","OK"))))))))</f>
        <v>0</v>
      </c>
      <c r="N306">
        <f>IF(AND($B306&lt;&gt;"",$C306&lt;&gt;"",$D306&lt;&gt;"",ISNUMBER($F306),COUNTIF(PracticeNames,$C306)&gt;0,COUNTIF(MotionNames,$D306)&gt;0,NOT(AND(ISNUMBER($G306),$G306&lt;$F306))),IF(StatusFilter="All (excl. Cancelled)",IF($H306="Cancelled",0,1),IF(StatusFilter="All",1,IF($H306=StatusFilter,1,0))),0)</f>
        <v>0</v>
      </c>
      <c r="O306">
        <f>IF($N306=0,0,IF(AND($F306&lt;=EOMONTH(DATE(PlanYear,1,1),0),IF(ISNUMBER($G306),$G306,$F306)&gt;=DATE(PlanYear,1,1)),1,0))</f>
        <v>0</v>
      </c>
      <c r="P306">
        <f>IF($N306=0,0,IF(AND($F306&lt;=EOMONTH(DATE(PlanYear,2,1),0),IF(ISNUMBER($G306),$G306,$F306)&gt;=DATE(PlanYear,2,1)),1,0))</f>
        <v>0</v>
      </c>
      <c r="Q306">
        <f>IF($N306=0,0,IF(AND($F306&lt;=EOMONTH(DATE(PlanYear,3,1),0),IF(ISNUMBER($G306),$G306,$F306)&gt;=DATE(PlanYear,3,1)),1,0))</f>
        <v>0</v>
      </c>
      <c r="R306">
        <f>IF($N306=0,0,IF(AND($F306&lt;=EOMONTH(DATE(PlanYear,4,1),0),IF(ISNUMBER($G306),$G306,$F306)&gt;=DATE(PlanYear,4,1)),1,0))</f>
        <v>0</v>
      </c>
      <c r="S306">
        <f>IF($N306=0,0,IF(AND($F306&lt;=EOMONTH(DATE(PlanYear,5,1),0),IF(ISNUMBER($G306),$G306,$F306)&gt;=DATE(PlanYear,5,1)),1,0))</f>
        <v>0</v>
      </c>
      <c r="T306">
        <f>IF($N306=0,0,IF(AND($F306&lt;=EOMONTH(DATE(PlanYear,6,1),0),IF(ISNUMBER($G306),$G306,$F306)&gt;=DATE(PlanYear,6,1)),1,0))</f>
        <v>0</v>
      </c>
      <c r="U306">
        <f>IF($N306=0,0,IF(AND($F306&lt;=EOMONTH(DATE(PlanYear,7,1),0),IF(ISNUMBER($G306),$G306,$F306)&gt;=DATE(PlanYear,7,1)),1,0))</f>
        <v>0</v>
      </c>
      <c r="V306">
        <f>IF($N306=0,0,IF(AND($F306&lt;=EOMONTH(DATE(PlanYear,8,1),0),IF(ISNUMBER($G306),$G306,$F306)&gt;=DATE(PlanYear,8,1)),1,0))</f>
        <v>0</v>
      </c>
      <c r="W306">
        <f>IF($N306=0,0,IF(AND($F306&lt;=EOMONTH(DATE(PlanYear,9,1),0),IF(ISNUMBER($G306),$G306,$F306)&gt;=DATE(PlanYear,9,1)),1,0))</f>
        <v>0</v>
      </c>
      <c r="X306">
        <f>IF($N306=0,0,IF(AND($F306&lt;=EOMONTH(DATE(PlanYear,10,1),0),IF(ISNUMBER($G306),$G306,$F306)&gt;=DATE(PlanYear,10,1)),1,0))</f>
        <v>0</v>
      </c>
      <c r="Y306">
        <f>IF($N306=0,0,IF(AND($F306&lt;=EOMONTH(DATE(PlanYear,11,1),0),IF(ISNUMBER($G306),$G306,$F306)&gt;=DATE(PlanYear,11,1)),1,0))</f>
        <v>0</v>
      </c>
      <c r="Z306">
        <f>IF($N306=0,0,IF(AND($F306&lt;=EOMONTH(DATE(PlanYear,12,1),0),IF(ISNUMBER($G306),$G306,$F306)&gt;=DATE(PlanYear,12,1)),1,0))</f>
        <v>0</v>
      </c>
      <c r="AA306">
        <f>SUM($O306:$Z306)</f>
        <v>0</v>
      </c>
    </row>
    <row r="307" spans="1:27">
      <c r="A307" s="42">
        <f>IF($B307="","","ACT-"&amp;TEXT(ROW()-4,"000"))</f>
        <v>0</v>
      </c>
      <c r="M307" s="43">
        <f>IF(COUNTA($B307:$K307)=0,"",IF($B307="","Missing activity name",IF($C307="","Missing practice",IF(COUNTIF(PracticeNames,$C307)=0,"Practice not in Lists",IF($D307="","Missing motion",IF(NOT(ISNUMBER($F307)),"Missing or invalid start date",IF(AND(ISNUMBER($G307),$G307&lt;$F307),"End date before start",IF(AND($N307=1,$AA307=0),"Outside planning year","OK"))))))))</f>
        <v>0</v>
      </c>
      <c r="N307">
        <f>IF(AND($B307&lt;&gt;"",$C307&lt;&gt;"",$D307&lt;&gt;"",ISNUMBER($F307),COUNTIF(PracticeNames,$C307)&gt;0,COUNTIF(MotionNames,$D307)&gt;0,NOT(AND(ISNUMBER($G307),$G307&lt;$F307))),IF(StatusFilter="All (excl. Cancelled)",IF($H307="Cancelled",0,1),IF(StatusFilter="All",1,IF($H307=StatusFilter,1,0))),0)</f>
        <v>0</v>
      </c>
      <c r="O307">
        <f>IF($N307=0,0,IF(AND($F307&lt;=EOMONTH(DATE(PlanYear,1,1),0),IF(ISNUMBER($G307),$G307,$F307)&gt;=DATE(PlanYear,1,1)),1,0))</f>
        <v>0</v>
      </c>
      <c r="P307">
        <f>IF($N307=0,0,IF(AND($F307&lt;=EOMONTH(DATE(PlanYear,2,1),0),IF(ISNUMBER($G307),$G307,$F307)&gt;=DATE(PlanYear,2,1)),1,0))</f>
        <v>0</v>
      </c>
      <c r="Q307">
        <f>IF($N307=0,0,IF(AND($F307&lt;=EOMONTH(DATE(PlanYear,3,1),0),IF(ISNUMBER($G307),$G307,$F307)&gt;=DATE(PlanYear,3,1)),1,0))</f>
        <v>0</v>
      </c>
      <c r="R307">
        <f>IF($N307=0,0,IF(AND($F307&lt;=EOMONTH(DATE(PlanYear,4,1),0),IF(ISNUMBER($G307),$G307,$F307)&gt;=DATE(PlanYear,4,1)),1,0))</f>
        <v>0</v>
      </c>
      <c r="S307">
        <f>IF($N307=0,0,IF(AND($F307&lt;=EOMONTH(DATE(PlanYear,5,1),0),IF(ISNUMBER($G307),$G307,$F307)&gt;=DATE(PlanYear,5,1)),1,0))</f>
        <v>0</v>
      </c>
      <c r="T307">
        <f>IF($N307=0,0,IF(AND($F307&lt;=EOMONTH(DATE(PlanYear,6,1),0),IF(ISNUMBER($G307),$G307,$F307)&gt;=DATE(PlanYear,6,1)),1,0))</f>
        <v>0</v>
      </c>
      <c r="U307">
        <f>IF($N307=0,0,IF(AND($F307&lt;=EOMONTH(DATE(PlanYear,7,1),0),IF(ISNUMBER($G307),$G307,$F307)&gt;=DATE(PlanYear,7,1)),1,0))</f>
        <v>0</v>
      </c>
      <c r="V307">
        <f>IF($N307=0,0,IF(AND($F307&lt;=EOMONTH(DATE(PlanYear,8,1),0),IF(ISNUMBER($G307),$G307,$F307)&gt;=DATE(PlanYear,8,1)),1,0))</f>
        <v>0</v>
      </c>
      <c r="W307">
        <f>IF($N307=0,0,IF(AND($F307&lt;=EOMONTH(DATE(PlanYear,9,1),0),IF(ISNUMBER($G307),$G307,$F307)&gt;=DATE(PlanYear,9,1)),1,0))</f>
        <v>0</v>
      </c>
      <c r="X307">
        <f>IF($N307=0,0,IF(AND($F307&lt;=EOMONTH(DATE(PlanYear,10,1),0),IF(ISNUMBER($G307),$G307,$F307)&gt;=DATE(PlanYear,10,1)),1,0))</f>
        <v>0</v>
      </c>
      <c r="Y307">
        <f>IF($N307=0,0,IF(AND($F307&lt;=EOMONTH(DATE(PlanYear,11,1),0),IF(ISNUMBER($G307),$G307,$F307)&gt;=DATE(PlanYear,11,1)),1,0))</f>
        <v>0</v>
      </c>
      <c r="Z307">
        <f>IF($N307=0,0,IF(AND($F307&lt;=EOMONTH(DATE(PlanYear,12,1),0),IF(ISNUMBER($G307),$G307,$F307)&gt;=DATE(PlanYear,12,1)),1,0))</f>
        <v>0</v>
      </c>
      <c r="AA307">
        <f>SUM($O307:$Z307)</f>
        <v>0</v>
      </c>
    </row>
    <row r="308" spans="1:27">
      <c r="A308" s="42">
        <f>IF($B308="","","ACT-"&amp;TEXT(ROW()-4,"000"))</f>
        <v>0</v>
      </c>
      <c r="M308" s="43">
        <f>IF(COUNTA($B308:$K308)=0,"",IF($B308="","Missing activity name",IF($C308="","Missing practice",IF(COUNTIF(PracticeNames,$C308)=0,"Practice not in Lists",IF($D308="","Missing motion",IF(NOT(ISNUMBER($F308)),"Missing or invalid start date",IF(AND(ISNUMBER($G308),$G308&lt;$F308),"End date before start",IF(AND($N308=1,$AA308=0),"Outside planning year","OK"))))))))</f>
        <v>0</v>
      </c>
      <c r="N308">
        <f>IF(AND($B308&lt;&gt;"",$C308&lt;&gt;"",$D308&lt;&gt;"",ISNUMBER($F308),COUNTIF(PracticeNames,$C308)&gt;0,COUNTIF(MotionNames,$D308)&gt;0,NOT(AND(ISNUMBER($G308),$G308&lt;$F308))),IF(StatusFilter="All (excl. Cancelled)",IF($H308="Cancelled",0,1),IF(StatusFilter="All",1,IF($H308=StatusFilter,1,0))),0)</f>
        <v>0</v>
      </c>
      <c r="O308">
        <f>IF($N308=0,0,IF(AND($F308&lt;=EOMONTH(DATE(PlanYear,1,1),0),IF(ISNUMBER($G308),$G308,$F308)&gt;=DATE(PlanYear,1,1)),1,0))</f>
        <v>0</v>
      </c>
      <c r="P308">
        <f>IF($N308=0,0,IF(AND($F308&lt;=EOMONTH(DATE(PlanYear,2,1),0),IF(ISNUMBER($G308),$G308,$F308)&gt;=DATE(PlanYear,2,1)),1,0))</f>
        <v>0</v>
      </c>
      <c r="Q308">
        <f>IF($N308=0,0,IF(AND($F308&lt;=EOMONTH(DATE(PlanYear,3,1),0),IF(ISNUMBER($G308),$G308,$F308)&gt;=DATE(PlanYear,3,1)),1,0))</f>
        <v>0</v>
      </c>
      <c r="R308">
        <f>IF($N308=0,0,IF(AND($F308&lt;=EOMONTH(DATE(PlanYear,4,1),0),IF(ISNUMBER($G308),$G308,$F308)&gt;=DATE(PlanYear,4,1)),1,0))</f>
        <v>0</v>
      </c>
      <c r="S308">
        <f>IF($N308=0,0,IF(AND($F308&lt;=EOMONTH(DATE(PlanYear,5,1),0),IF(ISNUMBER($G308),$G308,$F308)&gt;=DATE(PlanYear,5,1)),1,0))</f>
        <v>0</v>
      </c>
      <c r="T308">
        <f>IF($N308=0,0,IF(AND($F308&lt;=EOMONTH(DATE(PlanYear,6,1),0),IF(ISNUMBER($G308),$G308,$F308)&gt;=DATE(PlanYear,6,1)),1,0))</f>
        <v>0</v>
      </c>
      <c r="U308">
        <f>IF($N308=0,0,IF(AND($F308&lt;=EOMONTH(DATE(PlanYear,7,1),0),IF(ISNUMBER($G308),$G308,$F308)&gt;=DATE(PlanYear,7,1)),1,0))</f>
        <v>0</v>
      </c>
      <c r="V308">
        <f>IF($N308=0,0,IF(AND($F308&lt;=EOMONTH(DATE(PlanYear,8,1),0),IF(ISNUMBER($G308),$G308,$F308)&gt;=DATE(PlanYear,8,1)),1,0))</f>
        <v>0</v>
      </c>
      <c r="W308">
        <f>IF($N308=0,0,IF(AND($F308&lt;=EOMONTH(DATE(PlanYear,9,1),0),IF(ISNUMBER($G308),$G308,$F308)&gt;=DATE(PlanYear,9,1)),1,0))</f>
        <v>0</v>
      </c>
      <c r="X308">
        <f>IF($N308=0,0,IF(AND($F308&lt;=EOMONTH(DATE(PlanYear,10,1),0),IF(ISNUMBER($G308),$G308,$F308)&gt;=DATE(PlanYear,10,1)),1,0))</f>
        <v>0</v>
      </c>
      <c r="Y308">
        <f>IF($N308=0,0,IF(AND($F308&lt;=EOMONTH(DATE(PlanYear,11,1),0),IF(ISNUMBER($G308),$G308,$F308)&gt;=DATE(PlanYear,11,1)),1,0))</f>
        <v>0</v>
      </c>
      <c r="Z308">
        <f>IF($N308=0,0,IF(AND($F308&lt;=EOMONTH(DATE(PlanYear,12,1),0),IF(ISNUMBER($G308),$G308,$F308)&gt;=DATE(PlanYear,12,1)),1,0))</f>
        <v>0</v>
      </c>
      <c r="AA308">
        <f>SUM($O308:$Z308)</f>
        <v>0</v>
      </c>
    </row>
    <row r="309" spans="1:27">
      <c r="A309" s="42">
        <f>IF($B309="","","ACT-"&amp;TEXT(ROW()-4,"000"))</f>
        <v>0</v>
      </c>
      <c r="M309" s="43">
        <f>IF(COUNTA($B309:$K309)=0,"",IF($B309="","Missing activity name",IF($C309="","Missing practice",IF(COUNTIF(PracticeNames,$C309)=0,"Practice not in Lists",IF($D309="","Missing motion",IF(NOT(ISNUMBER($F309)),"Missing or invalid start date",IF(AND(ISNUMBER($G309),$G309&lt;$F309),"End date before start",IF(AND($N309=1,$AA309=0),"Outside planning year","OK"))))))))</f>
        <v>0</v>
      </c>
      <c r="N309">
        <f>IF(AND($B309&lt;&gt;"",$C309&lt;&gt;"",$D309&lt;&gt;"",ISNUMBER($F309),COUNTIF(PracticeNames,$C309)&gt;0,COUNTIF(MotionNames,$D309)&gt;0,NOT(AND(ISNUMBER($G309),$G309&lt;$F309))),IF(StatusFilter="All (excl. Cancelled)",IF($H309="Cancelled",0,1),IF(StatusFilter="All",1,IF($H309=StatusFilter,1,0))),0)</f>
        <v>0</v>
      </c>
      <c r="O309">
        <f>IF($N309=0,0,IF(AND($F309&lt;=EOMONTH(DATE(PlanYear,1,1),0),IF(ISNUMBER($G309),$G309,$F309)&gt;=DATE(PlanYear,1,1)),1,0))</f>
        <v>0</v>
      </c>
      <c r="P309">
        <f>IF($N309=0,0,IF(AND($F309&lt;=EOMONTH(DATE(PlanYear,2,1),0),IF(ISNUMBER($G309),$G309,$F309)&gt;=DATE(PlanYear,2,1)),1,0))</f>
        <v>0</v>
      </c>
      <c r="Q309">
        <f>IF($N309=0,0,IF(AND($F309&lt;=EOMONTH(DATE(PlanYear,3,1),0),IF(ISNUMBER($G309),$G309,$F309)&gt;=DATE(PlanYear,3,1)),1,0))</f>
        <v>0</v>
      </c>
      <c r="R309">
        <f>IF($N309=0,0,IF(AND($F309&lt;=EOMONTH(DATE(PlanYear,4,1),0),IF(ISNUMBER($G309),$G309,$F309)&gt;=DATE(PlanYear,4,1)),1,0))</f>
        <v>0</v>
      </c>
      <c r="S309">
        <f>IF($N309=0,0,IF(AND($F309&lt;=EOMONTH(DATE(PlanYear,5,1),0),IF(ISNUMBER($G309),$G309,$F309)&gt;=DATE(PlanYear,5,1)),1,0))</f>
        <v>0</v>
      </c>
      <c r="T309">
        <f>IF($N309=0,0,IF(AND($F309&lt;=EOMONTH(DATE(PlanYear,6,1),0),IF(ISNUMBER($G309),$G309,$F309)&gt;=DATE(PlanYear,6,1)),1,0))</f>
        <v>0</v>
      </c>
      <c r="U309">
        <f>IF($N309=0,0,IF(AND($F309&lt;=EOMONTH(DATE(PlanYear,7,1),0),IF(ISNUMBER($G309),$G309,$F309)&gt;=DATE(PlanYear,7,1)),1,0))</f>
        <v>0</v>
      </c>
      <c r="V309">
        <f>IF($N309=0,0,IF(AND($F309&lt;=EOMONTH(DATE(PlanYear,8,1),0),IF(ISNUMBER($G309),$G309,$F309)&gt;=DATE(PlanYear,8,1)),1,0))</f>
        <v>0</v>
      </c>
      <c r="W309">
        <f>IF($N309=0,0,IF(AND($F309&lt;=EOMONTH(DATE(PlanYear,9,1),0),IF(ISNUMBER($G309),$G309,$F309)&gt;=DATE(PlanYear,9,1)),1,0))</f>
        <v>0</v>
      </c>
      <c r="X309">
        <f>IF($N309=0,0,IF(AND($F309&lt;=EOMONTH(DATE(PlanYear,10,1),0),IF(ISNUMBER($G309),$G309,$F309)&gt;=DATE(PlanYear,10,1)),1,0))</f>
        <v>0</v>
      </c>
      <c r="Y309">
        <f>IF($N309=0,0,IF(AND($F309&lt;=EOMONTH(DATE(PlanYear,11,1),0),IF(ISNUMBER($G309),$G309,$F309)&gt;=DATE(PlanYear,11,1)),1,0))</f>
        <v>0</v>
      </c>
      <c r="Z309">
        <f>IF($N309=0,0,IF(AND($F309&lt;=EOMONTH(DATE(PlanYear,12,1),0),IF(ISNUMBER($G309),$G309,$F309)&gt;=DATE(PlanYear,12,1)),1,0))</f>
        <v>0</v>
      </c>
      <c r="AA309">
        <f>SUM($O309:$Z309)</f>
        <v>0</v>
      </c>
    </row>
    <row r="310" spans="1:27">
      <c r="A310" s="42">
        <f>IF($B310="","","ACT-"&amp;TEXT(ROW()-4,"000"))</f>
        <v>0</v>
      </c>
      <c r="M310" s="43">
        <f>IF(COUNTA($B310:$K310)=0,"",IF($B310="","Missing activity name",IF($C310="","Missing practice",IF(COUNTIF(PracticeNames,$C310)=0,"Practice not in Lists",IF($D310="","Missing motion",IF(NOT(ISNUMBER($F310)),"Missing or invalid start date",IF(AND(ISNUMBER($G310),$G310&lt;$F310),"End date before start",IF(AND($N310=1,$AA310=0),"Outside planning year","OK"))))))))</f>
        <v>0</v>
      </c>
      <c r="N310">
        <f>IF(AND($B310&lt;&gt;"",$C310&lt;&gt;"",$D310&lt;&gt;"",ISNUMBER($F310),COUNTIF(PracticeNames,$C310)&gt;0,COUNTIF(MotionNames,$D310)&gt;0,NOT(AND(ISNUMBER($G310),$G310&lt;$F310))),IF(StatusFilter="All (excl. Cancelled)",IF($H310="Cancelled",0,1),IF(StatusFilter="All",1,IF($H310=StatusFilter,1,0))),0)</f>
        <v>0</v>
      </c>
      <c r="O310">
        <f>IF($N310=0,0,IF(AND($F310&lt;=EOMONTH(DATE(PlanYear,1,1),0),IF(ISNUMBER($G310),$G310,$F310)&gt;=DATE(PlanYear,1,1)),1,0))</f>
        <v>0</v>
      </c>
      <c r="P310">
        <f>IF($N310=0,0,IF(AND($F310&lt;=EOMONTH(DATE(PlanYear,2,1),0),IF(ISNUMBER($G310),$G310,$F310)&gt;=DATE(PlanYear,2,1)),1,0))</f>
        <v>0</v>
      </c>
      <c r="Q310">
        <f>IF($N310=0,0,IF(AND($F310&lt;=EOMONTH(DATE(PlanYear,3,1),0),IF(ISNUMBER($G310),$G310,$F310)&gt;=DATE(PlanYear,3,1)),1,0))</f>
        <v>0</v>
      </c>
      <c r="R310">
        <f>IF($N310=0,0,IF(AND($F310&lt;=EOMONTH(DATE(PlanYear,4,1),0),IF(ISNUMBER($G310),$G310,$F310)&gt;=DATE(PlanYear,4,1)),1,0))</f>
        <v>0</v>
      </c>
      <c r="S310">
        <f>IF($N310=0,0,IF(AND($F310&lt;=EOMONTH(DATE(PlanYear,5,1),0),IF(ISNUMBER($G310),$G310,$F310)&gt;=DATE(PlanYear,5,1)),1,0))</f>
        <v>0</v>
      </c>
      <c r="T310">
        <f>IF($N310=0,0,IF(AND($F310&lt;=EOMONTH(DATE(PlanYear,6,1),0),IF(ISNUMBER($G310),$G310,$F310)&gt;=DATE(PlanYear,6,1)),1,0))</f>
        <v>0</v>
      </c>
      <c r="U310">
        <f>IF($N310=0,0,IF(AND($F310&lt;=EOMONTH(DATE(PlanYear,7,1),0),IF(ISNUMBER($G310),$G310,$F310)&gt;=DATE(PlanYear,7,1)),1,0))</f>
        <v>0</v>
      </c>
      <c r="V310">
        <f>IF($N310=0,0,IF(AND($F310&lt;=EOMONTH(DATE(PlanYear,8,1),0),IF(ISNUMBER($G310),$G310,$F310)&gt;=DATE(PlanYear,8,1)),1,0))</f>
        <v>0</v>
      </c>
      <c r="W310">
        <f>IF($N310=0,0,IF(AND($F310&lt;=EOMONTH(DATE(PlanYear,9,1),0),IF(ISNUMBER($G310),$G310,$F310)&gt;=DATE(PlanYear,9,1)),1,0))</f>
        <v>0</v>
      </c>
      <c r="X310">
        <f>IF($N310=0,0,IF(AND($F310&lt;=EOMONTH(DATE(PlanYear,10,1),0),IF(ISNUMBER($G310),$G310,$F310)&gt;=DATE(PlanYear,10,1)),1,0))</f>
        <v>0</v>
      </c>
      <c r="Y310">
        <f>IF($N310=0,0,IF(AND($F310&lt;=EOMONTH(DATE(PlanYear,11,1),0),IF(ISNUMBER($G310),$G310,$F310)&gt;=DATE(PlanYear,11,1)),1,0))</f>
        <v>0</v>
      </c>
      <c r="Z310">
        <f>IF($N310=0,0,IF(AND($F310&lt;=EOMONTH(DATE(PlanYear,12,1),0),IF(ISNUMBER($G310),$G310,$F310)&gt;=DATE(PlanYear,12,1)),1,0))</f>
        <v>0</v>
      </c>
      <c r="AA310">
        <f>SUM($O310:$Z310)</f>
        <v>0</v>
      </c>
    </row>
    <row r="311" spans="1:27">
      <c r="A311" s="42">
        <f>IF($B311="","","ACT-"&amp;TEXT(ROW()-4,"000"))</f>
        <v>0</v>
      </c>
      <c r="M311" s="43">
        <f>IF(COUNTA($B311:$K311)=0,"",IF($B311="","Missing activity name",IF($C311="","Missing practice",IF(COUNTIF(PracticeNames,$C311)=0,"Practice not in Lists",IF($D311="","Missing motion",IF(NOT(ISNUMBER($F311)),"Missing or invalid start date",IF(AND(ISNUMBER($G311),$G311&lt;$F311),"End date before start",IF(AND($N311=1,$AA311=0),"Outside planning year","OK"))))))))</f>
        <v>0</v>
      </c>
      <c r="N311">
        <f>IF(AND($B311&lt;&gt;"",$C311&lt;&gt;"",$D311&lt;&gt;"",ISNUMBER($F311),COUNTIF(PracticeNames,$C311)&gt;0,COUNTIF(MotionNames,$D311)&gt;0,NOT(AND(ISNUMBER($G311),$G311&lt;$F311))),IF(StatusFilter="All (excl. Cancelled)",IF($H311="Cancelled",0,1),IF(StatusFilter="All",1,IF($H311=StatusFilter,1,0))),0)</f>
        <v>0</v>
      </c>
      <c r="O311">
        <f>IF($N311=0,0,IF(AND($F311&lt;=EOMONTH(DATE(PlanYear,1,1),0),IF(ISNUMBER($G311),$G311,$F311)&gt;=DATE(PlanYear,1,1)),1,0))</f>
        <v>0</v>
      </c>
      <c r="P311">
        <f>IF($N311=0,0,IF(AND($F311&lt;=EOMONTH(DATE(PlanYear,2,1),0),IF(ISNUMBER($G311),$G311,$F311)&gt;=DATE(PlanYear,2,1)),1,0))</f>
        <v>0</v>
      </c>
      <c r="Q311">
        <f>IF($N311=0,0,IF(AND($F311&lt;=EOMONTH(DATE(PlanYear,3,1),0),IF(ISNUMBER($G311),$G311,$F311)&gt;=DATE(PlanYear,3,1)),1,0))</f>
        <v>0</v>
      </c>
      <c r="R311">
        <f>IF($N311=0,0,IF(AND($F311&lt;=EOMONTH(DATE(PlanYear,4,1),0),IF(ISNUMBER($G311),$G311,$F311)&gt;=DATE(PlanYear,4,1)),1,0))</f>
        <v>0</v>
      </c>
      <c r="S311">
        <f>IF($N311=0,0,IF(AND($F311&lt;=EOMONTH(DATE(PlanYear,5,1),0),IF(ISNUMBER($G311),$G311,$F311)&gt;=DATE(PlanYear,5,1)),1,0))</f>
        <v>0</v>
      </c>
      <c r="T311">
        <f>IF($N311=0,0,IF(AND($F311&lt;=EOMONTH(DATE(PlanYear,6,1),0),IF(ISNUMBER($G311),$G311,$F311)&gt;=DATE(PlanYear,6,1)),1,0))</f>
        <v>0</v>
      </c>
      <c r="U311">
        <f>IF($N311=0,0,IF(AND($F311&lt;=EOMONTH(DATE(PlanYear,7,1),0),IF(ISNUMBER($G311),$G311,$F311)&gt;=DATE(PlanYear,7,1)),1,0))</f>
        <v>0</v>
      </c>
      <c r="V311">
        <f>IF($N311=0,0,IF(AND($F311&lt;=EOMONTH(DATE(PlanYear,8,1),0),IF(ISNUMBER($G311),$G311,$F311)&gt;=DATE(PlanYear,8,1)),1,0))</f>
        <v>0</v>
      </c>
      <c r="W311">
        <f>IF($N311=0,0,IF(AND($F311&lt;=EOMONTH(DATE(PlanYear,9,1),0),IF(ISNUMBER($G311),$G311,$F311)&gt;=DATE(PlanYear,9,1)),1,0))</f>
        <v>0</v>
      </c>
      <c r="X311">
        <f>IF($N311=0,0,IF(AND($F311&lt;=EOMONTH(DATE(PlanYear,10,1),0),IF(ISNUMBER($G311),$G311,$F311)&gt;=DATE(PlanYear,10,1)),1,0))</f>
        <v>0</v>
      </c>
      <c r="Y311">
        <f>IF($N311=0,0,IF(AND($F311&lt;=EOMONTH(DATE(PlanYear,11,1),0),IF(ISNUMBER($G311),$G311,$F311)&gt;=DATE(PlanYear,11,1)),1,0))</f>
        <v>0</v>
      </c>
      <c r="Z311">
        <f>IF($N311=0,0,IF(AND($F311&lt;=EOMONTH(DATE(PlanYear,12,1),0),IF(ISNUMBER($G311),$G311,$F311)&gt;=DATE(PlanYear,12,1)),1,0))</f>
        <v>0</v>
      </c>
      <c r="AA311">
        <f>SUM($O311:$Z311)</f>
        <v>0</v>
      </c>
    </row>
    <row r="312" spans="1:27">
      <c r="A312" s="42">
        <f>IF($B312="","","ACT-"&amp;TEXT(ROW()-4,"000"))</f>
        <v>0</v>
      </c>
      <c r="M312" s="43">
        <f>IF(COUNTA($B312:$K312)=0,"",IF($B312="","Missing activity name",IF($C312="","Missing practice",IF(COUNTIF(PracticeNames,$C312)=0,"Practice not in Lists",IF($D312="","Missing motion",IF(NOT(ISNUMBER($F312)),"Missing or invalid start date",IF(AND(ISNUMBER($G312),$G312&lt;$F312),"End date before start",IF(AND($N312=1,$AA312=0),"Outside planning year","OK"))))))))</f>
        <v>0</v>
      </c>
      <c r="N312">
        <f>IF(AND($B312&lt;&gt;"",$C312&lt;&gt;"",$D312&lt;&gt;"",ISNUMBER($F312),COUNTIF(PracticeNames,$C312)&gt;0,COUNTIF(MotionNames,$D312)&gt;0,NOT(AND(ISNUMBER($G312),$G312&lt;$F312))),IF(StatusFilter="All (excl. Cancelled)",IF($H312="Cancelled",0,1),IF(StatusFilter="All",1,IF($H312=StatusFilter,1,0))),0)</f>
        <v>0</v>
      </c>
      <c r="O312">
        <f>IF($N312=0,0,IF(AND($F312&lt;=EOMONTH(DATE(PlanYear,1,1),0),IF(ISNUMBER($G312),$G312,$F312)&gt;=DATE(PlanYear,1,1)),1,0))</f>
        <v>0</v>
      </c>
      <c r="P312">
        <f>IF($N312=0,0,IF(AND($F312&lt;=EOMONTH(DATE(PlanYear,2,1),0),IF(ISNUMBER($G312),$G312,$F312)&gt;=DATE(PlanYear,2,1)),1,0))</f>
        <v>0</v>
      </c>
      <c r="Q312">
        <f>IF($N312=0,0,IF(AND($F312&lt;=EOMONTH(DATE(PlanYear,3,1),0),IF(ISNUMBER($G312),$G312,$F312)&gt;=DATE(PlanYear,3,1)),1,0))</f>
        <v>0</v>
      </c>
      <c r="R312">
        <f>IF($N312=0,0,IF(AND($F312&lt;=EOMONTH(DATE(PlanYear,4,1),0),IF(ISNUMBER($G312),$G312,$F312)&gt;=DATE(PlanYear,4,1)),1,0))</f>
        <v>0</v>
      </c>
      <c r="S312">
        <f>IF($N312=0,0,IF(AND($F312&lt;=EOMONTH(DATE(PlanYear,5,1),0),IF(ISNUMBER($G312),$G312,$F312)&gt;=DATE(PlanYear,5,1)),1,0))</f>
        <v>0</v>
      </c>
      <c r="T312">
        <f>IF($N312=0,0,IF(AND($F312&lt;=EOMONTH(DATE(PlanYear,6,1),0),IF(ISNUMBER($G312),$G312,$F312)&gt;=DATE(PlanYear,6,1)),1,0))</f>
        <v>0</v>
      </c>
      <c r="U312">
        <f>IF($N312=0,0,IF(AND($F312&lt;=EOMONTH(DATE(PlanYear,7,1),0),IF(ISNUMBER($G312),$G312,$F312)&gt;=DATE(PlanYear,7,1)),1,0))</f>
        <v>0</v>
      </c>
      <c r="V312">
        <f>IF($N312=0,0,IF(AND($F312&lt;=EOMONTH(DATE(PlanYear,8,1),0),IF(ISNUMBER($G312),$G312,$F312)&gt;=DATE(PlanYear,8,1)),1,0))</f>
        <v>0</v>
      </c>
      <c r="W312">
        <f>IF($N312=0,0,IF(AND($F312&lt;=EOMONTH(DATE(PlanYear,9,1),0),IF(ISNUMBER($G312),$G312,$F312)&gt;=DATE(PlanYear,9,1)),1,0))</f>
        <v>0</v>
      </c>
      <c r="X312">
        <f>IF($N312=0,0,IF(AND($F312&lt;=EOMONTH(DATE(PlanYear,10,1),0),IF(ISNUMBER($G312),$G312,$F312)&gt;=DATE(PlanYear,10,1)),1,0))</f>
        <v>0</v>
      </c>
      <c r="Y312">
        <f>IF($N312=0,0,IF(AND($F312&lt;=EOMONTH(DATE(PlanYear,11,1),0),IF(ISNUMBER($G312),$G312,$F312)&gt;=DATE(PlanYear,11,1)),1,0))</f>
        <v>0</v>
      </c>
      <c r="Z312">
        <f>IF($N312=0,0,IF(AND($F312&lt;=EOMONTH(DATE(PlanYear,12,1),0),IF(ISNUMBER($G312),$G312,$F312)&gt;=DATE(PlanYear,12,1)),1,0))</f>
        <v>0</v>
      </c>
      <c r="AA312">
        <f>SUM($O312:$Z312)</f>
        <v>0</v>
      </c>
    </row>
    <row r="313" spans="1:27">
      <c r="A313" s="42">
        <f>IF($B313="","","ACT-"&amp;TEXT(ROW()-4,"000"))</f>
        <v>0</v>
      </c>
      <c r="M313" s="43">
        <f>IF(COUNTA($B313:$K313)=0,"",IF($B313="","Missing activity name",IF($C313="","Missing practice",IF(COUNTIF(PracticeNames,$C313)=0,"Practice not in Lists",IF($D313="","Missing motion",IF(NOT(ISNUMBER($F313)),"Missing or invalid start date",IF(AND(ISNUMBER($G313),$G313&lt;$F313),"End date before start",IF(AND($N313=1,$AA313=0),"Outside planning year","OK"))))))))</f>
        <v>0</v>
      </c>
      <c r="N313">
        <f>IF(AND($B313&lt;&gt;"",$C313&lt;&gt;"",$D313&lt;&gt;"",ISNUMBER($F313),COUNTIF(PracticeNames,$C313)&gt;0,COUNTIF(MotionNames,$D313)&gt;0,NOT(AND(ISNUMBER($G313),$G313&lt;$F313))),IF(StatusFilter="All (excl. Cancelled)",IF($H313="Cancelled",0,1),IF(StatusFilter="All",1,IF($H313=StatusFilter,1,0))),0)</f>
        <v>0</v>
      </c>
      <c r="O313">
        <f>IF($N313=0,0,IF(AND($F313&lt;=EOMONTH(DATE(PlanYear,1,1),0),IF(ISNUMBER($G313),$G313,$F313)&gt;=DATE(PlanYear,1,1)),1,0))</f>
        <v>0</v>
      </c>
      <c r="P313">
        <f>IF($N313=0,0,IF(AND($F313&lt;=EOMONTH(DATE(PlanYear,2,1),0),IF(ISNUMBER($G313),$G313,$F313)&gt;=DATE(PlanYear,2,1)),1,0))</f>
        <v>0</v>
      </c>
      <c r="Q313">
        <f>IF($N313=0,0,IF(AND($F313&lt;=EOMONTH(DATE(PlanYear,3,1),0),IF(ISNUMBER($G313),$G313,$F313)&gt;=DATE(PlanYear,3,1)),1,0))</f>
        <v>0</v>
      </c>
      <c r="R313">
        <f>IF($N313=0,0,IF(AND($F313&lt;=EOMONTH(DATE(PlanYear,4,1),0),IF(ISNUMBER($G313),$G313,$F313)&gt;=DATE(PlanYear,4,1)),1,0))</f>
        <v>0</v>
      </c>
      <c r="S313">
        <f>IF($N313=0,0,IF(AND($F313&lt;=EOMONTH(DATE(PlanYear,5,1),0),IF(ISNUMBER($G313),$G313,$F313)&gt;=DATE(PlanYear,5,1)),1,0))</f>
        <v>0</v>
      </c>
      <c r="T313">
        <f>IF($N313=0,0,IF(AND($F313&lt;=EOMONTH(DATE(PlanYear,6,1),0),IF(ISNUMBER($G313),$G313,$F313)&gt;=DATE(PlanYear,6,1)),1,0))</f>
        <v>0</v>
      </c>
      <c r="U313">
        <f>IF($N313=0,0,IF(AND($F313&lt;=EOMONTH(DATE(PlanYear,7,1),0),IF(ISNUMBER($G313),$G313,$F313)&gt;=DATE(PlanYear,7,1)),1,0))</f>
        <v>0</v>
      </c>
      <c r="V313">
        <f>IF($N313=0,0,IF(AND($F313&lt;=EOMONTH(DATE(PlanYear,8,1),0),IF(ISNUMBER($G313),$G313,$F313)&gt;=DATE(PlanYear,8,1)),1,0))</f>
        <v>0</v>
      </c>
      <c r="W313">
        <f>IF($N313=0,0,IF(AND($F313&lt;=EOMONTH(DATE(PlanYear,9,1),0),IF(ISNUMBER($G313),$G313,$F313)&gt;=DATE(PlanYear,9,1)),1,0))</f>
        <v>0</v>
      </c>
      <c r="X313">
        <f>IF($N313=0,0,IF(AND($F313&lt;=EOMONTH(DATE(PlanYear,10,1),0),IF(ISNUMBER($G313),$G313,$F313)&gt;=DATE(PlanYear,10,1)),1,0))</f>
        <v>0</v>
      </c>
      <c r="Y313">
        <f>IF($N313=0,0,IF(AND($F313&lt;=EOMONTH(DATE(PlanYear,11,1),0),IF(ISNUMBER($G313),$G313,$F313)&gt;=DATE(PlanYear,11,1)),1,0))</f>
        <v>0</v>
      </c>
      <c r="Z313">
        <f>IF($N313=0,0,IF(AND($F313&lt;=EOMONTH(DATE(PlanYear,12,1),0),IF(ISNUMBER($G313),$G313,$F313)&gt;=DATE(PlanYear,12,1)),1,0))</f>
        <v>0</v>
      </c>
      <c r="AA313">
        <f>SUM($O313:$Z313)</f>
        <v>0</v>
      </c>
    </row>
    <row r="314" spans="1:27">
      <c r="A314" s="42">
        <f>IF($B314="","","ACT-"&amp;TEXT(ROW()-4,"000"))</f>
        <v>0</v>
      </c>
      <c r="M314" s="43">
        <f>IF(COUNTA($B314:$K314)=0,"",IF($B314="","Missing activity name",IF($C314="","Missing practice",IF(COUNTIF(PracticeNames,$C314)=0,"Practice not in Lists",IF($D314="","Missing motion",IF(NOT(ISNUMBER($F314)),"Missing or invalid start date",IF(AND(ISNUMBER($G314),$G314&lt;$F314),"End date before start",IF(AND($N314=1,$AA314=0),"Outside planning year","OK"))))))))</f>
        <v>0</v>
      </c>
      <c r="N314">
        <f>IF(AND($B314&lt;&gt;"",$C314&lt;&gt;"",$D314&lt;&gt;"",ISNUMBER($F314),COUNTIF(PracticeNames,$C314)&gt;0,COUNTIF(MotionNames,$D314)&gt;0,NOT(AND(ISNUMBER($G314),$G314&lt;$F314))),IF(StatusFilter="All (excl. Cancelled)",IF($H314="Cancelled",0,1),IF(StatusFilter="All",1,IF($H314=StatusFilter,1,0))),0)</f>
        <v>0</v>
      </c>
      <c r="O314">
        <f>IF($N314=0,0,IF(AND($F314&lt;=EOMONTH(DATE(PlanYear,1,1),0),IF(ISNUMBER($G314),$G314,$F314)&gt;=DATE(PlanYear,1,1)),1,0))</f>
        <v>0</v>
      </c>
      <c r="P314">
        <f>IF($N314=0,0,IF(AND($F314&lt;=EOMONTH(DATE(PlanYear,2,1),0),IF(ISNUMBER($G314),$G314,$F314)&gt;=DATE(PlanYear,2,1)),1,0))</f>
        <v>0</v>
      </c>
      <c r="Q314">
        <f>IF($N314=0,0,IF(AND($F314&lt;=EOMONTH(DATE(PlanYear,3,1),0),IF(ISNUMBER($G314),$G314,$F314)&gt;=DATE(PlanYear,3,1)),1,0))</f>
        <v>0</v>
      </c>
      <c r="R314">
        <f>IF($N314=0,0,IF(AND($F314&lt;=EOMONTH(DATE(PlanYear,4,1),0),IF(ISNUMBER($G314),$G314,$F314)&gt;=DATE(PlanYear,4,1)),1,0))</f>
        <v>0</v>
      </c>
      <c r="S314">
        <f>IF($N314=0,0,IF(AND($F314&lt;=EOMONTH(DATE(PlanYear,5,1),0),IF(ISNUMBER($G314),$G314,$F314)&gt;=DATE(PlanYear,5,1)),1,0))</f>
        <v>0</v>
      </c>
      <c r="T314">
        <f>IF($N314=0,0,IF(AND($F314&lt;=EOMONTH(DATE(PlanYear,6,1),0),IF(ISNUMBER($G314),$G314,$F314)&gt;=DATE(PlanYear,6,1)),1,0))</f>
        <v>0</v>
      </c>
      <c r="U314">
        <f>IF($N314=0,0,IF(AND($F314&lt;=EOMONTH(DATE(PlanYear,7,1),0),IF(ISNUMBER($G314),$G314,$F314)&gt;=DATE(PlanYear,7,1)),1,0))</f>
        <v>0</v>
      </c>
      <c r="V314">
        <f>IF($N314=0,0,IF(AND($F314&lt;=EOMONTH(DATE(PlanYear,8,1),0),IF(ISNUMBER($G314),$G314,$F314)&gt;=DATE(PlanYear,8,1)),1,0))</f>
        <v>0</v>
      </c>
      <c r="W314">
        <f>IF($N314=0,0,IF(AND($F314&lt;=EOMONTH(DATE(PlanYear,9,1),0),IF(ISNUMBER($G314),$G314,$F314)&gt;=DATE(PlanYear,9,1)),1,0))</f>
        <v>0</v>
      </c>
      <c r="X314">
        <f>IF($N314=0,0,IF(AND($F314&lt;=EOMONTH(DATE(PlanYear,10,1),0),IF(ISNUMBER($G314),$G314,$F314)&gt;=DATE(PlanYear,10,1)),1,0))</f>
        <v>0</v>
      </c>
      <c r="Y314">
        <f>IF($N314=0,0,IF(AND($F314&lt;=EOMONTH(DATE(PlanYear,11,1),0),IF(ISNUMBER($G314),$G314,$F314)&gt;=DATE(PlanYear,11,1)),1,0))</f>
        <v>0</v>
      </c>
      <c r="Z314">
        <f>IF($N314=0,0,IF(AND($F314&lt;=EOMONTH(DATE(PlanYear,12,1),0),IF(ISNUMBER($G314),$G314,$F314)&gt;=DATE(PlanYear,12,1)),1,0))</f>
        <v>0</v>
      </c>
      <c r="AA314">
        <f>SUM($O314:$Z314)</f>
        <v>0</v>
      </c>
    </row>
    <row r="315" spans="1:27">
      <c r="A315" s="42">
        <f>IF($B315="","","ACT-"&amp;TEXT(ROW()-4,"000"))</f>
        <v>0</v>
      </c>
      <c r="M315" s="43">
        <f>IF(COUNTA($B315:$K315)=0,"",IF($B315="","Missing activity name",IF($C315="","Missing practice",IF(COUNTIF(PracticeNames,$C315)=0,"Practice not in Lists",IF($D315="","Missing motion",IF(NOT(ISNUMBER($F315)),"Missing or invalid start date",IF(AND(ISNUMBER($G315),$G315&lt;$F315),"End date before start",IF(AND($N315=1,$AA315=0),"Outside planning year","OK"))))))))</f>
        <v>0</v>
      </c>
      <c r="N315">
        <f>IF(AND($B315&lt;&gt;"",$C315&lt;&gt;"",$D315&lt;&gt;"",ISNUMBER($F315),COUNTIF(PracticeNames,$C315)&gt;0,COUNTIF(MotionNames,$D315)&gt;0,NOT(AND(ISNUMBER($G315),$G315&lt;$F315))),IF(StatusFilter="All (excl. Cancelled)",IF($H315="Cancelled",0,1),IF(StatusFilter="All",1,IF($H315=StatusFilter,1,0))),0)</f>
        <v>0</v>
      </c>
      <c r="O315">
        <f>IF($N315=0,0,IF(AND($F315&lt;=EOMONTH(DATE(PlanYear,1,1),0),IF(ISNUMBER($G315),$G315,$F315)&gt;=DATE(PlanYear,1,1)),1,0))</f>
        <v>0</v>
      </c>
      <c r="P315">
        <f>IF($N315=0,0,IF(AND($F315&lt;=EOMONTH(DATE(PlanYear,2,1),0),IF(ISNUMBER($G315),$G315,$F315)&gt;=DATE(PlanYear,2,1)),1,0))</f>
        <v>0</v>
      </c>
      <c r="Q315">
        <f>IF($N315=0,0,IF(AND($F315&lt;=EOMONTH(DATE(PlanYear,3,1),0),IF(ISNUMBER($G315),$G315,$F315)&gt;=DATE(PlanYear,3,1)),1,0))</f>
        <v>0</v>
      </c>
      <c r="R315">
        <f>IF($N315=0,0,IF(AND($F315&lt;=EOMONTH(DATE(PlanYear,4,1),0),IF(ISNUMBER($G315),$G315,$F315)&gt;=DATE(PlanYear,4,1)),1,0))</f>
        <v>0</v>
      </c>
      <c r="S315">
        <f>IF($N315=0,0,IF(AND($F315&lt;=EOMONTH(DATE(PlanYear,5,1),0),IF(ISNUMBER($G315),$G315,$F315)&gt;=DATE(PlanYear,5,1)),1,0))</f>
        <v>0</v>
      </c>
      <c r="T315">
        <f>IF($N315=0,0,IF(AND($F315&lt;=EOMONTH(DATE(PlanYear,6,1),0),IF(ISNUMBER($G315),$G315,$F315)&gt;=DATE(PlanYear,6,1)),1,0))</f>
        <v>0</v>
      </c>
      <c r="U315">
        <f>IF($N315=0,0,IF(AND($F315&lt;=EOMONTH(DATE(PlanYear,7,1),0),IF(ISNUMBER($G315),$G315,$F315)&gt;=DATE(PlanYear,7,1)),1,0))</f>
        <v>0</v>
      </c>
      <c r="V315">
        <f>IF($N315=0,0,IF(AND($F315&lt;=EOMONTH(DATE(PlanYear,8,1),0),IF(ISNUMBER($G315),$G315,$F315)&gt;=DATE(PlanYear,8,1)),1,0))</f>
        <v>0</v>
      </c>
      <c r="W315">
        <f>IF($N315=0,0,IF(AND($F315&lt;=EOMONTH(DATE(PlanYear,9,1),0),IF(ISNUMBER($G315),$G315,$F315)&gt;=DATE(PlanYear,9,1)),1,0))</f>
        <v>0</v>
      </c>
      <c r="X315">
        <f>IF($N315=0,0,IF(AND($F315&lt;=EOMONTH(DATE(PlanYear,10,1),0),IF(ISNUMBER($G315),$G315,$F315)&gt;=DATE(PlanYear,10,1)),1,0))</f>
        <v>0</v>
      </c>
      <c r="Y315">
        <f>IF($N315=0,0,IF(AND($F315&lt;=EOMONTH(DATE(PlanYear,11,1),0),IF(ISNUMBER($G315),$G315,$F315)&gt;=DATE(PlanYear,11,1)),1,0))</f>
        <v>0</v>
      </c>
      <c r="Z315">
        <f>IF($N315=0,0,IF(AND($F315&lt;=EOMONTH(DATE(PlanYear,12,1),0),IF(ISNUMBER($G315),$G315,$F315)&gt;=DATE(PlanYear,12,1)),1,0))</f>
        <v>0</v>
      </c>
      <c r="AA315">
        <f>SUM($O315:$Z315)</f>
        <v>0</v>
      </c>
    </row>
    <row r="316" spans="1:27">
      <c r="A316" s="42">
        <f>IF($B316="","","ACT-"&amp;TEXT(ROW()-4,"000"))</f>
        <v>0</v>
      </c>
      <c r="M316" s="43">
        <f>IF(COUNTA($B316:$K316)=0,"",IF($B316="","Missing activity name",IF($C316="","Missing practice",IF(COUNTIF(PracticeNames,$C316)=0,"Practice not in Lists",IF($D316="","Missing motion",IF(NOT(ISNUMBER($F316)),"Missing or invalid start date",IF(AND(ISNUMBER($G316),$G316&lt;$F316),"End date before start",IF(AND($N316=1,$AA316=0),"Outside planning year","OK"))))))))</f>
        <v>0</v>
      </c>
      <c r="N316">
        <f>IF(AND($B316&lt;&gt;"",$C316&lt;&gt;"",$D316&lt;&gt;"",ISNUMBER($F316),COUNTIF(PracticeNames,$C316)&gt;0,COUNTIF(MotionNames,$D316)&gt;0,NOT(AND(ISNUMBER($G316),$G316&lt;$F316))),IF(StatusFilter="All (excl. Cancelled)",IF($H316="Cancelled",0,1),IF(StatusFilter="All",1,IF($H316=StatusFilter,1,0))),0)</f>
        <v>0</v>
      </c>
      <c r="O316">
        <f>IF($N316=0,0,IF(AND($F316&lt;=EOMONTH(DATE(PlanYear,1,1),0),IF(ISNUMBER($G316),$G316,$F316)&gt;=DATE(PlanYear,1,1)),1,0))</f>
        <v>0</v>
      </c>
      <c r="P316">
        <f>IF($N316=0,0,IF(AND($F316&lt;=EOMONTH(DATE(PlanYear,2,1),0),IF(ISNUMBER($G316),$G316,$F316)&gt;=DATE(PlanYear,2,1)),1,0))</f>
        <v>0</v>
      </c>
      <c r="Q316">
        <f>IF($N316=0,0,IF(AND($F316&lt;=EOMONTH(DATE(PlanYear,3,1),0),IF(ISNUMBER($G316),$G316,$F316)&gt;=DATE(PlanYear,3,1)),1,0))</f>
        <v>0</v>
      </c>
      <c r="R316">
        <f>IF($N316=0,0,IF(AND($F316&lt;=EOMONTH(DATE(PlanYear,4,1),0),IF(ISNUMBER($G316),$G316,$F316)&gt;=DATE(PlanYear,4,1)),1,0))</f>
        <v>0</v>
      </c>
      <c r="S316">
        <f>IF($N316=0,0,IF(AND($F316&lt;=EOMONTH(DATE(PlanYear,5,1),0),IF(ISNUMBER($G316),$G316,$F316)&gt;=DATE(PlanYear,5,1)),1,0))</f>
        <v>0</v>
      </c>
      <c r="T316">
        <f>IF($N316=0,0,IF(AND($F316&lt;=EOMONTH(DATE(PlanYear,6,1),0),IF(ISNUMBER($G316),$G316,$F316)&gt;=DATE(PlanYear,6,1)),1,0))</f>
        <v>0</v>
      </c>
      <c r="U316">
        <f>IF($N316=0,0,IF(AND($F316&lt;=EOMONTH(DATE(PlanYear,7,1),0),IF(ISNUMBER($G316),$G316,$F316)&gt;=DATE(PlanYear,7,1)),1,0))</f>
        <v>0</v>
      </c>
      <c r="V316">
        <f>IF($N316=0,0,IF(AND($F316&lt;=EOMONTH(DATE(PlanYear,8,1),0),IF(ISNUMBER($G316),$G316,$F316)&gt;=DATE(PlanYear,8,1)),1,0))</f>
        <v>0</v>
      </c>
      <c r="W316">
        <f>IF($N316=0,0,IF(AND($F316&lt;=EOMONTH(DATE(PlanYear,9,1),0),IF(ISNUMBER($G316),$G316,$F316)&gt;=DATE(PlanYear,9,1)),1,0))</f>
        <v>0</v>
      </c>
      <c r="X316">
        <f>IF($N316=0,0,IF(AND($F316&lt;=EOMONTH(DATE(PlanYear,10,1),0),IF(ISNUMBER($G316),$G316,$F316)&gt;=DATE(PlanYear,10,1)),1,0))</f>
        <v>0</v>
      </c>
      <c r="Y316">
        <f>IF($N316=0,0,IF(AND($F316&lt;=EOMONTH(DATE(PlanYear,11,1),0),IF(ISNUMBER($G316),$G316,$F316)&gt;=DATE(PlanYear,11,1)),1,0))</f>
        <v>0</v>
      </c>
      <c r="Z316">
        <f>IF($N316=0,0,IF(AND($F316&lt;=EOMONTH(DATE(PlanYear,12,1),0),IF(ISNUMBER($G316),$G316,$F316)&gt;=DATE(PlanYear,12,1)),1,0))</f>
        <v>0</v>
      </c>
      <c r="AA316">
        <f>SUM($O316:$Z316)</f>
        <v>0</v>
      </c>
    </row>
    <row r="317" spans="1:27">
      <c r="A317" s="42">
        <f>IF($B317="","","ACT-"&amp;TEXT(ROW()-4,"000"))</f>
        <v>0</v>
      </c>
      <c r="M317" s="43">
        <f>IF(COUNTA($B317:$K317)=0,"",IF($B317="","Missing activity name",IF($C317="","Missing practice",IF(COUNTIF(PracticeNames,$C317)=0,"Practice not in Lists",IF($D317="","Missing motion",IF(NOT(ISNUMBER($F317)),"Missing or invalid start date",IF(AND(ISNUMBER($G317),$G317&lt;$F317),"End date before start",IF(AND($N317=1,$AA317=0),"Outside planning year","OK"))))))))</f>
        <v>0</v>
      </c>
      <c r="N317">
        <f>IF(AND($B317&lt;&gt;"",$C317&lt;&gt;"",$D317&lt;&gt;"",ISNUMBER($F317),COUNTIF(PracticeNames,$C317)&gt;0,COUNTIF(MotionNames,$D317)&gt;0,NOT(AND(ISNUMBER($G317),$G317&lt;$F317))),IF(StatusFilter="All (excl. Cancelled)",IF($H317="Cancelled",0,1),IF(StatusFilter="All",1,IF($H317=StatusFilter,1,0))),0)</f>
        <v>0</v>
      </c>
      <c r="O317">
        <f>IF($N317=0,0,IF(AND($F317&lt;=EOMONTH(DATE(PlanYear,1,1),0),IF(ISNUMBER($G317),$G317,$F317)&gt;=DATE(PlanYear,1,1)),1,0))</f>
        <v>0</v>
      </c>
      <c r="P317">
        <f>IF($N317=0,0,IF(AND($F317&lt;=EOMONTH(DATE(PlanYear,2,1),0),IF(ISNUMBER($G317),$G317,$F317)&gt;=DATE(PlanYear,2,1)),1,0))</f>
        <v>0</v>
      </c>
      <c r="Q317">
        <f>IF($N317=0,0,IF(AND($F317&lt;=EOMONTH(DATE(PlanYear,3,1),0),IF(ISNUMBER($G317),$G317,$F317)&gt;=DATE(PlanYear,3,1)),1,0))</f>
        <v>0</v>
      </c>
      <c r="R317">
        <f>IF($N317=0,0,IF(AND($F317&lt;=EOMONTH(DATE(PlanYear,4,1),0),IF(ISNUMBER($G317),$G317,$F317)&gt;=DATE(PlanYear,4,1)),1,0))</f>
        <v>0</v>
      </c>
      <c r="S317">
        <f>IF($N317=0,0,IF(AND($F317&lt;=EOMONTH(DATE(PlanYear,5,1),0),IF(ISNUMBER($G317),$G317,$F317)&gt;=DATE(PlanYear,5,1)),1,0))</f>
        <v>0</v>
      </c>
      <c r="T317">
        <f>IF($N317=0,0,IF(AND($F317&lt;=EOMONTH(DATE(PlanYear,6,1),0),IF(ISNUMBER($G317),$G317,$F317)&gt;=DATE(PlanYear,6,1)),1,0))</f>
        <v>0</v>
      </c>
      <c r="U317">
        <f>IF($N317=0,0,IF(AND($F317&lt;=EOMONTH(DATE(PlanYear,7,1),0),IF(ISNUMBER($G317),$G317,$F317)&gt;=DATE(PlanYear,7,1)),1,0))</f>
        <v>0</v>
      </c>
      <c r="V317">
        <f>IF($N317=0,0,IF(AND($F317&lt;=EOMONTH(DATE(PlanYear,8,1),0),IF(ISNUMBER($G317),$G317,$F317)&gt;=DATE(PlanYear,8,1)),1,0))</f>
        <v>0</v>
      </c>
      <c r="W317">
        <f>IF($N317=0,0,IF(AND($F317&lt;=EOMONTH(DATE(PlanYear,9,1),0),IF(ISNUMBER($G317),$G317,$F317)&gt;=DATE(PlanYear,9,1)),1,0))</f>
        <v>0</v>
      </c>
      <c r="X317">
        <f>IF($N317=0,0,IF(AND($F317&lt;=EOMONTH(DATE(PlanYear,10,1),0),IF(ISNUMBER($G317),$G317,$F317)&gt;=DATE(PlanYear,10,1)),1,0))</f>
        <v>0</v>
      </c>
      <c r="Y317">
        <f>IF($N317=0,0,IF(AND($F317&lt;=EOMONTH(DATE(PlanYear,11,1),0),IF(ISNUMBER($G317),$G317,$F317)&gt;=DATE(PlanYear,11,1)),1,0))</f>
        <v>0</v>
      </c>
      <c r="Z317">
        <f>IF($N317=0,0,IF(AND($F317&lt;=EOMONTH(DATE(PlanYear,12,1),0),IF(ISNUMBER($G317),$G317,$F317)&gt;=DATE(PlanYear,12,1)),1,0))</f>
        <v>0</v>
      </c>
      <c r="AA317">
        <f>SUM($O317:$Z317)</f>
        <v>0</v>
      </c>
    </row>
    <row r="318" spans="1:27">
      <c r="A318" s="42">
        <f>IF($B318="","","ACT-"&amp;TEXT(ROW()-4,"000"))</f>
        <v>0</v>
      </c>
      <c r="M318" s="43">
        <f>IF(COUNTA($B318:$K318)=0,"",IF($B318="","Missing activity name",IF($C318="","Missing practice",IF(COUNTIF(PracticeNames,$C318)=0,"Practice not in Lists",IF($D318="","Missing motion",IF(NOT(ISNUMBER($F318)),"Missing or invalid start date",IF(AND(ISNUMBER($G318),$G318&lt;$F318),"End date before start",IF(AND($N318=1,$AA318=0),"Outside planning year","OK"))))))))</f>
        <v>0</v>
      </c>
      <c r="N318">
        <f>IF(AND($B318&lt;&gt;"",$C318&lt;&gt;"",$D318&lt;&gt;"",ISNUMBER($F318),COUNTIF(PracticeNames,$C318)&gt;0,COUNTIF(MotionNames,$D318)&gt;0,NOT(AND(ISNUMBER($G318),$G318&lt;$F318))),IF(StatusFilter="All (excl. Cancelled)",IF($H318="Cancelled",0,1),IF(StatusFilter="All",1,IF($H318=StatusFilter,1,0))),0)</f>
        <v>0</v>
      </c>
      <c r="O318">
        <f>IF($N318=0,0,IF(AND($F318&lt;=EOMONTH(DATE(PlanYear,1,1),0),IF(ISNUMBER($G318),$G318,$F318)&gt;=DATE(PlanYear,1,1)),1,0))</f>
        <v>0</v>
      </c>
      <c r="P318">
        <f>IF($N318=0,0,IF(AND($F318&lt;=EOMONTH(DATE(PlanYear,2,1),0),IF(ISNUMBER($G318),$G318,$F318)&gt;=DATE(PlanYear,2,1)),1,0))</f>
        <v>0</v>
      </c>
      <c r="Q318">
        <f>IF($N318=0,0,IF(AND($F318&lt;=EOMONTH(DATE(PlanYear,3,1),0),IF(ISNUMBER($G318),$G318,$F318)&gt;=DATE(PlanYear,3,1)),1,0))</f>
        <v>0</v>
      </c>
      <c r="R318">
        <f>IF($N318=0,0,IF(AND($F318&lt;=EOMONTH(DATE(PlanYear,4,1),0),IF(ISNUMBER($G318),$G318,$F318)&gt;=DATE(PlanYear,4,1)),1,0))</f>
        <v>0</v>
      </c>
      <c r="S318">
        <f>IF($N318=0,0,IF(AND($F318&lt;=EOMONTH(DATE(PlanYear,5,1),0),IF(ISNUMBER($G318),$G318,$F318)&gt;=DATE(PlanYear,5,1)),1,0))</f>
        <v>0</v>
      </c>
      <c r="T318">
        <f>IF($N318=0,0,IF(AND($F318&lt;=EOMONTH(DATE(PlanYear,6,1),0),IF(ISNUMBER($G318),$G318,$F318)&gt;=DATE(PlanYear,6,1)),1,0))</f>
        <v>0</v>
      </c>
      <c r="U318">
        <f>IF($N318=0,0,IF(AND($F318&lt;=EOMONTH(DATE(PlanYear,7,1),0),IF(ISNUMBER($G318),$G318,$F318)&gt;=DATE(PlanYear,7,1)),1,0))</f>
        <v>0</v>
      </c>
      <c r="V318">
        <f>IF($N318=0,0,IF(AND($F318&lt;=EOMONTH(DATE(PlanYear,8,1),0),IF(ISNUMBER($G318),$G318,$F318)&gt;=DATE(PlanYear,8,1)),1,0))</f>
        <v>0</v>
      </c>
      <c r="W318">
        <f>IF($N318=0,0,IF(AND($F318&lt;=EOMONTH(DATE(PlanYear,9,1),0),IF(ISNUMBER($G318),$G318,$F318)&gt;=DATE(PlanYear,9,1)),1,0))</f>
        <v>0</v>
      </c>
      <c r="X318">
        <f>IF($N318=0,0,IF(AND($F318&lt;=EOMONTH(DATE(PlanYear,10,1),0),IF(ISNUMBER($G318),$G318,$F318)&gt;=DATE(PlanYear,10,1)),1,0))</f>
        <v>0</v>
      </c>
      <c r="Y318">
        <f>IF($N318=0,0,IF(AND($F318&lt;=EOMONTH(DATE(PlanYear,11,1),0),IF(ISNUMBER($G318),$G318,$F318)&gt;=DATE(PlanYear,11,1)),1,0))</f>
        <v>0</v>
      </c>
      <c r="Z318">
        <f>IF($N318=0,0,IF(AND($F318&lt;=EOMONTH(DATE(PlanYear,12,1),0),IF(ISNUMBER($G318),$G318,$F318)&gt;=DATE(PlanYear,12,1)),1,0))</f>
        <v>0</v>
      </c>
      <c r="AA318">
        <f>SUM($O318:$Z318)</f>
        <v>0</v>
      </c>
    </row>
    <row r="319" spans="1:27">
      <c r="A319" s="42">
        <f>IF($B319="","","ACT-"&amp;TEXT(ROW()-4,"000"))</f>
        <v>0</v>
      </c>
      <c r="M319" s="43">
        <f>IF(COUNTA($B319:$K319)=0,"",IF($B319="","Missing activity name",IF($C319="","Missing practice",IF(COUNTIF(PracticeNames,$C319)=0,"Practice not in Lists",IF($D319="","Missing motion",IF(NOT(ISNUMBER($F319)),"Missing or invalid start date",IF(AND(ISNUMBER($G319),$G319&lt;$F319),"End date before start",IF(AND($N319=1,$AA319=0),"Outside planning year","OK"))))))))</f>
        <v>0</v>
      </c>
      <c r="N319">
        <f>IF(AND($B319&lt;&gt;"",$C319&lt;&gt;"",$D319&lt;&gt;"",ISNUMBER($F319),COUNTIF(PracticeNames,$C319)&gt;0,COUNTIF(MotionNames,$D319)&gt;0,NOT(AND(ISNUMBER($G319),$G319&lt;$F319))),IF(StatusFilter="All (excl. Cancelled)",IF($H319="Cancelled",0,1),IF(StatusFilter="All",1,IF($H319=StatusFilter,1,0))),0)</f>
        <v>0</v>
      </c>
      <c r="O319">
        <f>IF($N319=0,0,IF(AND($F319&lt;=EOMONTH(DATE(PlanYear,1,1),0),IF(ISNUMBER($G319),$G319,$F319)&gt;=DATE(PlanYear,1,1)),1,0))</f>
        <v>0</v>
      </c>
      <c r="P319">
        <f>IF($N319=0,0,IF(AND($F319&lt;=EOMONTH(DATE(PlanYear,2,1),0),IF(ISNUMBER($G319),$G319,$F319)&gt;=DATE(PlanYear,2,1)),1,0))</f>
        <v>0</v>
      </c>
      <c r="Q319">
        <f>IF($N319=0,0,IF(AND($F319&lt;=EOMONTH(DATE(PlanYear,3,1),0),IF(ISNUMBER($G319),$G319,$F319)&gt;=DATE(PlanYear,3,1)),1,0))</f>
        <v>0</v>
      </c>
      <c r="R319">
        <f>IF($N319=0,0,IF(AND($F319&lt;=EOMONTH(DATE(PlanYear,4,1),0),IF(ISNUMBER($G319),$G319,$F319)&gt;=DATE(PlanYear,4,1)),1,0))</f>
        <v>0</v>
      </c>
      <c r="S319">
        <f>IF($N319=0,0,IF(AND($F319&lt;=EOMONTH(DATE(PlanYear,5,1),0),IF(ISNUMBER($G319),$G319,$F319)&gt;=DATE(PlanYear,5,1)),1,0))</f>
        <v>0</v>
      </c>
      <c r="T319">
        <f>IF($N319=0,0,IF(AND($F319&lt;=EOMONTH(DATE(PlanYear,6,1),0),IF(ISNUMBER($G319),$G319,$F319)&gt;=DATE(PlanYear,6,1)),1,0))</f>
        <v>0</v>
      </c>
      <c r="U319">
        <f>IF($N319=0,0,IF(AND($F319&lt;=EOMONTH(DATE(PlanYear,7,1),0),IF(ISNUMBER($G319),$G319,$F319)&gt;=DATE(PlanYear,7,1)),1,0))</f>
        <v>0</v>
      </c>
      <c r="V319">
        <f>IF($N319=0,0,IF(AND($F319&lt;=EOMONTH(DATE(PlanYear,8,1),0),IF(ISNUMBER($G319),$G319,$F319)&gt;=DATE(PlanYear,8,1)),1,0))</f>
        <v>0</v>
      </c>
      <c r="W319">
        <f>IF($N319=0,0,IF(AND($F319&lt;=EOMONTH(DATE(PlanYear,9,1),0),IF(ISNUMBER($G319),$G319,$F319)&gt;=DATE(PlanYear,9,1)),1,0))</f>
        <v>0</v>
      </c>
      <c r="X319">
        <f>IF($N319=0,0,IF(AND($F319&lt;=EOMONTH(DATE(PlanYear,10,1),0),IF(ISNUMBER($G319),$G319,$F319)&gt;=DATE(PlanYear,10,1)),1,0))</f>
        <v>0</v>
      </c>
      <c r="Y319">
        <f>IF($N319=0,0,IF(AND($F319&lt;=EOMONTH(DATE(PlanYear,11,1),0),IF(ISNUMBER($G319),$G319,$F319)&gt;=DATE(PlanYear,11,1)),1,0))</f>
        <v>0</v>
      </c>
      <c r="Z319">
        <f>IF($N319=0,0,IF(AND($F319&lt;=EOMONTH(DATE(PlanYear,12,1),0),IF(ISNUMBER($G319),$G319,$F319)&gt;=DATE(PlanYear,12,1)),1,0))</f>
        <v>0</v>
      </c>
      <c r="AA319">
        <f>SUM($O319:$Z319)</f>
        <v>0</v>
      </c>
    </row>
    <row r="320" spans="1:27">
      <c r="A320" s="42">
        <f>IF($B320="","","ACT-"&amp;TEXT(ROW()-4,"000"))</f>
        <v>0</v>
      </c>
      <c r="M320" s="43">
        <f>IF(COUNTA($B320:$K320)=0,"",IF($B320="","Missing activity name",IF($C320="","Missing practice",IF(COUNTIF(PracticeNames,$C320)=0,"Practice not in Lists",IF($D320="","Missing motion",IF(NOT(ISNUMBER($F320)),"Missing or invalid start date",IF(AND(ISNUMBER($G320),$G320&lt;$F320),"End date before start",IF(AND($N320=1,$AA320=0),"Outside planning year","OK"))))))))</f>
        <v>0</v>
      </c>
      <c r="N320">
        <f>IF(AND($B320&lt;&gt;"",$C320&lt;&gt;"",$D320&lt;&gt;"",ISNUMBER($F320),COUNTIF(PracticeNames,$C320)&gt;0,COUNTIF(MotionNames,$D320)&gt;0,NOT(AND(ISNUMBER($G320),$G320&lt;$F320))),IF(StatusFilter="All (excl. Cancelled)",IF($H320="Cancelled",0,1),IF(StatusFilter="All",1,IF($H320=StatusFilter,1,0))),0)</f>
        <v>0</v>
      </c>
      <c r="O320">
        <f>IF($N320=0,0,IF(AND($F320&lt;=EOMONTH(DATE(PlanYear,1,1),0),IF(ISNUMBER($G320),$G320,$F320)&gt;=DATE(PlanYear,1,1)),1,0))</f>
        <v>0</v>
      </c>
      <c r="P320">
        <f>IF($N320=0,0,IF(AND($F320&lt;=EOMONTH(DATE(PlanYear,2,1),0),IF(ISNUMBER($G320),$G320,$F320)&gt;=DATE(PlanYear,2,1)),1,0))</f>
        <v>0</v>
      </c>
      <c r="Q320">
        <f>IF($N320=0,0,IF(AND($F320&lt;=EOMONTH(DATE(PlanYear,3,1),0),IF(ISNUMBER($G320),$G320,$F320)&gt;=DATE(PlanYear,3,1)),1,0))</f>
        <v>0</v>
      </c>
      <c r="R320">
        <f>IF($N320=0,0,IF(AND($F320&lt;=EOMONTH(DATE(PlanYear,4,1),0),IF(ISNUMBER($G320),$G320,$F320)&gt;=DATE(PlanYear,4,1)),1,0))</f>
        <v>0</v>
      </c>
      <c r="S320">
        <f>IF($N320=0,0,IF(AND($F320&lt;=EOMONTH(DATE(PlanYear,5,1),0),IF(ISNUMBER($G320),$G320,$F320)&gt;=DATE(PlanYear,5,1)),1,0))</f>
        <v>0</v>
      </c>
      <c r="T320">
        <f>IF($N320=0,0,IF(AND($F320&lt;=EOMONTH(DATE(PlanYear,6,1),0),IF(ISNUMBER($G320),$G320,$F320)&gt;=DATE(PlanYear,6,1)),1,0))</f>
        <v>0</v>
      </c>
      <c r="U320">
        <f>IF($N320=0,0,IF(AND($F320&lt;=EOMONTH(DATE(PlanYear,7,1),0),IF(ISNUMBER($G320),$G320,$F320)&gt;=DATE(PlanYear,7,1)),1,0))</f>
        <v>0</v>
      </c>
      <c r="V320">
        <f>IF($N320=0,0,IF(AND($F320&lt;=EOMONTH(DATE(PlanYear,8,1),0),IF(ISNUMBER($G320),$G320,$F320)&gt;=DATE(PlanYear,8,1)),1,0))</f>
        <v>0</v>
      </c>
      <c r="W320">
        <f>IF($N320=0,0,IF(AND($F320&lt;=EOMONTH(DATE(PlanYear,9,1),0),IF(ISNUMBER($G320),$G320,$F320)&gt;=DATE(PlanYear,9,1)),1,0))</f>
        <v>0</v>
      </c>
      <c r="X320">
        <f>IF($N320=0,0,IF(AND($F320&lt;=EOMONTH(DATE(PlanYear,10,1),0),IF(ISNUMBER($G320),$G320,$F320)&gt;=DATE(PlanYear,10,1)),1,0))</f>
        <v>0</v>
      </c>
      <c r="Y320">
        <f>IF($N320=0,0,IF(AND($F320&lt;=EOMONTH(DATE(PlanYear,11,1),0),IF(ISNUMBER($G320),$G320,$F320)&gt;=DATE(PlanYear,11,1)),1,0))</f>
        <v>0</v>
      </c>
      <c r="Z320">
        <f>IF($N320=0,0,IF(AND($F320&lt;=EOMONTH(DATE(PlanYear,12,1),0),IF(ISNUMBER($G320),$G320,$F320)&gt;=DATE(PlanYear,12,1)),1,0))</f>
        <v>0</v>
      </c>
      <c r="AA320">
        <f>SUM($O320:$Z320)</f>
        <v>0</v>
      </c>
    </row>
    <row r="321" spans="1:27">
      <c r="A321" s="42">
        <f>IF($B321="","","ACT-"&amp;TEXT(ROW()-4,"000"))</f>
        <v>0</v>
      </c>
      <c r="M321" s="43">
        <f>IF(COUNTA($B321:$K321)=0,"",IF($B321="","Missing activity name",IF($C321="","Missing practice",IF(COUNTIF(PracticeNames,$C321)=0,"Practice not in Lists",IF($D321="","Missing motion",IF(NOT(ISNUMBER($F321)),"Missing or invalid start date",IF(AND(ISNUMBER($G321),$G321&lt;$F321),"End date before start",IF(AND($N321=1,$AA321=0),"Outside planning year","OK"))))))))</f>
        <v>0</v>
      </c>
      <c r="N321">
        <f>IF(AND($B321&lt;&gt;"",$C321&lt;&gt;"",$D321&lt;&gt;"",ISNUMBER($F321),COUNTIF(PracticeNames,$C321)&gt;0,COUNTIF(MotionNames,$D321)&gt;0,NOT(AND(ISNUMBER($G321),$G321&lt;$F321))),IF(StatusFilter="All (excl. Cancelled)",IF($H321="Cancelled",0,1),IF(StatusFilter="All",1,IF($H321=StatusFilter,1,0))),0)</f>
        <v>0</v>
      </c>
      <c r="O321">
        <f>IF($N321=0,0,IF(AND($F321&lt;=EOMONTH(DATE(PlanYear,1,1),0),IF(ISNUMBER($G321),$G321,$F321)&gt;=DATE(PlanYear,1,1)),1,0))</f>
        <v>0</v>
      </c>
      <c r="P321">
        <f>IF($N321=0,0,IF(AND($F321&lt;=EOMONTH(DATE(PlanYear,2,1),0),IF(ISNUMBER($G321),$G321,$F321)&gt;=DATE(PlanYear,2,1)),1,0))</f>
        <v>0</v>
      </c>
      <c r="Q321">
        <f>IF($N321=0,0,IF(AND($F321&lt;=EOMONTH(DATE(PlanYear,3,1),0),IF(ISNUMBER($G321),$G321,$F321)&gt;=DATE(PlanYear,3,1)),1,0))</f>
        <v>0</v>
      </c>
      <c r="R321">
        <f>IF($N321=0,0,IF(AND($F321&lt;=EOMONTH(DATE(PlanYear,4,1),0),IF(ISNUMBER($G321),$G321,$F321)&gt;=DATE(PlanYear,4,1)),1,0))</f>
        <v>0</v>
      </c>
      <c r="S321">
        <f>IF($N321=0,0,IF(AND($F321&lt;=EOMONTH(DATE(PlanYear,5,1),0),IF(ISNUMBER($G321),$G321,$F321)&gt;=DATE(PlanYear,5,1)),1,0))</f>
        <v>0</v>
      </c>
      <c r="T321">
        <f>IF($N321=0,0,IF(AND($F321&lt;=EOMONTH(DATE(PlanYear,6,1),0),IF(ISNUMBER($G321),$G321,$F321)&gt;=DATE(PlanYear,6,1)),1,0))</f>
        <v>0</v>
      </c>
      <c r="U321">
        <f>IF($N321=0,0,IF(AND($F321&lt;=EOMONTH(DATE(PlanYear,7,1),0),IF(ISNUMBER($G321),$G321,$F321)&gt;=DATE(PlanYear,7,1)),1,0))</f>
        <v>0</v>
      </c>
      <c r="V321">
        <f>IF($N321=0,0,IF(AND($F321&lt;=EOMONTH(DATE(PlanYear,8,1),0),IF(ISNUMBER($G321),$G321,$F321)&gt;=DATE(PlanYear,8,1)),1,0))</f>
        <v>0</v>
      </c>
      <c r="W321">
        <f>IF($N321=0,0,IF(AND($F321&lt;=EOMONTH(DATE(PlanYear,9,1),0),IF(ISNUMBER($G321),$G321,$F321)&gt;=DATE(PlanYear,9,1)),1,0))</f>
        <v>0</v>
      </c>
      <c r="X321">
        <f>IF($N321=0,0,IF(AND($F321&lt;=EOMONTH(DATE(PlanYear,10,1),0),IF(ISNUMBER($G321),$G321,$F321)&gt;=DATE(PlanYear,10,1)),1,0))</f>
        <v>0</v>
      </c>
      <c r="Y321">
        <f>IF($N321=0,0,IF(AND($F321&lt;=EOMONTH(DATE(PlanYear,11,1),0),IF(ISNUMBER($G321),$G321,$F321)&gt;=DATE(PlanYear,11,1)),1,0))</f>
        <v>0</v>
      </c>
      <c r="Z321">
        <f>IF($N321=0,0,IF(AND($F321&lt;=EOMONTH(DATE(PlanYear,12,1),0),IF(ISNUMBER($G321),$G321,$F321)&gt;=DATE(PlanYear,12,1)),1,0))</f>
        <v>0</v>
      </c>
      <c r="AA321">
        <f>SUM($O321:$Z321)</f>
        <v>0</v>
      </c>
    </row>
    <row r="322" spans="1:27">
      <c r="A322" s="42">
        <f>IF($B322="","","ACT-"&amp;TEXT(ROW()-4,"000"))</f>
        <v>0</v>
      </c>
      <c r="M322" s="43">
        <f>IF(COUNTA($B322:$K322)=0,"",IF($B322="","Missing activity name",IF($C322="","Missing practice",IF(COUNTIF(PracticeNames,$C322)=0,"Practice not in Lists",IF($D322="","Missing motion",IF(NOT(ISNUMBER($F322)),"Missing or invalid start date",IF(AND(ISNUMBER($G322),$G322&lt;$F322),"End date before start",IF(AND($N322=1,$AA322=0),"Outside planning year","OK"))))))))</f>
        <v>0</v>
      </c>
      <c r="N322">
        <f>IF(AND($B322&lt;&gt;"",$C322&lt;&gt;"",$D322&lt;&gt;"",ISNUMBER($F322),COUNTIF(PracticeNames,$C322)&gt;0,COUNTIF(MotionNames,$D322)&gt;0,NOT(AND(ISNUMBER($G322),$G322&lt;$F322))),IF(StatusFilter="All (excl. Cancelled)",IF($H322="Cancelled",0,1),IF(StatusFilter="All",1,IF($H322=StatusFilter,1,0))),0)</f>
        <v>0</v>
      </c>
      <c r="O322">
        <f>IF($N322=0,0,IF(AND($F322&lt;=EOMONTH(DATE(PlanYear,1,1),0),IF(ISNUMBER($G322),$G322,$F322)&gt;=DATE(PlanYear,1,1)),1,0))</f>
        <v>0</v>
      </c>
      <c r="P322">
        <f>IF($N322=0,0,IF(AND($F322&lt;=EOMONTH(DATE(PlanYear,2,1),0),IF(ISNUMBER($G322),$G322,$F322)&gt;=DATE(PlanYear,2,1)),1,0))</f>
        <v>0</v>
      </c>
      <c r="Q322">
        <f>IF($N322=0,0,IF(AND($F322&lt;=EOMONTH(DATE(PlanYear,3,1),0),IF(ISNUMBER($G322),$G322,$F322)&gt;=DATE(PlanYear,3,1)),1,0))</f>
        <v>0</v>
      </c>
      <c r="R322">
        <f>IF($N322=0,0,IF(AND($F322&lt;=EOMONTH(DATE(PlanYear,4,1),0),IF(ISNUMBER($G322),$G322,$F322)&gt;=DATE(PlanYear,4,1)),1,0))</f>
        <v>0</v>
      </c>
      <c r="S322">
        <f>IF($N322=0,0,IF(AND($F322&lt;=EOMONTH(DATE(PlanYear,5,1),0),IF(ISNUMBER($G322),$G322,$F322)&gt;=DATE(PlanYear,5,1)),1,0))</f>
        <v>0</v>
      </c>
      <c r="T322">
        <f>IF($N322=0,0,IF(AND($F322&lt;=EOMONTH(DATE(PlanYear,6,1),0),IF(ISNUMBER($G322),$G322,$F322)&gt;=DATE(PlanYear,6,1)),1,0))</f>
        <v>0</v>
      </c>
      <c r="U322">
        <f>IF($N322=0,0,IF(AND($F322&lt;=EOMONTH(DATE(PlanYear,7,1),0),IF(ISNUMBER($G322),$G322,$F322)&gt;=DATE(PlanYear,7,1)),1,0))</f>
        <v>0</v>
      </c>
      <c r="V322">
        <f>IF($N322=0,0,IF(AND($F322&lt;=EOMONTH(DATE(PlanYear,8,1),0),IF(ISNUMBER($G322),$G322,$F322)&gt;=DATE(PlanYear,8,1)),1,0))</f>
        <v>0</v>
      </c>
      <c r="W322">
        <f>IF($N322=0,0,IF(AND($F322&lt;=EOMONTH(DATE(PlanYear,9,1),0),IF(ISNUMBER($G322),$G322,$F322)&gt;=DATE(PlanYear,9,1)),1,0))</f>
        <v>0</v>
      </c>
      <c r="X322">
        <f>IF($N322=0,0,IF(AND($F322&lt;=EOMONTH(DATE(PlanYear,10,1),0),IF(ISNUMBER($G322),$G322,$F322)&gt;=DATE(PlanYear,10,1)),1,0))</f>
        <v>0</v>
      </c>
      <c r="Y322">
        <f>IF($N322=0,0,IF(AND($F322&lt;=EOMONTH(DATE(PlanYear,11,1),0),IF(ISNUMBER($G322),$G322,$F322)&gt;=DATE(PlanYear,11,1)),1,0))</f>
        <v>0</v>
      </c>
      <c r="Z322">
        <f>IF($N322=0,0,IF(AND($F322&lt;=EOMONTH(DATE(PlanYear,12,1),0),IF(ISNUMBER($G322),$G322,$F322)&gt;=DATE(PlanYear,12,1)),1,0))</f>
        <v>0</v>
      </c>
      <c r="AA322">
        <f>SUM($O322:$Z322)</f>
        <v>0</v>
      </c>
    </row>
    <row r="323" spans="1:27">
      <c r="A323" s="42">
        <f>IF($B323="","","ACT-"&amp;TEXT(ROW()-4,"000"))</f>
        <v>0</v>
      </c>
      <c r="M323" s="43">
        <f>IF(COUNTA($B323:$K323)=0,"",IF($B323="","Missing activity name",IF($C323="","Missing practice",IF(COUNTIF(PracticeNames,$C323)=0,"Practice not in Lists",IF($D323="","Missing motion",IF(NOT(ISNUMBER($F323)),"Missing or invalid start date",IF(AND(ISNUMBER($G323),$G323&lt;$F323),"End date before start",IF(AND($N323=1,$AA323=0),"Outside planning year","OK"))))))))</f>
        <v>0</v>
      </c>
      <c r="N323">
        <f>IF(AND($B323&lt;&gt;"",$C323&lt;&gt;"",$D323&lt;&gt;"",ISNUMBER($F323),COUNTIF(PracticeNames,$C323)&gt;0,COUNTIF(MotionNames,$D323)&gt;0,NOT(AND(ISNUMBER($G323),$G323&lt;$F323))),IF(StatusFilter="All (excl. Cancelled)",IF($H323="Cancelled",0,1),IF(StatusFilter="All",1,IF($H323=StatusFilter,1,0))),0)</f>
        <v>0</v>
      </c>
      <c r="O323">
        <f>IF($N323=0,0,IF(AND($F323&lt;=EOMONTH(DATE(PlanYear,1,1),0),IF(ISNUMBER($G323),$G323,$F323)&gt;=DATE(PlanYear,1,1)),1,0))</f>
        <v>0</v>
      </c>
      <c r="P323">
        <f>IF($N323=0,0,IF(AND($F323&lt;=EOMONTH(DATE(PlanYear,2,1),0),IF(ISNUMBER($G323),$G323,$F323)&gt;=DATE(PlanYear,2,1)),1,0))</f>
        <v>0</v>
      </c>
      <c r="Q323">
        <f>IF($N323=0,0,IF(AND($F323&lt;=EOMONTH(DATE(PlanYear,3,1),0),IF(ISNUMBER($G323),$G323,$F323)&gt;=DATE(PlanYear,3,1)),1,0))</f>
        <v>0</v>
      </c>
      <c r="R323">
        <f>IF($N323=0,0,IF(AND($F323&lt;=EOMONTH(DATE(PlanYear,4,1),0),IF(ISNUMBER($G323),$G323,$F323)&gt;=DATE(PlanYear,4,1)),1,0))</f>
        <v>0</v>
      </c>
      <c r="S323">
        <f>IF($N323=0,0,IF(AND($F323&lt;=EOMONTH(DATE(PlanYear,5,1),0),IF(ISNUMBER($G323),$G323,$F323)&gt;=DATE(PlanYear,5,1)),1,0))</f>
        <v>0</v>
      </c>
      <c r="T323">
        <f>IF($N323=0,0,IF(AND($F323&lt;=EOMONTH(DATE(PlanYear,6,1),0),IF(ISNUMBER($G323),$G323,$F323)&gt;=DATE(PlanYear,6,1)),1,0))</f>
        <v>0</v>
      </c>
      <c r="U323">
        <f>IF($N323=0,0,IF(AND($F323&lt;=EOMONTH(DATE(PlanYear,7,1),0),IF(ISNUMBER($G323),$G323,$F323)&gt;=DATE(PlanYear,7,1)),1,0))</f>
        <v>0</v>
      </c>
      <c r="V323">
        <f>IF($N323=0,0,IF(AND($F323&lt;=EOMONTH(DATE(PlanYear,8,1),0),IF(ISNUMBER($G323),$G323,$F323)&gt;=DATE(PlanYear,8,1)),1,0))</f>
        <v>0</v>
      </c>
      <c r="W323">
        <f>IF($N323=0,0,IF(AND($F323&lt;=EOMONTH(DATE(PlanYear,9,1),0),IF(ISNUMBER($G323),$G323,$F323)&gt;=DATE(PlanYear,9,1)),1,0))</f>
        <v>0</v>
      </c>
      <c r="X323">
        <f>IF($N323=0,0,IF(AND($F323&lt;=EOMONTH(DATE(PlanYear,10,1),0),IF(ISNUMBER($G323),$G323,$F323)&gt;=DATE(PlanYear,10,1)),1,0))</f>
        <v>0</v>
      </c>
      <c r="Y323">
        <f>IF($N323=0,0,IF(AND($F323&lt;=EOMONTH(DATE(PlanYear,11,1),0),IF(ISNUMBER($G323),$G323,$F323)&gt;=DATE(PlanYear,11,1)),1,0))</f>
        <v>0</v>
      </c>
      <c r="Z323">
        <f>IF($N323=0,0,IF(AND($F323&lt;=EOMONTH(DATE(PlanYear,12,1),0),IF(ISNUMBER($G323),$G323,$F323)&gt;=DATE(PlanYear,12,1)),1,0))</f>
        <v>0</v>
      </c>
      <c r="AA323">
        <f>SUM($O323:$Z323)</f>
        <v>0</v>
      </c>
    </row>
    <row r="324" spans="1:27">
      <c r="A324" s="42">
        <f>IF($B324="","","ACT-"&amp;TEXT(ROW()-4,"000"))</f>
        <v>0</v>
      </c>
      <c r="M324" s="43">
        <f>IF(COUNTA($B324:$K324)=0,"",IF($B324="","Missing activity name",IF($C324="","Missing practice",IF(COUNTIF(PracticeNames,$C324)=0,"Practice not in Lists",IF($D324="","Missing motion",IF(NOT(ISNUMBER($F324)),"Missing or invalid start date",IF(AND(ISNUMBER($G324),$G324&lt;$F324),"End date before start",IF(AND($N324=1,$AA324=0),"Outside planning year","OK"))))))))</f>
        <v>0</v>
      </c>
      <c r="N324">
        <f>IF(AND($B324&lt;&gt;"",$C324&lt;&gt;"",$D324&lt;&gt;"",ISNUMBER($F324),COUNTIF(PracticeNames,$C324)&gt;0,COUNTIF(MotionNames,$D324)&gt;0,NOT(AND(ISNUMBER($G324),$G324&lt;$F324))),IF(StatusFilter="All (excl. Cancelled)",IF($H324="Cancelled",0,1),IF(StatusFilter="All",1,IF($H324=StatusFilter,1,0))),0)</f>
        <v>0</v>
      </c>
      <c r="O324">
        <f>IF($N324=0,0,IF(AND($F324&lt;=EOMONTH(DATE(PlanYear,1,1),0),IF(ISNUMBER($G324),$G324,$F324)&gt;=DATE(PlanYear,1,1)),1,0))</f>
        <v>0</v>
      </c>
      <c r="P324">
        <f>IF($N324=0,0,IF(AND($F324&lt;=EOMONTH(DATE(PlanYear,2,1),0),IF(ISNUMBER($G324),$G324,$F324)&gt;=DATE(PlanYear,2,1)),1,0))</f>
        <v>0</v>
      </c>
      <c r="Q324">
        <f>IF($N324=0,0,IF(AND($F324&lt;=EOMONTH(DATE(PlanYear,3,1),0),IF(ISNUMBER($G324),$G324,$F324)&gt;=DATE(PlanYear,3,1)),1,0))</f>
        <v>0</v>
      </c>
      <c r="R324">
        <f>IF($N324=0,0,IF(AND($F324&lt;=EOMONTH(DATE(PlanYear,4,1),0),IF(ISNUMBER($G324),$G324,$F324)&gt;=DATE(PlanYear,4,1)),1,0))</f>
        <v>0</v>
      </c>
      <c r="S324">
        <f>IF($N324=0,0,IF(AND($F324&lt;=EOMONTH(DATE(PlanYear,5,1),0),IF(ISNUMBER($G324),$G324,$F324)&gt;=DATE(PlanYear,5,1)),1,0))</f>
        <v>0</v>
      </c>
      <c r="T324">
        <f>IF($N324=0,0,IF(AND($F324&lt;=EOMONTH(DATE(PlanYear,6,1),0),IF(ISNUMBER($G324),$G324,$F324)&gt;=DATE(PlanYear,6,1)),1,0))</f>
        <v>0</v>
      </c>
      <c r="U324">
        <f>IF($N324=0,0,IF(AND($F324&lt;=EOMONTH(DATE(PlanYear,7,1),0),IF(ISNUMBER($G324),$G324,$F324)&gt;=DATE(PlanYear,7,1)),1,0))</f>
        <v>0</v>
      </c>
      <c r="V324">
        <f>IF($N324=0,0,IF(AND($F324&lt;=EOMONTH(DATE(PlanYear,8,1),0),IF(ISNUMBER($G324),$G324,$F324)&gt;=DATE(PlanYear,8,1)),1,0))</f>
        <v>0</v>
      </c>
      <c r="W324">
        <f>IF($N324=0,0,IF(AND($F324&lt;=EOMONTH(DATE(PlanYear,9,1),0),IF(ISNUMBER($G324),$G324,$F324)&gt;=DATE(PlanYear,9,1)),1,0))</f>
        <v>0</v>
      </c>
      <c r="X324">
        <f>IF($N324=0,0,IF(AND($F324&lt;=EOMONTH(DATE(PlanYear,10,1),0),IF(ISNUMBER($G324),$G324,$F324)&gt;=DATE(PlanYear,10,1)),1,0))</f>
        <v>0</v>
      </c>
      <c r="Y324">
        <f>IF($N324=0,0,IF(AND($F324&lt;=EOMONTH(DATE(PlanYear,11,1),0),IF(ISNUMBER($G324),$G324,$F324)&gt;=DATE(PlanYear,11,1)),1,0))</f>
        <v>0</v>
      </c>
      <c r="Z324">
        <f>IF($N324=0,0,IF(AND($F324&lt;=EOMONTH(DATE(PlanYear,12,1),0),IF(ISNUMBER($G324),$G324,$F324)&gt;=DATE(PlanYear,12,1)),1,0))</f>
        <v>0</v>
      </c>
      <c r="AA324">
        <f>SUM($O324:$Z324)</f>
        <v>0</v>
      </c>
    </row>
    <row r="325" spans="1:27">
      <c r="A325" s="42">
        <f>IF($B325="","","ACT-"&amp;TEXT(ROW()-4,"000"))</f>
        <v>0</v>
      </c>
      <c r="M325" s="43">
        <f>IF(COUNTA($B325:$K325)=0,"",IF($B325="","Missing activity name",IF($C325="","Missing practice",IF(COUNTIF(PracticeNames,$C325)=0,"Practice not in Lists",IF($D325="","Missing motion",IF(NOT(ISNUMBER($F325)),"Missing or invalid start date",IF(AND(ISNUMBER($G325),$G325&lt;$F325),"End date before start",IF(AND($N325=1,$AA325=0),"Outside planning year","OK"))))))))</f>
        <v>0</v>
      </c>
      <c r="N325">
        <f>IF(AND($B325&lt;&gt;"",$C325&lt;&gt;"",$D325&lt;&gt;"",ISNUMBER($F325),COUNTIF(PracticeNames,$C325)&gt;0,COUNTIF(MotionNames,$D325)&gt;0,NOT(AND(ISNUMBER($G325),$G325&lt;$F325))),IF(StatusFilter="All (excl. Cancelled)",IF($H325="Cancelled",0,1),IF(StatusFilter="All",1,IF($H325=StatusFilter,1,0))),0)</f>
        <v>0</v>
      </c>
      <c r="O325">
        <f>IF($N325=0,0,IF(AND($F325&lt;=EOMONTH(DATE(PlanYear,1,1),0),IF(ISNUMBER($G325),$G325,$F325)&gt;=DATE(PlanYear,1,1)),1,0))</f>
        <v>0</v>
      </c>
      <c r="P325">
        <f>IF($N325=0,0,IF(AND($F325&lt;=EOMONTH(DATE(PlanYear,2,1),0),IF(ISNUMBER($G325),$G325,$F325)&gt;=DATE(PlanYear,2,1)),1,0))</f>
        <v>0</v>
      </c>
      <c r="Q325">
        <f>IF($N325=0,0,IF(AND($F325&lt;=EOMONTH(DATE(PlanYear,3,1),0),IF(ISNUMBER($G325),$G325,$F325)&gt;=DATE(PlanYear,3,1)),1,0))</f>
        <v>0</v>
      </c>
      <c r="R325">
        <f>IF($N325=0,0,IF(AND($F325&lt;=EOMONTH(DATE(PlanYear,4,1),0),IF(ISNUMBER($G325),$G325,$F325)&gt;=DATE(PlanYear,4,1)),1,0))</f>
        <v>0</v>
      </c>
      <c r="S325">
        <f>IF($N325=0,0,IF(AND($F325&lt;=EOMONTH(DATE(PlanYear,5,1),0),IF(ISNUMBER($G325),$G325,$F325)&gt;=DATE(PlanYear,5,1)),1,0))</f>
        <v>0</v>
      </c>
      <c r="T325">
        <f>IF($N325=0,0,IF(AND($F325&lt;=EOMONTH(DATE(PlanYear,6,1),0),IF(ISNUMBER($G325),$G325,$F325)&gt;=DATE(PlanYear,6,1)),1,0))</f>
        <v>0</v>
      </c>
      <c r="U325">
        <f>IF($N325=0,0,IF(AND($F325&lt;=EOMONTH(DATE(PlanYear,7,1),0),IF(ISNUMBER($G325),$G325,$F325)&gt;=DATE(PlanYear,7,1)),1,0))</f>
        <v>0</v>
      </c>
      <c r="V325">
        <f>IF($N325=0,0,IF(AND($F325&lt;=EOMONTH(DATE(PlanYear,8,1),0),IF(ISNUMBER($G325),$G325,$F325)&gt;=DATE(PlanYear,8,1)),1,0))</f>
        <v>0</v>
      </c>
      <c r="W325">
        <f>IF($N325=0,0,IF(AND($F325&lt;=EOMONTH(DATE(PlanYear,9,1),0),IF(ISNUMBER($G325),$G325,$F325)&gt;=DATE(PlanYear,9,1)),1,0))</f>
        <v>0</v>
      </c>
      <c r="X325">
        <f>IF($N325=0,0,IF(AND($F325&lt;=EOMONTH(DATE(PlanYear,10,1),0),IF(ISNUMBER($G325),$G325,$F325)&gt;=DATE(PlanYear,10,1)),1,0))</f>
        <v>0</v>
      </c>
      <c r="Y325">
        <f>IF($N325=0,0,IF(AND($F325&lt;=EOMONTH(DATE(PlanYear,11,1),0),IF(ISNUMBER($G325),$G325,$F325)&gt;=DATE(PlanYear,11,1)),1,0))</f>
        <v>0</v>
      </c>
      <c r="Z325">
        <f>IF($N325=0,0,IF(AND($F325&lt;=EOMONTH(DATE(PlanYear,12,1),0),IF(ISNUMBER($G325),$G325,$F325)&gt;=DATE(PlanYear,12,1)),1,0))</f>
        <v>0</v>
      </c>
      <c r="AA325">
        <f>SUM($O325:$Z325)</f>
        <v>0</v>
      </c>
    </row>
    <row r="326" spans="1:27">
      <c r="A326" s="42">
        <f>IF($B326="","","ACT-"&amp;TEXT(ROW()-4,"000"))</f>
        <v>0</v>
      </c>
      <c r="M326" s="43">
        <f>IF(COUNTA($B326:$K326)=0,"",IF($B326="","Missing activity name",IF($C326="","Missing practice",IF(COUNTIF(PracticeNames,$C326)=0,"Practice not in Lists",IF($D326="","Missing motion",IF(NOT(ISNUMBER($F326)),"Missing or invalid start date",IF(AND(ISNUMBER($G326),$G326&lt;$F326),"End date before start",IF(AND($N326=1,$AA326=0),"Outside planning year","OK"))))))))</f>
        <v>0</v>
      </c>
      <c r="N326">
        <f>IF(AND($B326&lt;&gt;"",$C326&lt;&gt;"",$D326&lt;&gt;"",ISNUMBER($F326),COUNTIF(PracticeNames,$C326)&gt;0,COUNTIF(MotionNames,$D326)&gt;0,NOT(AND(ISNUMBER($G326),$G326&lt;$F326))),IF(StatusFilter="All (excl. Cancelled)",IF($H326="Cancelled",0,1),IF(StatusFilter="All",1,IF($H326=StatusFilter,1,0))),0)</f>
        <v>0</v>
      </c>
      <c r="O326">
        <f>IF($N326=0,0,IF(AND($F326&lt;=EOMONTH(DATE(PlanYear,1,1),0),IF(ISNUMBER($G326),$G326,$F326)&gt;=DATE(PlanYear,1,1)),1,0))</f>
        <v>0</v>
      </c>
      <c r="P326">
        <f>IF($N326=0,0,IF(AND($F326&lt;=EOMONTH(DATE(PlanYear,2,1),0),IF(ISNUMBER($G326),$G326,$F326)&gt;=DATE(PlanYear,2,1)),1,0))</f>
        <v>0</v>
      </c>
      <c r="Q326">
        <f>IF($N326=0,0,IF(AND($F326&lt;=EOMONTH(DATE(PlanYear,3,1),0),IF(ISNUMBER($G326),$G326,$F326)&gt;=DATE(PlanYear,3,1)),1,0))</f>
        <v>0</v>
      </c>
      <c r="R326">
        <f>IF($N326=0,0,IF(AND($F326&lt;=EOMONTH(DATE(PlanYear,4,1),0),IF(ISNUMBER($G326),$G326,$F326)&gt;=DATE(PlanYear,4,1)),1,0))</f>
        <v>0</v>
      </c>
      <c r="S326">
        <f>IF($N326=0,0,IF(AND($F326&lt;=EOMONTH(DATE(PlanYear,5,1),0),IF(ISNUMBER($G326),$G326,$F326)&gt;=DATE(PlanYear,5,1)),1,0))</f>
        <v>0</v>
      </c>
      <c r="T326">
        <f>IF($N326=0,0,IF(AND($F326&lt;=EOMONTH(DATE(PlanYear,6,1),0),IF(ISNUMBER($G326),$G326,$F326)&gt;=DATE(PlanYear,6,1)),1,0))</f>
        <v>0</v>
      </c>
      <c r="U326">
        <f>IF($N326=0,0,IF(AND($F326&lt;=EOMONTH(DATE(PlanYear,7,1),0),IF(ISNUMBER($G326),$G326,$F326)&gt;=DATE(PlanYear,7,1)),1,0))</f>
        <v>0</v>
      </c>
      <c r="V326">
        <f>IF($N326=0,0,IF(AND($F326&lt;=EOMONTH(DATE(PlanYear,8,1),0),IF(ISNUMBER($G326),$G326,$F326)&gt;=DATE(PlanYear,8,1)),1,0))</f>
        <v>0</v>
      </c>
      <c r="W326">
        <f>IF($N326=0,0,IF(AND($F326&lt;=EOMONTH(DATE(PlanYear,9,1),0),IF(ISNUMBER($G326),$G326,$F326)&gt;=DATE(PlanYear,9,1)),1,0))</f>
        <v>0</v>
      </c>
      <c r="X326">
        <f>IF($N326=0,0,IF(AND($F326&lt;=EOMONTH(DATE(PlanYear,10,1),0),IF(ISNUMBER($G326),$G326,$F326)&gt;=DATE(PlanYear,10,1)),1,0))</f>
        <v>0</v>
      </c>
      <c r="Y326">
        <f>IF($N326=0,0,IF(AND($F326&lt;=EOMONTH(DATE(PlanYear,11,1),0),IF(ISNUMBER($G326),$G326,$F326)&gt;=DATE(PlanYear,11,1)),1,0))</f>
        <v>0</v>
      </c>
      <c r="Z326">
        <f>IF($N326=0,0,IF(AND($F326&lt;=EOMONTH(DATE(PlanYear,12,1),0),IF(ISNUMBER($G326),$G326,$F326)&gt;=DATE(PlanYear,12,1)),1,0))</f>
        <v>0</v>
      </c>
      <c r="AA326">
        <f>SUM($O326:$Z326)</f>
        <v>0</v>
      </c>
    </row>
    <row r="327" spans="1:27">
      <c r="A327" s="42">
        <f>IF($B327="","","ACT-"&amp;TEXT(ROW()-4,"000"))</f>
        <v>0</v>
      </c>
      <c r="M327" s="43">
        <f>IF(COUNTA($B327:$K327)=0,"",IF($B327="","Missing activity name",IF($C327="","Missing practice",IF(COUNTIF(PracticeNames,$C327)=0,"Practice not in Lists",IF($D327="","Missing motion",IF(NOT(ISNUMBER($F327)),"Missing or invalid start date",IF(AND(ISNUMBER($G327),$G327&lt;$F327),"End date before start",IF(AND($N327=1,$AA327=0),"Outside planning year","OK"))))))))</f>
        <v>0</v>
      </c>
      <c r="N327">
        <f>IF(AND($B327&lt;&gt;"",$C327&lt;&gt;"",$D327&lt;&gt;"",ISNUMBER($F327),COUNTIF(PracticeNames,$C327)&gt;0,COUNTIF(MotionNames,$D327)&gt;0,NOT(AND(ISNUMBER($G327),$G327&lt;$F327))),IF(StatusFilter="All (excl. Cancelled)",IF($H327="Cancelled",0,1),IF(StatusFilter="All",1,IF($H327=StatusFilter,1,0))),0)</f>
        <v>0</v>
      </c>
      <c r="O327">
        <f>IF($N327=0,0,IF(AND($F327&lt;=EOMONTH(DATE(PlanYear,1,1),0),IF(ISNUMBER($G327),$G327,$F327)&gt;=DATE(PlanYear,1,1)),1,0))</f>
        <v>0</v>
      </c>
      <c r="P327">
        <f>IF($N327=0,0,IF(AND($F327&lt;=EOMONTH(DATE(PlanYear,2,1),0),IF(ISNUMBER($G327),$G327,$F327)&gt;=DATE(PlanYear,2,1)),1,0))</f>
        <v>0</v>
      </c>
      <c r="Q327">
        <f>IF($N327=0,0,IF(AND($F327&lt;=EOMONTH(DATE(PlanYear,3,1),0),IF(ISNUMBER($G327),$G327,$F327)&gt;=DATE(PlanYear,3,1)),1,0))</f>
        <v>0</v>
      </c>
      <c r="R327">
        <f>IF($N327=0,0,IF(AND($F327&lt;=EOMONTH(DATE(PlanYear,4,1),0),IF(ISNUMBER($G327),$G327,$F327)&gt;=DATE(PlanYear,4,1)),1,0))</f>
        <v>0</v>
      </c>
      <c r="S327">
        <f>IF($N327=0,0,IF(AND($F327&lt;=EOMONTH(DATE(PlanYear,5,1),0),IF(ISNUMBER($G327),$G327,$F327)&gt;=DATE(PlanYear,5,1)),1,0))</f>
        <v>0</v>
      </c>
      <c r="T327">
        <f>IF($N327=0,0,IF(AND($F327&lt;=EOMONTH(DATE(PlanYear,6,1),0),IF(ISNUMBER($G327),$G327,$F327)&gt;=DATE(PlanYear,6,1)),1,0))</f>
        <v>0</v>
      </c>
      <c r="U327">
        <f>IF($N327=0,0,IF(AND($F327&lt;=EOMONTH(DATE(PlanYear,7,1),0),IF(ISNUMBER($G327),$G327,$F327)&gt;=DATE(PlanYear,7,1)),1,0))</f>
        <v>0</v>
      </c>
      <c r="V327">
        <f>IF($N327=0,0,IF(AND($F327&lt;=EOMONTH(DATE(PlanYear,8,1),0),IF(ISNUMBER($G327),$G327,$F327)&gt;=DATE(PlanYear,8,1)),1,0))</f>
        <v>0</v>
      </c>
      <c r="W327">
        <f>IF($N327=0,0,IF(AND($F327&lt;=EOMONTH(DATE(PlanYear,9,1),0),IF(ISNUMBER($G327),$G327,$F327)&gt;=DATE(PlanYear,9,1)),1,0))</f>
        <v>0</v>
      </c>
      <c r="X327">
        <f>IF($N327=0,0,IF(AND($F327&lt;=EOMONTH(DATE(PlanYear,10,1),0),IF(ISNUMBER($G327),$G327,$F327)&gt;=DATE(PlanYear,10,1)),1,0))</f>
        <v>0</v>
      </c>
      <c r="Y327">
        <f>IF($N327=0,0,IF(AND($F327&lt;=EOMONTH(DATE(PlanYear,11,1),0),IF(ISNUMBER($G327),$G327,$F327)&gt;=DATE(PlanYear,11,1)),1,0))</f>
        <v>0</v>
      </c>
      <c r="Z327">
        <f>IF($N327=0,0,IF(AND($F327&lt;=EOMONTH(DATE(PlanYear,12,1),0),IF(ISNUMBER($G327),$G327,$F327)&gt;=DATE(PlanYear,12,1)),1,0))</f>
        <v>0</v>
      </c>
      <c r="AA327">
        <f>SUM($O327:$Z327)</f>
        <v>0</v>
      </c>
    </row>
    <row r="328" spans="1:27">
      <c r="A328" s="42">
        <f>IF($B328="","","ACT-"&amp;TEXT(ROW()-4,"000"))</f>
        <v>0</v>
      </c>
      <c r="M328" s="43">
        <f>IF(COUNTA($B328:$K328)=0,"",IF($B328="","Missing activity name",IF($C328="","Missing practice",IF(COUNTIF(PracticeNames,$C328)=0,"Practice not in Lists",IF($D328="","Missing motion",IF(NOT(ISNUMBER($F328)),"Missing or invalid start date",IF(AND(ISNUMBER($G328),$G328&lt;$F328),"End date before start",IF(AND($N328=1,$AA328=0),"Outside planning year","OK"))))))))</f>
        <v>0</v>
      </c>
      <c r="N328">
        <f>IF(AND($B328&lt;&gt;"",$C328&lt;&gt;"",$D328&lt;&gt;"",ISNUMBER($F328),COUNTIF(PracticeNames,$C328)&gt;0,COUNTIF(MotionNames,$D328)&gt;0,NOT(AND(ISNUMBER($G328),$G328&lt;$F328))),IF(StatusFilter="All (excl. Cancelled)",IF($H328="Cancelled",0,1),IF(StatusFilter="All",1,IF($H328=StatusFilter,1,0))),0)</f>
        <v>0</v>
      </c>
      <c r="O328">
        <f>IF($N328=0,0,IF(AND($F328&lt;=EOMONTH(DATE(PlanYear,1,1),0),IF(ISNUMBER($G328),$G328,$F328)&gt;=DATE(PlanYear,1,1)),1,0))</f>
        <v>0</v>
      </c>
      <c r="P328">
        <f>IF($N328=0,0,IF(AND($F328&lt;=EOMONTH(DATE(PlanYear,2,1),0),IF(ISNUMBER($G328),$G328,$F328)&gt;=DATE(PlanYear,2,1)),1,0))</f>
        <v>0</v>
      </c>
      <c r="Q328">
        <f>IF($N328=0,0,IF(AND($F328&lt;=EOMONTH(DATE(PlanYear,3,1),0),IF(ISNUMBER($G328),$G328,$F328)&gt;=DATE(PlanYear,3,1)),1,0))</f>
        <v>0</v>
      </c>
      <c r="R328">
        <f>IF($N328=0,0,IF(AND($F328&lt;=EOMONTH(DATE(PlanYear,4,1),0),IF(ISNUMBER($G328),$G328,$F328)&gt;=DATE(PlanYear,4,1)),1,0))</f>
        <v>0</v>
      </c>
      <c r="S328">
        <f>IF($N328=0,0,IF(AND($F328&lt;=EOMONTH(DATE(PlanYear,5,1),0),IF(ISNUMBER($G328),$G328,$F328)&gt;=DATE(PlanYear,5,1)),1,0))</f>
        <v>0</v>
      </c>
      <c r="T328">
        <f>IF($N328=0,0,IF(AND($F328&lt;=EOMONTH(DATE(PlanYear,6,1),0),IF(ISNUMBER($G328),$G328,$F328)&gt;=DATE(PlanYear,6,1)),1,0))</f>
        <v>0</v>
      </c>
      <c r="U328">
        <f>IF($N328=0,0,IF(AND($F328&lt;=EOMONTH(DATE(PlanYear,7,1),0),IF(ISNUMBER($G328),$G328,$F328)&gt;=DATE(PlanYear,7,1)),1,0))</f>
        <v>0</v>
      </c>
      <c r="V328">
        <f>IF($N328=0,0,IF(AND($F328&lt;=EOMONTH(DATE(PlanYear,8,1),0),IF(ISNUMBER($G328),$G328,$F328)&gt;=DATE(PlanYear,8,1)),1,0))</f>
        <v>0</v>
      </c>
      <c r="W328">
        <f>IF($N328=0,0,IF(AND($F328&lt;=EOMONTH(DATE(PlanYear,9,1),0),IF(ISNUMBER($G328),$G328,$F328)&gt;=DATE(PlanYear,9,1)),1,0))</f>
        <v>0</v>
      </c>
      <c r="X328">
        <f>IF($N328=0,0,IF(AND($F328&lt;=EOMONTH(DATE(PlanYear,10,1),0),IF(ISNUMBER($G328),$G328,$F328)&gt;=DATE(PlanYear,10,1)),1,0))</f>
        <v>0</v>
      </c>
      <c r="Y328">
        <f>IF($N328=0,0,IF(AND($F328&lt;=EOMONTH(DATE(PlanYear,11,1),0),IF(ISNUMBER($G328),$G328,$F328)&gt;=DATE(PlanYear,11,1)),1,0))</f>
        <v>0</v>
      </c>
      <c r="Z328">
        <f>IF($N328=0,0,IF(AND($F328&lt;=EOMONTH(DATE(PlanYear,12,1),0),IF(ISNUMBER($G328),$G328,$F328)&gt;=DATE(PlanYear,12,1)),1,0))</f>
        <v>0</v>
      </c>
      <c r="AA328">
        <f>SUM($O328:$Z328)</f>
        <v>0</v>
      </c>
    </row>
    <row r="329" spans="1:27">
      <c r="A329" s="42">
        <f>IF($B329="","","ACT-"&amp;TEXT(ROW()-4,"000"))</f>
        <v>0</v>
      </c>
      <c r="M329" s="43">
        <f>IF(COUNTA($B329:$K329)=0,"",IF($B329="","Missing activity name",IF($C329="","Missing practice",IF(COUNTIF(PracticeNames,$C329)=0,"Practice not in Lists",IF($D329="","Missing motion",IF(NOT(ISNUMBER($F329)),"Missing or invalid start date",IF(AND(ISNUMBER($G329),$G329&lt;$F329),"End date before start",IF(AND($N329=1,$AA329=0),"Outside planning year","OK"))))))))</f>
        <v>0</v>
      </c>
      <c r="N329">
        <f>IF(AND($B329&lt;&gt;"",$C329&lt;&gt;"",$D329&lt;&gt;"",ISNUMBER($F329),COUNTIF(PracticeNames,$C329)&gt;0,COUNTIF(MotionNames,$D329)&gt;0,NOT(AND(ISNUMBER($G329),$G329&lt;$F329))),IF(StatusFilter="All (excl. Cancelled)",IF($H329="Cancelled",0,1),IF(StatusFilter="All",1,IF($H329=StatusFilter,1,0))),0)</f>
        <v>0</v>
      </c>
      <c r="O329">
        <f>IF($N329=0,0,IF(AND($F329&lt;=EOMONTH(DATE(PlanYear,1,1),0),IF(ISNUMBER($G329),$G329,$F329)&gt;=DATE(PlanYear,1,1)),1,0))</f>
        <v>0</v>
      </c>
      <c r="P329">
        <f>IF($N329=0,0,IF(AND($F329&lt;=EOMONTH(DATE(PlanYear,2,1),0),IF(ISNUMBER($G329),$G329,$F329)&gt;=DATE(PlanYear,2,1)),1,0))</f>
        <v>0</v>
      </c>
      <c r="Q329">
        <f>IF($N329=0,0,IF(AND($F329&lt;=EOMONTH(DATE(PlanYear,3,1),0),IF(ISNUMBER($G329),$G329,$F329)&gt;=DATE(PlanYear,3,1)),1,0))</f>
        <v>0</v>
      </c>
      <c r="R329">
        <f>IF($N329=0,0,IF(AND($F329&lt;=EOMONTH(DATE(PlanYear,4,1),0),IF(ISNUMBER($G329),$G329,$F329)&gt;=DATE(PlanYear,4,1)),1,0))</f>
        <v>0</v>
      </c>
      <c r="S329">
        <f>IF($N329=0,0,IF(AND($F329&lt;=EOMONTH(DATE(PlanYear,5,1),0),IF(ISNUMBER($G329),$G329,$F329)&gt;=DATE(PlanYear,5,1)),1,0))</f>
        <v>0</v>
      </c>
      <c r="T329">
        <f>IF($N329=0,0,IF(AND($F329&lt;=EOMONTH(DATE(PlanYear,6,1),0),IF(ISNUMBER($G329),$G329,$F329)&gt;=DATE(PlanYear,6,1)),1,0))</f>
        <v>0</v>
      </c>
      <c r="U329">
        <f>IF($N329=0,0,IF(AND($F329&lt;=EOMONTH(DATE(PlanYear,7,1),0),IF(ISNUMBER($G329),$G329,$F329)&gt;=DATE(PlanYear,7,1)),1,0))</f>
        <v>0</v>
      </c>
      <c r="V329">
        <f>IF($N329=0,0,IF(AND($F329&lt;=EOMONTH(DATE(PlanYear,8,1),0),IF(ISNUMBER($G329),$G329,$F329)&gt;=DATE(PlanYear,8,1)),1,0))</f>
        <v>0</v>
      </c>
      <c r="W329">
        <f>IF($N329=0,0,IF(AND($F329&lt;=EOMONTH(DATE(PlanYear,9,1),0),IF(ISNUMBER($G329),$G329,$F329)&gt;=DATE(PlanYear,9,1)),1,0))</f>
        <v>0</v>
      </c>
      <c r="X329">
        <f>IF($N329=0,0,IF(AND($F329&lt;=EOMONTH(DATE(PlanYear,10,1),0),IF(ISNUMBER($G329),$G329,$F329)&gt;=DATE(PlanYear,10,1)),1,0))</f>
        <v>0</v>
      </c>
      <c r="Y329">
        <f>IF($N329=0,0,IF(AND($F329&lt;=EOMONTH(DATE(PlanYear,11,1),0),IF(ISNUMBER($G329),$G329,$F329)&gt;=DATE(PlanYear,11,1)),1,0))</f>
        <v>0</v>
      </c>
      <c r="Z329">
        <f>IF($N329=0,0,IF(AND($F329&lt;=EOMONTH(DATE(PlanYear,12,1),0),IF(ISNUMBER($G329),$G329,$F329)&gt;=DATE(PlanYear,12,1)),1,0))</f>
        <v>0</v>
      </c>
      <c r="AA329">
        <f>SUM($O329:$Z329)</f>
        <v>0</v>
      </c>
    </row>
    <row r="330" spans="1:27">
      <c r="A330" s="42">
        <f>IF($B330="","","ACT-"&amp;TEXT(ROW()-4,"000"))</f>
        <v>0</v>
      </c>
      <c r="M330" s="43">
        <f>IF(COUNTA($B330:$K330)=0,"",IF($B330="","Missing activity name",IF($C330="","Missing practice",IF(COUNTIF(PracticeNames,$C330)=0,"Practice not in Lists",IF($D330="","Missing motion",IF(NOT(ISNUMBER($F330)),"Missing or invalid start date",IF(AND(ISNUMBER($G330),$G330&lt;$F330),"End date before start",IF(AND($N330=1,$AA330=0),"Outside planning year","OK"))))))))</f>
        <v>0</v>
      </c>
      <c r="N330">
        <f>IF(AND($B330&lt;&gt;"",$C330&lt;&gt;"",$D330&lt;&gt;"",ISNUMBER($F330),COUNTIF(PracticeNames,$C330)&gt;0,COUNTIF(MotionNames,$D330)&gt;0,NOT(AND(ISNUMBER($G330),$G330&lt;$F330))),IF(StatusFilter="All (excl. Cancelled)",IF($H330="Cancelled",0,1),IF(StatusFilter="All",1,IF($H330=StatusFilter,1,0))),0)</f>
        <v>0</v>
      </c>
      <c r="O330">
        <f>IF($N330=0,0,IF(AND($F330&lt;=EOMONTH(DATE(PlanYear,1,1),0),IF(ISNUMBER($G330),$G330,$F330)&gt;=DATE(PlanYear,1,1)),1,0))</f>
        <v>0</v>
      </c>
      <c r="P330">
        <f>IF($N330=0,0,IF(AND($F330&lt;=EOMONTH(DATE(PlanYear,2,1),0),IF(ISNUMBER($G330),$G330,$F330)&gt;=DATE(PlanYear,2,1)),1,0))</f>
        <v>0</v>
      </c>
      <c r="Q330">
        <f>IF($N330=0,0,IF(AND($F330&lt;=EOMONTH(DATE(PlanYear,3,1),0),IF(ISNUMBER($G330),$G330,$F330)&gt;=DATE(PlanYear,3,1)),1,0))</f>
        <v>0</v>
      </c>
      <c r="R330">
        <f>IF($N330=0,0,IF(AND($F330&lt;=EOMONTH(DATE(PlanYear,4,1),0),IF(ISNUMBER($G330),$G330,$F330)&gt;=DATE(PlanYear,4,1)),1,0))</f>
        <v>0</v>
      </c>
      <c r="S330">
        <f>IF($N330=0,0,IF(AND($F330&lt;=EOMONTH(DATE(PlanYear,5,1),0),IF(ISNUMBER($G330),$G330,$F330)&gt;=DATE(PlanYear,5,1)),1,0))</f>
        <v>0</v>
      </c>
      <c r="T330">
        <f>IF($N330=0,0,IF(AND($F330&lt;=EOMONTH(DATE(PlanYear,6,1),0),IF(ISNUMBER($G330),$G330,$F330)&gt;=DATE(PlanYear,6,1)),1,0))</f>
        <v>0</v>
      </c>
      <c r="U330">
        <f>IF($N330=0,0,IF(AND($F330&lt;=EOMONTH(DATE(PlanYear,7,1),0),IF(ISNUMBER($G330),$G330,$F330)&gt;=DATE(PlanYear,7,1)),1,0))</f>
        <v>0</v>
      </c>
      <c r="V330">
        <f>IF($N330=0,0,IF(AND($F330&lt;=EOMONTH(DATE(PlanYear,8,1),0),IF(ISNUMBER($G330),$G330,$F330)&gt;=DATE(PlanYear,8,1)),1,0))</f>
        <v>0</v>
      </c>
      <c r="W330">
        <f>IF($N330=0,0,IF(AND($F330&lt;=EOMONTH(DATE(PlanYear,9,1),0),IF(ISNUMBER($G330),$G330,$F330)&gt;=DATE(PlanYear,9,1)),1,0))</f>
        <v>0</v>
      </c>
      <c r="X330">
        <f>IF($N330=0,0,IF(AND($F330&lt;=EOMONTH(DATE(PlanYear,10,1),0),IF(ISNUMBER($G330),$G330,$F330)&gt;=DATE(PlanYear,10,1)),1,0))</f>
        <v>0</v>
      </c>
      <c r="Y330">
        <f>IF($N330=0,0,IF(AND($F330&lt;=EOMONTH(DATE(PlanYear,11,1),0),IF(ISNUMBER($G330),$G330,$F330)&gt;=DATE(PlanYear,11,1)),1,0))</f>
        <v>0</v>
      </c>
      <c r="Z330">
        <f>IF($N330=0,0,IF(AND($F330&lt;=EOMONTH(DATE(PlanYear,12,1),0),IF(ISNUMBER($G330),$G330,$F330)&gt;=DATE(PlanYear,12,1)),1,0))</f>
        <v>0</v>
      </c>
      <c r="AA330">
        <f>SUM($O330:$Z330)</f>
        <v>0</v>
      </c>
    </row>
    <row r="331" spans="1:27">
      <c r="A331" s="42">
        <f>IF($B331="","","ACT-"&amp;TEXT(ROW()-4,"000"))</f>
        <v>0</v>
      </c>
      <c r="M331" s="43">
        <f>IF(COUNTA($B331:$K331)=0,"",IF($B331="","Missing activity name",IF($C331="","Missing practice",IF(COUNTIF(PracticeNames,$C331)=0,"Practice not in Lists",IF($D331="","Missing motion",IF(NOT(ISNUMBER($F331)),"Missing or invalid start date",IF(AND(ISNUMBER($G331),$G331&lt;$F331),"End date before start",IF(AND($N331=1,$AA331=0),"Outside planning year","OK"))))))))</f>
        <v>0</v>
      </c>
      <c r="N331">
        <f>IF(AND($B331&lt;&gt;"",$C331&lt;&gt;"",$D331&lt;&gt;"",ISNUMBER($F331),COUNTIF(PracticeNames,$C331)&gt;0,COUNTIF(MotionNames,$D331)&gt;0,NOT(AND(ISNUMBER($G331),$G331&lt;$F331))),IF(StatusFilter="All (excl. Cancelled)",IF($H331="Cancelled",0,1),IF(StatusFilter="All",1,IF($H331=StatusFilter,1,0))),0)</f>
        <v>0</v>
      </c>
      <c r="O331">
        <f>IF($N331=0,0,IF(AND($F331&lt;=EOMONTH(DATE(PlanYear,1,1),0),IF(ISNUMBER($G331),$G331,$F331)&gt;=DATE(PlanYear,1,1)),1,0))</f>
        <v>0</v>
      </c>
      <c r="P331">
        <f>IF($N331=0,0,IF(AND($F331&lt;=EOMONTH(DATE(PlanYear,2,1),0),IF(ISNUMBER($G331),$G331,$F331)&gt;=DATE(PlanYear,2,1)),1,0))</f>
        <v>0</v>
      </c>
      <c r="Q331">
        <f>IF($N331=0,0,IF(AND($F331&lt;=EOMONTH(DATE(PlanYear,3,1),0),IF(ISNUMBER($G331),$G331,$F331)&gt;=DATE(PlanYear,3,1)),1,0))</f>
        <v>0</v>
      </c>
      <c r="R331">
        <f>IF($N331=0,0,IF(AND($F331&lt;=EOMONTH(DATE(PlanYear,4,1),0),IF(ISNUMBER($G331),$G331,$F331)&gt;=DATE(PlanYear,4,1)),1,0))</f>
        <v>0</v>
      </c>
      <c r="S331">
        <f>IF($N331=0,0,IF(AND($F331&lt;=EOMONTH(DATE(PlanYear,5,1),0),IF(ISNUMBER($G331),$G331,$F331)&gt;=DATE(PlanYear,5,1)),1,0))</f>
        <v>0</v>
      </c>
      <c r="T331">
        <f>IF($N331=0,0,IF(AND($F331&lt;=EOMONTH(DATE(PlanYear,6,1),0),IF(ISNUMBER($G331),$G331,$F331)&gt;=DATE(PlanYear,6,1)),1,0))</f>
        <v>0</v>
      </c>
      <c r="U331">
        <f>IF($N331=0,0,IF(AND($F331&lt;=EOMONTH(DATE(PlanYear,7,1),0),IF(ISNUMBER($G331),$G331,$F331)&gt;=DATE(PlanYear,7,1)),1,0))</f>
        <v>0</v>
      </c>
      <c r="V331">
        <f>IF($N331=0,0,IF(AND($F331&lt;=EOMONTH(DATE(PlanYear,8,1),0),IF(ISNUMBER($G331),$G331,$F331)&gt;=DATE(PlanYear,8,1)),1,0))</f>
        <v>0</v>
      </c>
      <c r="W331">
        <f>IF($N331=0,0,IF(AND($F331&lt;=EOMONTH(DATE(PlanYear,9,1),0),IF(ISNUMBER($G331),$G331,$F331)&gt;=DATE(PlanYear,9,1)),1,0))</f>
        <v>0</v>
      </c>
      <c r="X331">
        <f>IF($N331=0,0,IF(AND($F331&lt;=EOMONTH(DATE(PlanYear,10,1),0),IF(ISNUMBER($G331),$G331,$F331)&gt;=DATE(PlanYear,10,1)),1,0))</f>
        <v>0</v>
      </c>
      <c r="Y331">
        <f>IF($N331=0,0,IF(AND($F331&lt;=EOMONTH(DATE(PlanYear,11,1),0),IF(ISNUMBER($G331),$G331,$F331)&gt;=DATE(PlanYear,11,1)),1,0))</f>
        <v>0</v>
      </c>
      <c r="Z331">
        <f>IF($N331=0,0,IF(AND($F331&lt;=EOMONTH(DATE(PlanYear,12,1),0),IF(ISNUMBER($G331),$G331,$F331)&gt;=DATE(PlanYear,12,1)),1,0))</f>
        <v>0</v>
      </c>
      <c r="AA331">
        <f>SUM($O331:$Z331)</f>
        <v>0</v>
      </c>
    </row>
    <row r="332" spans="1:27">
      <c r="A332" s="42">
        <f>IF($B332="","","ACT-"&amp;TEXT(ROW()-4,"000"))</f>
        <v>0</v>
      </c>
      <c r="M332" s="43">
        <f>IF(COUNTA($B332:$K332)=0,"",IF($B332="","Missing activity name",IF($C332="","Missing practice",IF(COUNTIF(PracticeNames,$C332)=0,"Practice not in Lists",IF($D332="","Missing motion",IF(NOT(ISNUMBER($F332)),"Missing or invalid start date",IF(AND(ISNUMBER($G332),$G332&lt;$F332),"End date before start",IF(AND($N332=1,$AA332=0),"Outside planning year","OK"))))))))</f>
        <v>0</v>
      </c>
      <c r="N332">
        <f>IF(AND($B332&lt;&gt;"",$C332&lt;&gt;"",$D332&lt;&gt;"",ISNUMBER($F332),COUNTIF(PracticeNames,$C332)&gt;0,COUNTIF(MotionNames,$D332)&gt;0,NOT(AND(ISNUMBER($G332),$G332&lt;$F332))),IF(StatusFilter="All (excl. Cancelled)",IF($H332="Cancelled",0,1),IF(StatusFilter="All",1,IF($H332=StatusFilter,1,0))),0)</f>
        <v>0</v>
      </c>
      <c r="O332">
        <f>IF($N332=0,0,IF(AND($F332&lt;=EOMONTH(DATE(PlanYear,1,1),0),IF(ISNUMBER($G332),$G332,$F332)&gt;=DATE(PlanYear,1,1)),1,0))</f>
        <v>0</v>
      </c>
      <c r="P332">
        <f>IF($N332=0,0,IF(AND($F332&lt;=EOMONTH(DATE(PlanYear,2,1),0),IF(ISNUMBER($G332),$G332,$F332)&gt;=DATE(PlanYear,2,1)),1,0))</f>
        <v>0</v>
      </c>
      <c r="Q332">
        <f>IF($N332=0,0,IF(AND($F332&lt;=EOMONTH(DATE(PlanYear,3,1),0),IF(ISNUMBER($G332),$G332,$F332)&gt;=DATE(PlanYear,3,1)),1,0))</f>
        <v>0</v>
      </c>
      <c r="R332">
        <f>IF($N332=0,0,IF(AND($F332&lt;=EOMONTH(DATE(PlanYear,4,1),0),IF(ISNUMBER($G332),$G332,$F332)&gt;=DATE(PlanYear,4,1)),1,0))</f>
        <v>0</v>
      </c>
      <c r="S332">
        <f>IF($N332=0,0,IF(AND($F332&lt;=EOMONTH(DATE(PlanYear,5,1),0),IF(ISNUMBER($G332),$G332,$F332)&gt;=DATE(PlanYear,5,1)),1,0))</f>
        <v>0</v>
      </c>
      <c r="T332">
        <f>IF($N332=0,0,IF(AND($F332&lt;=EOMONTH(DATE(PlanYear,6,1),0),IF(ISNUMBER($G332),$G332,$F332)&gt;=DATE(PlanYear,6,1)),1,0))</f>
        <v>0</v>
      </c>
      <c r="U332">
        <f>IF($N332=0,0,IF(AND($F332&lt;=EOMONTH(DATE(PlanYear,7,1),0),IF(ISNUMBER($G332),$G332,$F332)&gt;=DATE(PlanYear,7,1)),1,0))</f>
        <v>0</v>
      </c>
      <c r="V332">
        <f>IF($N332=0,0,IF(AND($F332&lt;=EOMONTH(DATE(PlanYear,8,1),0),IF(ISNUMBER($G332),$G332,$F332)&gt;=DATE(PlanYear,8,1)),1,0))</f>
        <v>0</v>
      </c>
      <c r="W332">
        <f>IF($N332=0,0,IF(AND($F332&lt;=EOMONTH(DATE(PlanYear,9,1),0),IF(ISNUMBER($G332),$G332,$F332)&gt;=DATE(PlanYear,9,1)),1,0))</f>
        <v>0</v>
      </c>
      <c r="X332">
        <f>IF($N332=0,0,IF(AND($F332&lt;=EOMONTH(DATE(PlanYear,10,1),0),IF(ISNUMBER($G332),$G332,$F332)&gt;=DATE(PlanYear,10,1)),1,0))</f>
        <v>0</v>
      </c>
      <c r="Y332">
        <f>IF($N332=0,0,IF(AND($F332&lt;=EOMONTH(DATE(PlanYear,11,1),0),IF(ISNUMBER($G332),$G332,$F332)&gt;=DATE(PlanYear,11,1)),1,0))</f>
        <v>0</v>
      </c>
      <c r="Z332">
        <f>IF($N332=0,0,IF(AND($F332&lt;=EOMONTH(DATE(PlanYear,12,1),0),IF(ISNUMBER($G332),$G332,$F332)&gt;=DATE(PlanYear,12,1)),1,0))</f>
        <v>0</v>
      </c>
      <c r="AA332">
        <f>SUM($O332:$Z332)</f>
        <v>0</v>
      </c>
    </row>
    <row r="333" spans="1:27">
      <c r="A333" s="42">
        <f>IF($B333="","","ACT-"&amp;TEXT(ROW()-4,"000"))</f>
        <v>0</v>
      </c>
      <c r="M333" s="43">
        <f>IF(COUNTA($B333:$K333)=0,"",IF($B333="","Missing activity name",IF($C333="","Missing practice",IF(COUNTIF(PracticeNames,$C333)=0,"Practice not in Lists",IF($D333="","Missing motion",IF(NOT(ISNUMBER($F333)),"Missing or invalid start date",IF(AND(ISNUMBER($G333),$G333&lt;$F333),"End date before start",IF(AND($N333=1,$AA333=0),"Outside planning year","OK"))))))))</f>
        <v>0</v>
      </c>
      <c r="N333">
        <f>IF(AND($B333&lt;&gt;"",$C333&lt;&gt;"",$D333&lt;&gt;"",ISNUMBER($F333),COUNTIF(PracticeNames,$C333)&gt;0,COUNTIF(MotionNames,$D333)&gt;0,NOT(AND(ISNUMBER($G333),$G333&lt;$F333))),IF(StatusFilter="All (excl. Cancelled)",IF($H333="Cancelled",0,1),IF(StatusFilter="All",1,IF($H333=StatusFilter,1,0))),0)</f>
        <v>0</v>
      </c>
      <c r="O333">
        <f>IF($N333=0,0,IF(AND($F333&lt;=EOMONTH(DATE(PlanYear,1,1),0),IF(ISNUMBER($G333),$G333,$F333)&gt;=DATE(PlanYear,1,1)),1,0))</f>
        <v>0</v>
      </c>
      <c r="P333">
        <f>IF($N333=0,0,IF(AND($F333&lt;=EOMONTH(DATE(PlanYear,2,1),0),IF(ISNUMBER($G333),$G333,$F333)&gt;=DATE(PlanYear,2,1)),1,0))</f>
        <v>0</v>
      </c>
      <c r="Q333">
        <f>IF($N333=0,0,IF(AND($F333&lt;=EOMONTH(DATE(PlanYear,3,1),0),IF(ISNUMBER($G333),$G333,$F333)&gt;=DATE(PlanYear,3,1)),1,0))</f>
        <v>0</v>
      </c>
      <c r="R333">
        <f>IF($N333=0,0,IF(AND($F333&lt;=EOMONTH(DATE(PlanYear,4,1),0),IF(ISNUMBER($G333),$G333,$F333)&gt;=DATE(PlanYear,4,1)),1,0))</f>
        <v>0</v>
      </c>
      <c r="S333">
        <f>IF($N333=0,0,IF(AND($F333&lt;=EOMONTH(DATE(PlanYear,5,1),0),IF(ISNUMBER($G333),$G333,$F333)&gt;=DATE(PlanYear,5,1)),1,0))</f>
        <v>0</v>
      </c>
      <c r="T333">
        <f>IF($N333=0,0,IF(AND($F333&lt;=EOMONTH(DATE(PlanYear,6,1),0),IF(ISNUMBER($G333),$G333,$F333)&gt;=DATE(PlanYear,6,1)),1,0))</f>
        <v>0</v>
      </c>
      <c r="U333">
        <f>IF($N333=0,0,IF(AND($F333&lt;=EOMONTH(DATE(PlanYear,7,1),0),IF(ISNUMBER($G333),$G333,$F333)&gt;=DATE(PlanYear,7,1)),1,0))</f>
        <v>0</v>
      </c>
      <c r="V333">
        <f>IF($N333=0,0,IF(AND($F333&lt;=EOMONTH(DATE(PlanYear,8,1),0),IF(ISNUMBER($G333),$G333,$F333)&gt;=DATE(PlanYear,8,1)),1,0))</f>
        <v>0</v>
      </c>
      <c r="W333">
        <f>IF($N333=0,0,IF(AND($F333&lt;=EOMONTH(DATE(PlanYear,9,1),0),IF(ISNUMBER($G333),$G333,$F333)&gt;=DATE(PlanYear,9,1)),1,0))</f>
        <v>0</v>
      </c>
      <c r="X333">
        <f>IF($N333=0,0,IF(AND($F333&lt;=EOMONTH(DATE(PlanYear,10,1),0),IF(ISNUMBER($G333),$G333,$F333)&gt;=DATE(PlanYear,10,1)),1,0))</f>
        <v>0</v>
      </c>
      <c r="Y333">
        <f>IF($N333=0,0,IF(AND($F333&lt;=EOMONTH(DATE(PlanYear,11,1),0),IF(ISNUMBER($G333),$G333,$F333)&gt;=DATE(PlanYear,11,1)),1,0))</f>
        <v>0</v>
      </c>
      <c r="Z333">
        <f>IF($N333=0,0,IF(AND($F333&lt;=EOMONTH(DATE(PlanYear,12,1),0),IF(ISNUMBER($G333),$G333,$F333)&gt;=DATE(PlanYear,12,1)),1,0))</f>
        <v>0</v>
      </c>
      <c r="AA333">
        <f>SUM($O333:$Z333)</f>
        <v>0</v>
      </c>
    </row>
    <row r="334" spans="1:27">
      <c r="A334" s="42">
        <f>IF($B334="","","ACT-"&amp;TEXT(ROW()-4,"000"))</f>
        <v>0</v>
      </c>
      <c r="M334" s="43">
        <f>IF(COUNTA($B334:$K334)=0,"",IF($B334="","Missing activity name",IF($C334="","Missing practice",IF(COUNTIF(PracticeNames,$C334)=0,"Practice not in Lists",IF($D334="","Missing motion",IF(NOT(ISNUMBER($F334)),"Missing or invalid start date",IF(AND(ISNUMBER($G334),$G334&lt;$F334),"End date before start",IF(AND($N334=1,$AA334=0),"Outside planning year","OK"))))))))</f>
        <v>0</v>
      </c>
      <c r="N334">
        <f>IF(AND($B334&lt;&gt;"",$C334&lt;&gt;"",$D334&lt;&gt;"",ISNUMBER($F334),COUNTIF(PracticeNames,$C334)&gt;0,COUNTIF(MotionNames,$D334)&gt;0,NOT(AND(ISNUMBER($G334),$G334&lt;$F334))),IF(StatusFilter="All (excl. Cancelled)",IF($H334="Cancelled",0,1),IF(StatusFilter="All",1,IF($H334=StatusFilter,1,0))),0)</f>
        <v>0</v>
      </c>
      <c r="O334">
        <f>IF($N334=0,0,IF(AND($F334&lt;=EOMONTH(DATE(PlanYear,1,1),0),IF(ISNUMBER($G334),$G334,$F334)&gt;=DATE(PlanYear,1,1)),1,0))</f>
        <v>0</v>
      </c>
      <c r="P334">
        <f>IF($N334=0,0,IF(AND($F334&lt;=EOMONTH(DATE(PlanYear,2,1),0),IF(ISNUMBER($G334),$G334,$F334)&gt;=DATE(PlanYear,2,1)),1,0))</f>
        <v>0</v>
      </c>
      <c r="Q334">
        <f>IF($N334=0,0,IF(AND($F334&lt;=EOMONTH(DATE(PlanYear,3,1),0),IF(ISNUMBER($G334),$G334,$F334)&gt;=DATE(PlanYear,3,1)),1,0))</f>
        <v>0</v>
      </c>
      <c r="R334">
        <f>IF($N334=0,0,IF(AND($F334&lt;=EOMONTH(DATE(PlanYear,4,1),0),IF(ISNUMBER($G334),$G334,$F334)&gt;=DATE(PlanYear,4,1)),1,0))</f>
        <v>0</v>
      </c>
      <c r="S334">
        <f>IF($N334=0,0,IF(AND($F334&lt;=EOMONTH(DATE(PlanYear,5,1),0),IF(ISNUMBER($G334),$G334,$F334)&gt;=DATE(PlanYear,5,1)),1,0))</f>
        <v>0</v>
      </c>
      <c r="T334">
        <f>IF($N334=0,0,IF(AND($F334&lt;=EOMONTH(DATE(PlanYear,6,1),0),IF(ISNUMBER($G334),$G334,$F334)&gt;=DATE(PlanYear,6,1)),1,0))</f>
        <v>0</v>
      </c>
      <c r="U334">
        <f>IF($N334=0,0,IF(AND($F334&lt;=EOMONTH(DATE(PlanYear,7,1),0),IF(ISNUMBER($G334),$G334,$F334)&gt;=DATE(PlanYear,7,1)),1,0))</f>
        <v>0</v>
      </c>
      <c r="V334">
        <f>IF($N334=0,0,IF(AND($F334&lt;=EOMONTH(DATE(PlanYear,8,1),0),IF(ISNUMBER($G334),$G334,$F334)&gt;=DATE(PlanYear,8,1)),1,0))</f>
        <v>0</v>
      </c>
      <c r="W334">
        <f>IF($N334=0,0,IF(AND($F334&lt;=EOMONTH(DATE(PlanYear,9,1),0),IF(ISNUMBER($G334),$G334,$F334)&gt;=DATE(PlanYear,9,1)),1,0))</f>
        <v>0</v>
      </c>
      <c r="X334">
        <f>IF($N334=0,0,IF(AND($F334&lt;=EOMONTH(DATE(PlanYear,10,1),0),IF(ISNUMBER($G334),$G334,$F334)&gt;=DATE(PlanYear,10,1)),1,0))</f>
        <v>0</v>
      </c>
      <c r="Y334">
        <f>IF($N334=0,0,IF(AND($F334&lt;=EOMONTH(DATE(PlanYear,11,1),0),IF(ISNUMBER($G334),$G334,$F334)&gt;=DATE(PlanYear,11,1)),1,0))</f>
        <v>0</v>
      </c>
      <c r="Z334">
        <f>IF($N334=0,0,IF(AND($F334&lt;=EOMONTH(DATE(PlanYear,12,1),0),IF(ISNUMBER($G334),$G334,$F334)&gt;=DATE(PlanYear,12,1)),1,0))</f>
        <v>0</v>
      </c>
      <c r="AA334">
        <f>SUM($O334:$Z334)</f>
        <v>0</v>
      </c>
    </row>
    <row r="335" spans="1:27">
      <c r="A335" s="42">
        <f>IF($B335="","","ACT-"&amp;TEXT(ROW()-4,"000"))</f>
        <v>0</v>
      </c>
      <c r="M335" s="43">
        <f>IF(COUNTA($B335:$K335)=0,"",IF($B335="","Missing activity name",IF($C335="","Missing practice",IF(COUNTIF(PracticeNames,$C335)=0,"Practice not in Lists",IF($D335="","Missing motion",IF(NOT(ISNUMBER($F335)),"Missing or invalid start date",IF(AND(ISNUMBER($G335),$G335&lt;$F335),"End date before start",IF(AND($N335=1,$AA335=0),"Outside planning year","OK"))))))))</f>
        <v>0</v>
      </c>
      <c r="N335">
        <f>IF(AND($B335&lt;&gt;"",$C335&lt;&gt;"",$D335&lt;&gt;"",ISNUMBER($F335),COUNTIF(PracticeNames,$C335)&gt;0,COUNTIF(MotionNames,$D335)&gt;0,NOT(AND(ISNUMBER($G335),$G335&lt;$F335))),IF(StatusFilter="All (excl. Cancelled)",IF($H335="Cancelled",0,1),IF(StatusFilter="All",1,IF($H335=StatusFilter,1,0))),0)</f>
        <v>0</v>
      </c>
      <c r="O335">
        <f>IF($N335=0,0,IF(AND($F335&lt;=EOMONTH(DATE(PlanYear,1,1),0),IF(ISNUMBER($G335),$G335,$F335)&gt;=DATE(PlanYear,1,1)),1,0))</f>
        <v>0</v>
      </c>
      <c r="P335">
        <f>IF($N335=0,0,IF(AND($F335&lt;=EOMONTH(DATE(PlanYear,2,1),0),IF(ISNUMBER($G335),$G335,$F335)&gt;=DATE(PlanYear,2,1)),1,0))</f>
        <v>0</v>
      </c>
      <c r="Q335">
        <f>IF($N335=0,0,IF(AND($F335&lt;=EOMONTH(DATE(PlanYear,3,1),0),IF(ISNUMBER($G335),$G335,$F335)&gt;=DATE(PlanYear,3,1)),1,0))</f>
        <v>0</v>
      </c>
      <c r="R335">
        <f>IF($N335=0,0,IF(AND($F335&lt;=EOMONTH(DATE(PlanYear,4,1),0),IF(ISNUMBER($G335),$G335,$F335)&gt;=DATE(PlanYear,4,1)),1,0))</f>
        <v>0</v>
      </c>
      <c r="S335">
        <f>IF($N335=0,0,IF(AND($F335&lt;=EOMONTH(DATE(PlanYear,5,1),0),IF(ISNUMBER($G335),$G335,$F335)&gt;=DATE(PlanYear,5,1)),1,0))</f>
        <v>0</v>
      </c>
      <c r="T335">
        <f>IF($N335=0,0,IF(AND($F335&lt;=EOMONTH(DATE(PlanYear,6,1),0),IF(ISNUMBER($G335),$G335,$F335)&gt;=DATE(PlanYear,6,1)),1,0))</f>
        <v>0</v>
      </c>
      <c r="U335">
        <f>IF($N335=0,0,IF(AND($F335&lt;=EOMONTH(DATE(PlanYear,7,1),0),IF(ISNUMBER($G335),$G335,$F335)&gt;=DATE(PlanYear,7,1)),1,0))</f>
        <v>0</v>
      </c>
      <c r="V335">
        <f>IF($N335=0,0,IF(AND($F335&lt;=EOMONTH(DATE(PlanYear,8,1),0),IF(ISNUMBER($G335),$G335,$F335)&gt;=DATE(PlanYear,8,1)),1,0))</f>
        <v>0</v>
      </c>
      <c r="W335">
        <f>IF($N335=0,0,IF(AND($F335&lt;=EOMONTH(DATE(PlanYear,9,1),0),IF(ISNUMBER($G335),$G335,$F335)&gt;=DATE(PlanYear,9,1)),1,0))</f>
        <v>0</v>
      </c>
      <c r="X335">
        <f>IF($N335=0,0,IF(AND($F335&lt;=EOMONTH(DATE(PlanYear,10,1),0),IF(ISNUMBER($G335),$G335,$F335)&gt;=DATE(PlanYear,10,1)),1,0))</f>
        <v>0</v>
      </c>
      <c r="Y335">
        <f>IF($N335=0,0,IF(AND($F335&lt;=EOMONTH(DATE(PlanYear,11,1),0),IF(ISNUMBER($G335),$G335,$F335)&gt;=DATE(PlanYear,11,1)),1,0))</f>
        <v>0</v>
      </c>
      <c r="Z335">
        <f>IF($N335=0,0,IF(AND($F335&lt;=EOMONTH(DATE(PlanYear,12,1),0),IF(ISNUMBER($G335),$G335,$F335)&gt;=DATE(PlanYear,12,1)),1,0))</f>
        <v>0</v>
      </c>
      <c r="AA335">
        <f>SUM($O335:$Z335)</f>
        <v>0</v>
      </c>
    </row>
    <row r="336" spans="1:27">
      <c r="A336" s="42">
        <f>IF($B336="","","ACT-"&amp;TEXT(ROW()-4,"000"))</f>
        <v>0</v>
      </c>
      <c r="M336" s="43">
        <f>IF(COUNTA($B336:$K336)=0,"",IF($B336="","Missing activity name",IF($C336="","Missing practice",IF(COUNTIF(PracticeNames,$C336)=0,"Practice not in Lists",IF($D336="","Missing motion",IF(NOT(ISNUMBER($F336)),"Missing or invalid start date",IF(AND(ISNUMBER($G336),$G336&lt;$F336),"End date before start",IF(AND($N336=1,$AA336=0),"Outside planning year","OK"))))))))</f>
        <v>0</v>
      </c>
      <c r="N336">
        <f>IF(AND($B336&lt;&gt;"",$C336&lt;&gt;"",$D336&lt;&gt;"",ISNUMBER($F336),COUNTIF(PracticeNames,$C336)&gt;0,COUNTIF(MotionNames,$D336)&gt;0,NOT(AND(ISNUMBER($G336),$G336&lt;$F336))),IF(StatusFilter="All (excl. Cancelled)",IF($H336="Cancelled",0,1),IF(StatusFilter="All",1,IF($H336=StatusFilter,1,0))),0)</f>
        <v>0</v>
      </c>
      <c r="O336">
        <f>IF($N336=0,0,IF(AND($F336&lt;=EOMONTH(DATE(PlanYear,1,1),0),IF(ISNUMBER($G336),$G336,$F336)&gt;=DATE(PlanYear,1,1)),1,0))</f>
        <v>0</v>
      </c>
      <c r="P336">
        <f>IF($N336=0,0,IF(AND($F336&lt;=EOMONTH(DATE(PlanYear,2,1),0),IF(ISNUMBER($G336),$G336,$F336)&gt;=DATE(PlanYear,2,1)),1,0))</f>
        <v>0</v>
      </c>
      <c r="Q336">
        <f>IF($N336=0,0,IF(AND($F336&lt;=EOMONTH(DATE(PlanYear,3,1),0),IF(ISNUMBER($G336),$G336,$F336)&gt;=DATE(PlanYear,3,1)),1,0))</f>
        <v>0</v>
      </c>
      <c r="R336">
        <f>IF($N336=0,0,IF(AND($F336&lt;=EOMONTH(DATE(PlanYear,4,1),0),IF(ISNUMBER($G336),$G336,$F336)&gt;=DATE(PlanYear,4,1)),1,0))</f>
        <v>0</v>
      </c>
      <c r="S336">
        <f>IF($N336=0,0,IF(AND($F336&lt;=EOMONTH(DATE(PlanYear,5,1),0),IF(ISNUMBER($G336),$G336,$F336)&gt;=DATE(PlanYear,5,1)),1,0))</f>
        <v>0</v>
      </c>
      <c r="T336">
        <f>IF($N336=0,0,IF(AND($F336&lt;=EOMONTH(DATE(PlanYear,6,1),0),IF(ISNUMBER($G336),$G336,$F336)&gt;=DATE(PlanYear,6,1)),1,0))</f>
        <v>0</v>
      </c>
      <c r="U336">
        <f>IF($N336=0,0,IF(AND($F336&lt;=EOMONTH(DATE(PlanYear,7,1),0),IF(ISNUMBER($G336),$G336,$F336)&gt;=DATE(PlanYear,7,1)),1,0))</f>
        <v>0</v>
      </c>
      <c r="V336">
        <f>IF($N336=0,0,IF(AND($F336&lt;=EOMONTH(DATE(PlanYear,8,1),0),IF(ISNUMBER($G336),$G336,$F336)&gt;=DATE(PlanYear,8,1)),1,0))</f>
        <v>0</v>
      </c>
      <c r="W336">
        <f>IF($N336=0,0,IF(AND($F336&lt;=EOMONTH(DATE(PlanYear,9,1),0),IF(ISNUMBER($G336),$G336,$F336)&gt;=DATE(PlanYear,9,1)),1,0))</f>
        <v>0</v>
      </c>
      <c r="X336">
        <f>IF($N336=0,0,IF(AND($F336&lt;=EOMONTH(DATE(PlanYear,10,1),0),IF(ISNUMBER($G336),$G336,$F336)&gt;=DATE(PlanYear,10,1)),1,0))</f>
        <v>0</v>
      </c>
      <c r="Y336">
        <f>IF($N336=0,0,IF(AND($F336&lt;=EOMONTH(DATE(PlanYear,11,1),0),IF(ISNUMBER($G336),$G336,$F336)&gt;=DATE(PlanYear,11,1)),1,0))</f>
        <v>0</v>
      </c>
      <c r="Z336">
        <f>IF($N336=0,0,IF(AND($F336&lt;=EOMONTH(DATE(PlanYear,12,1),0),IF(ISNUMBER($G336),$G336,$F336)&gt;=DATE(PlanYear,12,1)),1,0))</f>
        <v>0</v>
      </c>
      <c r="AA336">
        <f>SUM($O336:$Z336)</f>
        <v>0</v>
      </c>
    </row>
    <row r="337" spans="1:27">
      <c r="A337" s="42">
        <f>IF($B337="","","ACT-"&amp;TEXT(ROW()-4,"000"))</f>
        <v>0</v>
      </c>
      <c r="M337" s="43">
        <f>IF(COUNTA($B337:$K337)=0,"",IF($B337="","Missing activity name",IF($C337="","Missing practice",IF(COUNTIF(PracticeNames,$C337)=0,"Practice not in Lists",IF($D337="","Missing motion",IF(NOT(ISNUMBER($F337)),"Missing or invalid start date",IF(AND(ISNUMBER($G337),$G337&lt;$F337),"End date before start",IF(AND($N337=1,$AA337=0),"Outside planning year","OK"))))))))</f>
        <v>0</v>
      </c>
      <c r="N337">
        <f>IF(AND($B337&lt;&gt;"",$C337&lt;&gt;"",$D337&lt;&gt;"",ISNUMBER($F337),COUNTIF(PracticeNames,$C337)&gt;0,COUNTIF(MotionNames,$D337)&gt;0,NOT(AND(ISNUMBER($G337),$G337&lt;$F337))),IF(StatusFilter="All (excl. Cancelled)",IF($H337="Cancelled",0,1),IF(StatusFilter="All",1,IF($H337=StatusFilter,1,0))),0)</f>
        <v>0</v>
      </c>
      <c r="O337">
        <f>IF($N337=0,0,IF(AND($F337&lt;=EOMONTH(DATE(PlanYear,1,1),0),IF(ISNUMBER($G337),$G337,$F337)&gt;=DATE(PlanYear,1,1)),1,0))</f>
        <v>0</v>
      </c>
      <c r="P337">
        <f>IF($N337=0,0,IF(AND($F337&lt;=EOMONTH(DATE(PlanYear,2,1),0),IF(ISNUMBER($G337),$G337,$F337)&gt;=DATE(PlanYear,2,1)),1,0))</f>
        <v>0</v>
      </c>
      <c r="Q337">
        <f>IF($N337=0,0,IF(AND($F337&lt;=EOMONTH(DATE(PlanYear,3,1),0),IF(ISNUMBER($G337),$G337,$F337)&gt;=DATE(PlanYear,3,1)),1,0))</f>
        <v>0</v>
      </c>
      <c r="R337">
        <f>IF($N337=0,0,IF(AND($F337&lt;=EOMONTH(DATE(PlanYear,4,1),0),IF(ISNUMBER($G337),$G337,$F337)&gt;=DATE(PlanYear,4,1)),1,0))</f>
        <v>0</v>
      </c>
      <c r="S337">
        <f>IF($N337=0,0,IF(AND($F337&lt;=EOMONTH(DATE(PlanYear,5,1),0),IF(ISNUMBER($G337),$G337,$F337)&gt;=DATE(PlanYear,5,1)),1,0))</f>
        <v>0</v>
      </c>
      <c r="T337">
        <f>IF($N337=0,0,IF(AND($F337&lt;=EOMONTH(DATE(PlanYear,6,1),0),IF(ISNUMBER($G337),$G337,$F337)&gt;=DATE(PlanYear,6,1)),1,0))</f>
        <v>0</v>
      </c>
      <c r="U337">
        <f>IF($N337=0,0,IF(AND($F337&lt;=EOMONTH(DATE(PlanYear,7,1),0),IF(ISNUMBER($G337),$G337,$F337)&gt;=DATE(PlanYear,7,1)),1,0))</f>
        <v>0</v>
      </c>
      <c r="V337">
        <f>IF($N337=0,0,IF(AND($F337&lt;=EOMONTH(DATE(PlanYear,8,1),0),IF(ISNUMBER($G337),$G337,$F337)&gt;=DATE(PlanYear,8,1)),1,0))</f>
        <v>0</v>
      </c>
      <c r="W337">
        <f>IF($N337=0,0,IF(AND($F337&lt;=EOMONTH(DATE(PlanYear,9,1),0),IF(ISNUMBER($G337),$G337,$F337)&gt;=DATE(PlanYear,9,1)),1,0))</f>
        <v>0</v>
      </c>
      <c r="X337">
        <f>IF($N337=0,0,IF(AND($F337&lt;=EOMONTH(DATE(PlanYear,10,1),0),IF(ISNUMBER($G337),$G337,$F337)&gt;=DATE(PlanYear,10,1)),1,0))</f>
        <v>0</v>
      </c>
      <c r="Y337">
        <f>IF($N337=0,0,IF(AND($F337&lt;=EOMONTH(DATE(PlanYear,11,1),0),IF(ISNUMBER($G337),$G337,$F337)&gt;=DATE(PlanYear,11,1)),1,0))</f>
        <v>0</v>
      </c>
      <c r="Z337">
        <f>IF($N337=0,0,IF(AND($F337&lt;=EOMONTH(DATE(PlanYear,12,1),0),IF(ISNUMBER($G337),$G337,$F337)&gt;=DATE(PlanYear,12,1)),1,0))</f>
        <v>0</v>
      </c>
      <c r="AA337">
        <f>SUM($O337:$Z337)</f>
        <v>0</v>
      </c>
    </row>
    <row r="338" spans="1:27">
      <c r="A338" s="42">
        <f>IF($B338="","","ACT-"&amp;TEXT(ROW()-4,"000"))</f>
        <v>0</v>
      </c>
      <c r="M338" s="43">
        <f>IF(COUNTA($B338:$K338)=0,"",IF($B338="","Missing activity name",IF($C338="","Missing practice",IF(COUNTIF(PracticeNames,$C338)=0,"Practice not in Lists",IF($D338="","Missing motion",IF(NOT(ISNUMBER($F338)),"Missing or invalid start date",IF(AND(ISNUMBER($G338),$G338&lt;$F338),"End date before start",IF(AND($N338=1,$AA338=0),"Outside planning year","OK"))))))))</f>
        <v>0</v>
      </c>
      <c r="N338">
        <f>IF(AND($B338&lt;&gt;"",$C338&lt;&gt;"",$D338&lt;&gt;"",ISNUMBER($F338),COUNTIF(PracticeNames,$C338)&gt;0,COUNTIF(MotionNames,$D338)&gt;0,NOT(AND(ISNUMBER($G338),$G338&lt;$F338))),IF(StatusFilter="All (excl. Cancelled)",IF($H338="Cancelled",0,1),IF(StatusFilter="All",1,IF($H338=StatusFilter,1,0))),0)</f>
        <v>0</v>
      </c>
      <c r="O338">
        <f>IF($N338=0,0,IF(AND($F338&lt;=EOMONTH(DATE(PlanYear,1,1),0),IF(ISNUMBER($G338),$G338,$F338)&gt;=DATE(PlanYear,1,1)),1,0))</f>
        <v>0</v>
      </c>
      <c r="P338">
        <f>IF($N338=0,0,IF(AND($F338&lt;=EOMONTH(DATE(PlanYear,2,1),0),IF(ISNUMBER($G338),$G338,$F338)&gt;=DATE(PlanYear,2,1)),1,0))</f>
        <v>0</v>
      </c>
      <c r="Q338">
        <f>IF($N338=0,0,IF(AND($F338&lt;=EOMONTH(DATE(PlanYear,3,1),0),IF(ISNUMBER($G338),$G338,$F338)&gt;=DATE(PlanYear,3,1)),1,0))</f>
        <v>0</v>
      </c>
      <c r="R338">
        <f>IF($N338=0,0,IF(AND($F338&lt;=EOMONTH(DATE(PlanYear,4,1),0),IF(ISNUMBER($G338),$G338,$F338)&gt;=DATE(PlanYear,4,1)),1,0))</f>
        <v>0</v>
      </c>
      <c r="S338">
        <f>IF($N338=0,0,IF(AND($F338&lt;=EOMONTH(DATE(PlanYear,5,1),0),IF(ISNUMBER($G338),$G338,$F338)&gt;=DATE(PlanYear,5,1)),1,0))</f>
        <v>0</v>
      </c>
      <c r="T338">
        <f>IF($N338=0,0,IF(AND($F338&lt;=EOMONTH(DATE(PlanYear,6,1),0),IF(ISNUMBER($G338),$G338,$F338)&gt;=DATE(PlanYear,6,1)),1,0))</f>
        <v>0</v>
      </c>
      <c r="U338">
        <f>IF($N338=0,0,IF(AND($F338&lt;=EOMONTH(DATE(PlanYear,7,1),0),IF(ISNUMBER($G338),$G338,$F338)&gt;=DATE(PlanYear,7,1)),1,0))</f>
        <v>0</v>
      </c>
      <c r="V338">
        <f>IF($N338=0,0,IF(AND($F338&lt;=EOMONTH(DATE(PlanYear,8,1),0),IF(ISNUMBER($G338),$G338,$F338)&gt;=DATE(PlanYear,8,1)),1,0))</f>
        <v>0</v>
      </c>
      <c r="W338">
        <f>IF($N338=0,0,IF(AND($F338&lt;=EOMONTH(DATE(PlanYear,9,1),0),IF(ISNUMBER($G338),$G338,$F338)&gt;=DATE(PlanYear,9,1)),1,0))</f>
        <v>0</v>
      </c>
      <c r="X338">
        <f>IF($N338=0,0,IF(AND($F338&lt;=EOMONTH(DATE(PlanYear,10,1),0),IF(ISNUMBER($G338),$G338,$F338)&gt;=DATE(PlanYear,10,1)),1,0))</f>
        <v>0</v>
      </c>
      <c r="Y338">
        <f>IF($N338=0,0,IF(AND($F338&lt;=EOMONTH(DATE(PlanYear,11,1),0),IF(ISNUMBER($G338),$G338,$F338)&gt;=DATE(PlanYear,11,1)),1,0))</f>
        <v>0</v>
      </c>
      <c r="Z338">
        <f>IF($N338=0,0,IF(AND($F338&lt;=EOMONTH(DATE(PlanYear,12,1),0),IF(ISNUMBER($G338),$G338,$F338)&gt;=DATE(PlanYear,12,1)),1,0))</f>
        <v>0</v>
      </c>
      <c r="AA338">
        <f>SUM($O338:$Z338)</f>
        <v>0</v>
      </c>
    </row>
    <row r="339" spans="1:27">
      <c r="A339" s="42">
        <f>IF($B339="","","ACT-"&amp;TEXT(ROW()-4,"000"))</f>
        <v>0</v>
      </c>
      <c r="M339" s="43">
        <f>IF(COUNTA($B339:$K339)=0,"",IF($B339="","Missing activity name",IF($C339="","Missing practice",IF(COUNTIF(PracticeNames,$C339)=0,"Practice not in Lists",IF($D339="","Missing motion",IF(NOT(ISNUMBER($F339)),"Missing or invalid start date",IF(AND(ISNUMBER($G339),$G339&lt;$F339),"End date before start",IF(AND($N339=1,$AA339=0),"Outside planning year","OK"))))))))</f>
        <v>0</v>
      </c>
      <c r="N339">
        <f>IF(AND($B339&lt;&gt;"",$C339&lt;&gt;"",$D339&lt;&gt;"",ISNUMBER($F339),COUNTIF(PracticeNames,$C339)&gt;0,COUNTIF(MotionNames,$D339)&gt;0,NOT(AND(ISNUMBER($G339),$G339&lt;$F339))),IF(StatusFilter="All (excl. Cancelled)",IF($H339="Cancelled",0,1),IF(StatusFilter="All",1,IF($H339=StatusFilter,1,0))),0)</f>
        <v>0</v>
      </c>
      <c r="O339">
        <f>IF($N339=0,0,IF(AND($F339&lt;=EOMONTH(DATE(PlanYear,1,1),0),IF(ISNUMBER($G339),$G339,$F339)&gt;=DATE(PlanYear,1,1)),1,0))</f>
        <v>0</v>
      </c>
      <c r="P339">
        <f>IF($N339=0,0,IF(AND($F339&lt;=EOMONTH(DATE(PlanYear,2,1),0),IF(ISNUMBER($G339),$G339,$F339)&gt;=DATE(PlanYear,2,1)),1,0))</f>
        <v>0</v>
      </c>
      <c r="Q339">
        <f>IF($N339=0,0,IF(AND($F339&lt;=EOMONTH(DATE(PlanYear,3,1),0),IF(ISNUMBER($G339),$G339,$F339)&gt;=DATE(PlanYear,3,1)),1,0))</f>
        <v>0</v>
      </c>
      <c r="R339">
        <f>IF($N339=0,0,IF(AND($F339&lt;=EOMONTH(DATE(PlanYear,4,1),0),IF(ISNUMBER($G339),$G339,$F339)&gt;=DATE(PlanYear,4,1)),1,0))</f>
        <v>0</v>
      </c>
      <c r="S339">
        <f>IF($N339=0,0,IF(AND($F339&lt;=EOMONTH(DATE(PlanYear,5,1),0),IF(ISNUMBER($G339),$G339,$F339)&gt;=DATE(PlanYear,5,1)),1,0))</f>
        <v>0</v>
      </c>
      <c r="T339">
        <f>IF($N339=0,0,IF(AND($F339&lt;=EOMONTH(DATE(PlanYear,6,1),0),IF(ISNUMBER($G339),$G339,$F339)&gt;=DATE(PlanYear,6,1)),1,0))</f>
        <v>0</v>
      </c>
      <c r="U339">
        <f>IF($N339=0,0,IF(AND($F339&lt;=EOMONTH(DATE(PlanYear,7,1),0),IF(ISNUMBER($G339),$G339,$F339)&gt;=DATE(PlanYear,7,1)),1,0))</f>
        <v>0</v>
      </c>
      <c r="V339">
        <f>IF($N339=0,0,IF(AND($F339&lt;=EOMONTH(DATE(PlanYear,8,1),0),IF(ISNUMBER($G339),$G339,$F339)&gt;=DATE(PlanYear,8,1)),1,0))</f>
        <v>0</v>
      </c>
      <c r="W339">
        <f>IF($N339=0,0,IF(AND($F339&lt;=EOMONTH(DATE(PlanYear,9,1),0),IF(ISNUMBER($G339),$G339,$F339)&gt;=DATE(PlanYear,9,1)),1,0))</f>
        <v>0</v>
      </c>
      <c r="X339">
        <f>IF($N339=0,0,IF(AND($F339&lt;=EOMONTH(DATE(PlanYear,10,1),0),IF(ISNUMBER($G339),$G339,$F339)&gt;=DATE(PlanYear,10,1)),1,0))</f>
        <v>0</v>
      </c>
      <c r="Y339">
        <f>IF($N339=0,0,IF(AND($F339&lt;=EOMONTH(DATE(PlanYear,11,1),0),IF(ISNUMBER($G339),$G339,$F339)&gt;=DATE(PlanYear,11,1)),1,0))</f>
        <v>0</v>
      </c>
      <c r="Z339">
        <f>IF($N339=0,0,IF(AND($F339&lt;=EOMONTH(DATE(PlanYear,12,1),0),IF(ISNUMBER($G339),$G339,$F339)&gt;=DATE(PlanYear,12,1)),1,0))</f>
        <v>0</v>
      </c>
      <c r="AA339">
        <f>SUM($O339:$Z339)</f>
        <v>0</v>
      </c>
    </row>
    <row r="340" spans="1:27">
      <c r="A340" s="42">
        <f>IF($B340="","","ACT-"&amp;TEXT(ROW()-4,"000"))</f>
        <v>0</v>
      </c>
      <c r="M340" s="43">
        <f>IF(COUNTA($B340:$K340)=0,"",IF($B340="","Missing activity name",IF($C340="","Missing practice",IF(COUNTIF(PracticeNames,$C340)=0,"Practice not in Lists",IF($D340="","Missing motion",IF(NOT(ISNUMBER($F340)),"Missing or invalid start date",IF(AND(ISNUMBER($G340),$G340&lt;$F340),"End date before start",IF(AND($N340=1,$AA340=0),"Outside planning year","OK"))))))))</f>
        <v>0</v>
      </c>
      <c r="N340">
        <f>IF(AND($B340&lt;&gt;"",$C340&lt;&gt;"",$D340&lt;&gt;"",ISNUMBER($F340),COUNTIF(PracticeNames,$C340)&gt;0,COUNTIF(MotionNames,$D340)&gt;0,NOT(AND(ISNUMBER($G340),$G340&lt;$F340))),IF(StatusFilter="All (excl. Cancelled)",IF($H340="Cancelled",0,1),IF(StatusFilter="All",1,IF($H340=StatusFilter,1,0))),0)</f>
        <v>0</v>
      </c>
      <c r="O340">
        <f>IF($N340=0,0,IF(AND($F340&lt;=EOMONTH(DATE(PlanYear,1,1),0),IF(ISNUMBER($G340),$G340,$F340)&gt;=DATE(PlanYear,1,1)),1,0))</f>
        <v>0</v>
      </c>
      <c r="P340">
        <f>IF($N340=0,0,IF(AND($F340&lt;=EOMONTH(DATE(PlanYear,2,1),0),IF(ISNUMBER($G340),$G340,$F340)&gt;=DATE(PlanYear,2,1)),1,0))</f>
        <v>0</v>
      </c>
      <c r="Q340">
        <f>IF($N340=0,0,IF(AND($F340&lt;=EOMONTH(DATE(PlanYear,3,1),0),IF(ISNUMBER($G340),$G340,$F340)&gt;=DATE(PlanYear,3,1)),1,0))</f>
        <v>0</v>
      </c>
      <c r="R340">
        <f>IF($N340=0,0,IF(AND($F340&lt;=EOMONTH(DATE(PlanYear,4,1),0),IF(ISNUMBER($G340),$G340,$F340)&gt;=DATE(PlanYear,4,1)),1,0))</f>
        <v>0</v>
      </c>
      <c r="S340">
        <f>IF($N340=0,0,IF(AND($F340&lt;=EOMONTH(DATE(PlanYear,5,1),0),IF(ISNUMBER($G340),$G340,$F340)&gt;=DATE(PlanYear,5,1)),1,0))</f>
        <v>0</v>
      </c>
      <c r="T340">
        <f>IF($N340=0,0,IF(AND($F340&lt;=EOMONTH(DATE(PlanYear,6,1),0),IF(ISNUMBER($G340),$G340,$F340)&gt;=DATE(PlanYear,6,1)),1,0))</f>
        <v>0</v>
      </c>
      <c r="U340">
        <f>IF($N340=0,0,IF(AND($F340&lt;=EOMONTH(DATE(PlanYear,7,1),0),IF(ISNUMBER($G340),$G340,$F340)&gt;=DATE(PlanYear,7,1)),1,0))</f>
        <v>0</v>
      </c>
      <c r="V340">
        <f>IF($N340=0,0,IF(AND($F340&lt;=EOMONTH(DATE(PlanYear,8,1),0),IF(ISNUMBER($G340),$G340,$F340)&gt;=DATE(PlanYear,8,1)),1,0))</f>
        <v>0</v>
      </c>
      <c r="W340">
        <f>IF($N340=0,0,IF(AND($F340&lt;=EOMONTH(DATE(PlanYear,9,1),0),IF(ISNUMBER($G340),$G340,$F340)&gt;=DATE(PlanYear,9,1)),1,0))</f>
        <v>0</v>
      </c>
      <c r="X340">
        <f>IF($N340=0,0,IF(AND($F340&lt;=EOMONTH(DATE(PlanYear,10,1),0),IF(ISNUMBER($G340),$G340,$F340)&gt;=DATE(PlanYear,10,1)),1,0))</f>
        <v>0</v>
      </c>
      <c r="Y340">
        <f>IF($N340=0,0,IF(AND($F340&lt;=EOMONTH(DATE(PlanYear,11,1),0),IF(ISNUMBER($G340),$G340,$F340)&gt;=DATE(PlanYear,11,1)),1,0))</f>
        <v>0</v>
      </c>
      <c r="Z340">
        <f>IF($N340=0,0,IF(AND($F340&lt;=EOMONTH(DATE(PlanYear,12,1),0),IF(ISNUMBER($G340),$G340,$F340)&gt;=DATE(PlanYear,12,1)),1,0))</f>
        <v>0</v>
      </c>
      <c r="AA340">
        <f>SUM($O340:$Z340)</f>
        <v>0</v>
      </c>
    </row>
    <row r="341" spans="1:27">
      <c r="A341" s="42">
        <f>IF($B341="","","ACT-"&amp;TEXT(ROW()-4,"000"))</f>
        <v>0</v>
      </c>
      <c r="M341" s="43">
        <f>IF(COUNTA($B341:$K341)=0,"",IF($B341="","Missing activity name",IF($C341="","Missing practice",IF(COUNTIF(PracticeNames,$C341)=0,"Practice not in Lists",IF($D341="","Missing motion",IF(NOT(ISNUMBER($F341)),"Missing or invalid start date",IF(AND(ISNUMBER($G341),$G341&lt;$F341),"End date before start",IF(AND($N341=1,$AA341=0),"Outside planning year","OK"))))))))</f>
        <v>0</v>
      </c>
      <c r="N341">
        <f>IF(AND($B341&lt;&gt;"",$C341&lt;&gt;"",$D341&lt;&gt;"",ISNUMBER($F341),COUNTIF(PracticeNames,$C341)&gt;0,COUNTIF(MotionNames,$D341)&gt;0,NOT(AND(ISNUMBER($G341),$G341&lt;$F341))),IF(StatusFilter="All (excl. Cancelled)",IF($H341="Cancelled",0,1),IF(StatusFilter="All",1,IF($H341=StatusFilter,1,0))),0)</f>
        <v>0</v>
      </c>
      <c r="O341">
        <f>IF($N341=0,0,IF(AND($F341&lt;=EOMONTH(DATE(PlanYear,1,1),0),IF(ISNUMBER($G341),$G341,$F341)&gt;=DATE(PlanYear,1,1)),1,0))</f>
        <v>0</v>
      </c>
      <c r="P341">
        <f>IF($N341=0,0,IF(AND($F341&lt;=EOMONTH(DATE(PlanYear,2,1),0),IF(ISNUMBER($G341),$G341,$F341)&gt;=DATE(PlanYear,2,1)),1,0))</f>
        <v>0</v>
      </c>
      <c r="Q341">
        <f>IF($N341=0,0,IF(AND($F341&lt;=EOMONTH(DATE(PlanYear,3,1),0),IF(ISNUMBER($G341),$G341,$F341)&gt;=DATE(PlanYear,3,1)),1,0))</f>
        <v>0</v>
      </c>
      <c r="R341">
        <f>IF($N341=0,0,IF(AND($F341&lt;=EOMONTH(DATE(PlanYear,4,1),0),IF(ISNUMBER($G341),$G341,$F341)&gt;=DATE(PlanYear,4,1)),1,0))</f>
        <v>0</v>
      </c>
      <c r="S341">
        <f>IF($N341=0,0,IF(AND($F341&lt;=EOMONTH(DATE(PlanYear,5,1),0),IF(ISNUMBER($G341),$G341,$F341)&gt;=DATE(PlanYear,5,1)),1,0))</f>
        <v>0</v>
      </c>
      <c r="T341">
        <f>IF($N341=0,0,IF(AND($F341&lt;=EOMONTH(DATE(PlanYear,6,1),0),IF(ISNUMBER($G341),$G341,$F341)&gt;=DATE(PlanYear,6,1)),1,0))</f>
        <v>0</v>
      </c>
      <c r="U341">
        <f>IF($N341=0,0,IF(AND($F341&lt;=EOMONTH(DATE(PlanYear,7,1),0),IF(ISNUMBER($G341),$G341,$F341)&gt;=DATE(PlanYear,7,1)),1,0))</f>
        <v>0</v>
      </c>
      <c r="V341">
        <f>IF($N341=0,0,IF(AND($F341&lt;=EOMONTH(DATE(PlanYear,8,1),0),IF(ISNUMBER($G341),$G341,$F341)&gt;=DATE(PlanYear,8,1)),1,0))</f>
        <v>0</v>
      </c>
      <c r="W341">
        <f>IF($N341=0,0,IF(AND($F341&lt;=EOMONTH(DATE(PlanYear,9,1),0),IF(ISNUMBER($G341),$G341,$F341)&gt;=DATE(PlanYear,9,1)),1,0))</f>
        <v>0</v>
      </c>
      <c r="X341">
        <f>IF($N341=0,0,IF(AND($F341&lt;=EOMONTH(DATE(PlanYear,10,1),0),IF(ISNUMBER($G341),$G341,$F341)&gt;=DATE(PlanYear,10,1)),1,0))</f>
        <v>0</v>
      </c>
      <c r="Y341">
        <f>IF($N341=0,0,IF(AND($F341&lt;=EOMONTH(DATE(PlanYear,11,1),0),IF(ISNUMBER($G341),$G341,$F341)&gt;=DATE(PlanYear,11,1)),1,0))</f>
        <v>0</v>
      </c>
      <c r="Z341">
        <f>IF($N341=0,0,IF(AND($F341&lt;=EOMONTH(DATE(PlanYear,12,1),0),IF(ISNUMBER($G341),$G341,$F341)&gt;=DATE(PlanYear,12,1)),1,0))</f>
        <v>0</v>
      </c>
      <c r="AA341">
        <f>SUM($O341:$Z341)</f>
        <v>0</v>
      </c>
    </row>
    <row r="342" spans="1:27">
      <c r="A342" s="42">
        <f>IF($B342="","","ACT-"&amp;TEXT(ROW()-4,"000"))</f>
        <v>0</v>
      </c>
      <c r="M342" s="43">
        <f>IF(COUNTA($B342:$K342)=0,"",IF($B342="","Missing activity name",IF($C342="","Missing practice",IF(COUNTIF(PracticeNames,$C342)=0,"Practice not in Lists",IF($D342="","Missing motion",IF(NOT(ISNUMBER($F342)),"Missing or invalid start date",IF(AND(ISNUMBER($G342),$G342&lt;$F342),"End date before start",IF(AND($N342=1,$AA342=0),"Outside planning year","OK"))))))))</f>
        <v>0</v>
      </c>
      <c r="N342">
        <f>IF(AND($B342&lt;&gt;"",$C342&lt;&gt;"",$D342&lt;&gt;"",ISNUMBER($F342),COUNTIF(PracticeNames,$C342)&gt;0,COUNTIF(MotionNames,$D342)&gt;0,NOT(AND(ISNUMBER($G342),$G342&lt;$F342))),IF(StatusFilter="All (excl. Cancelled)",IF($H342="Cancelled",0,1),IF(StatusFilter="All",1,IF($H342=StatusFilter,1,0))),0)</f>
        <v>0</v>
      </c>
      <c r="O342">
        <f>IF($N342=0,0,IF(AND($F342&lt;=EOMONTH(DATE(PlanYear,1,1),0),IF(ISNUMBER($G342),$G342,$F342)&gt;=DATE(PlanYear,1,1)),1,0))</f>
        <v>0</v>
      </c>
      <c r="P342">
        <f>IF($N342=0,0,IF(AND($F342&lt;=EOMONTH(DATE(PlanYear,2,1),0),IF(ISNUMBER($G342),$G342,$F342)&gt;=DATE(PlanYear,2,1)),1,0))</f>
        <v>0</v>
      </c>
      <c r="Q342">
        <f>IF($N342=0,0,IF(AND($F342&lt;=EOMONTH(DATE(PlanYear,3,1),0),IF(ISNUMBER($G342),$G342,$F342)&gt;=DATE(PlanYear,3,1)),1,0))</f>
        <v>0</v>
      </c>
      <c r="R342">
        <f>IF($N342=0,0,IF(AND($F342&lt;=EOMONTH(DATE(PlanYear,4,1),0),IF(ISNUMBER($G342),$G342,$F342)&gt;=DATE(PlanYear,4,1)),1,0))</f>
        <v>0</v>
      </c>
      <c r="S342">
        <f>IF($N342=0,0,IF(AND($F342&lt;=EOMONTH(DATE(PlanYear,5,1),0),IF(ISNUMBER($G342),$G342,$F342)&gt;=DATE(PlanYear,5,1)),1,0))</f>
        <v>0</v>
      </c>
      <c r="T342">
        <f>IF($N342=0,0,IF(AND($F342&lt;=EOMONTH(DATE(PlanYear,6,1),0),IF(ISNUMBER($G342),$G342,$F342)&gt;=DATE(PlanYear,6,1)),1,0))</f>
        <v>0</v>
      </c>
      <c r="U342">
        <f>IF($N342=0,0,IF(AND($F342&lt;=EOMONTH(DATE(PlanYear,7,1),0),IF(ISNUMBER($G342),$G342,$F342)&gt;=DATE(PlanYear,7,1)),1,0))</f>
        <v>0</v>
      </c>
      <c r="V342">
        <f>IF($N342=0,0,IF(AND($F342&lt;=EOMONTH(DATE(PlanYear,8,1),0),IF(ISNUMBER($G342),$G342,$F342)&gt;=DATE(PlanYear,8,1)),1,0))</f>
        <v>0</v>
      </c>
      <c r="W342">
        <f>IF($N342=0,0,IF(AND($F342&lt;=EOMONTH(DATE(PlanYear,9,1),0),IF(ISNUMBER($G342),$G342,$F342)&gt;=DATE(PlanYear,9,1)),1,0))</f>
        <v>0</v>
      </c>
      <c r="X342">
        <f>IF($N342=0,0,IF(AND($F342&lt;=EOMONTH(DATE(PlanYear,10,1),0),IF(ISNUMBER($G342),$G342,$F342)&gt;=DATE(PlanYear,10,1)),1,0))</f>
        <v>0</v>
      </c>
      <c r="Y342">
        <f>IF($N342=0,0,IF(AND($F342&lt;=EOMONTH(DATE(PlanYear,11,1),0),IF(ISNUMBER($G342),$G342,$F342)&gt;=DATE(PlanYear,11,1)),1,0))</f>
        <v>0</v>
      </c>
      <c r="Z342">
        <f>IF($N342=0,0,IF(AND($F342&lt;=EOMONTH(DATE(PlanYear,12,1),0),IF(ISNUMBER($G342),$G342,$F342)&gt;=DATE(PlanYear,12,1)),1,0))</f>
        <v>0</v>
      </c>
      <c r="AA342">
        <f>SUM($O342:$Z342)</f>
        <v>0</v>
      </c>
    </row>
    <row r="343" spans="1:27">
      <c r="A343" s="42">
        <f>IF($B343="","","ACT-"&amp;TEXT(ROW()-4,"000"))</f>
        <v>0</v>
      </c>
      <c r="M343" s="43">
        <f>IF(COUNTA($B343:$K343)=0,"",IF($B343="","Missing activity name",IF($C343="","Missing practice",IF(COUNTIF(PracticeNames,$C343)=0,"Practice not in Lists",IF($D343="","Missing motion",IF(NOT(ISNUMBER($F343)),"Missing or invalid start date",IF(AND(ISNUMBER($G343),$G343&lt;$F343),"End date before start",IF(AND($N343=1,$AA343=0),"Outside planning year","OK"))))))))</f>
        <v>0</v>
      </c>
      <c r="N343">
        <f>IF(AND($B343&lt;&gt;"",$C343&lt;&gt;"",$D343&lt;&gt;"",ISNUMBER($F343),COUNTIF(PracticeNames,$C343)&gt;0,COUNTIF(MotionNames,$D343)&gt;0,NOT(AND(ISNUMBER($G343),$G343&lt;$F343))),IF(StatusFilter="All (excl. Cancelled)",IF($H343="Cancelled",0,1),IF(StatusFilter="All",1,IF($H343=StatusFilter,1,0))),0)</f>
        <v>0</v>
      </c>
      <c r="O343">
        <f>IF($N343=0,0,IF(AND($F343&lt;=EOMONTH(DATE(PlanYear,1,1),0),IF(ISNUMBER($G343),$G343,$F343)&gt;=DATE(PlanYear,1,1)),1,0))</f>
        <v>0</v>
      </c>
      <c r="P343">
        <f>IF($N343=0,0,IF(AND($F343&lt;=EOMONTH(DATE(PlanYear,2,1),0),IF(ISNUMBER($G343),$G343,$F343)&gt;=DATE(PlanYear,2,1)),1,0))</f>
        <v>0</v>
      </c>
      <c r="Q343">
        <f>IF($N343=0,0,IF(AND($F343&lt;=EOMONTH(DATE(PlanYear,3,1),0),IF(ISNUMBER($G343),$G343,$F343)&gt;=DATE(PlanYear,3,1)),1,0))</f>
        <v>0</v>
      </c>
      <c r="R343">
        <f>IF($N343=0,0,IF(AND($F343&lt;=EOMONTH(DATE(PlanYear,4,1),0),IF(ISNUMBER($G343),$G343,$F343)&gt;=DATE(PlanYear,4,1)),1,0))</f>
        <v>0</v>
      </c>
      <c r="S343">
        <f>IF($N343=0,0,IF(AND($F343&lt;=EOMONTH(DATE(PlanYear,5,1),0),IF(ISNUMBER($G343),$G343,$F343)&gt;=DATE(PlanYear,5,1)),1,0))</f>
        <v>0</v>
      </c>
      <c r="T343">
        <f>IF($N343=0,0,IF(AND($F343&lt;=EOMONTH(DATE(PlanYear,6,1),0),IF(ISNUMBER($G343),$G343,$F343)&gt;=DATE(PlanYear,6,1)),1,0))</f>
        <v>0</v>
      </c>
      <c r="U343">
        <f>IF($N343=0,0,IF(AND($F343&lt;=EOMONTH(DATE(PlanYear,7,1),0),IF(ISNUMBER($G343),$G343,$F343)&gt;=DATE(PlanYear,7,1)),1,0))</f>
        <v>0</v>
      </c>
      <c r="V343">
        <f>IF($N343=0,0,IF(AND($F343&lt;=EOMONTH(DATE(PlanYear,8,1),0),IF(ISNUMBER($G343),$G343,$F343)&gt;=DATE(PlanYear,8,1)),1,0))</f>
        <v>0</v>
      </c>
      <c r="W343">
        <f>IF($N343=0,0,IF(AND($F343&lt;=EOMONTH(DATE(PlanYear,9,1),0),IF(ISNUMBER($G343),$G343,$F343)&gt;=DATE(PlanYear,9,1)),1,0))</f>
        <v>0</v>
      </c>
      <c r="X343">
        <f>IF($N343=0,0,IF(AND($F343&lt;=EOMONTH(DATE(PlanYear,10,1),0),IF(ISNUMBER($G343),$G343,$F343)&gt;=DATE(PlanYear,10,1)),1,0))</f>
        <v>0</v>
      </c>
      <c r="Y343">
        <f>IF($N343=0,0,IF(AND($F343&lt;=EOMONTH(DATE(PlanYear,11,1),0),IF(ISNUMBER($G343),$G343,$F343)&gt;=DATE(PlanYear,11,1)),1,0))</f>
        <v>0</v>
      </c>
      <c r="Z343">
        <f>IF($N343=0,0,IF(AND($F343&lt;=EOMONTH(DATE(PlanYear,12,1),0),IF(ISNUMBER($G343),$G343,$F343)&gt;=DATE(PlanYear,12,1)),1,0))</f>
        <v>0</v>
      </c>
      <c r="AA343">
        <f>SUM($O343:$Z343)</f>
        <v>0</v>
      </c>
    </row>
    <row r="344" spans="1:27">
      <c r="A344" s="42">
        <f>IF($B344="","","ACT-"&amp;TEXT(ROW()-4,"000"))</f>
        <v>0</v>
      </c>
      <c r="M344" s="43">
        <f>IF(COUNTA($B344:$K344)=0,"",IF($B344="","Missing activity name",IF($C344="","Missing practice",IF(COUNTIF(PracticeNames,$C344)=0,"Practice not in Lists",IF($D344="","Missing motion",IF(NOT(ISNUMBER($F344)),"Missing or invalid start date",IF(AND(ISNUMBER($G344),$G344&lt;$F344),"End date before start",IF(AND($N344=1,$AA344=0),"Outside planning year","OK"))))))))</f>
        <v>0</v>
      </c>
      <c r="N344">
        <f>IF(AND($B344&lt;&gt;"",$C344&lt;&gt;"",$D344&lt;&gt;"",ISNUMBER($F344),COUNTIF(PracticeNames,$C344)&gt;0,COUNTIF(MotionNames,$D344)&gt;0,NOT(AND(ISNUMBER($G344),$G344&lt;$F344))),IF(StatusFilter="All (excl. Cancelled)",IF($H344="Cancelled",0,1),IF(StatusFilter="All",1,IF($H344=StatusFilter,1,0))),0)</f>
        <v>0</v>
      </c>
      <c r="O344">
        <f>IF($N344=0,0,IF(AND($F344&lt;=EOMONTH(DATE(PlanYear,1,1),0),IF(ISNUMBER($G344),$G344,$F344)&gt;=DATE(PlanYear,1,1)),1,0))</f>
        <v>0</v>
      </c>
      <c r="P344">
        <f>IF($N344=0,0,IF(AND($F344&lt;=EOMONTH(DATE(PlanYear,2,1),0),IF(ISNUMBER($G344),$G344,$F344)&gt;=DATE(PlanYear,2,1)),1,0))</f>
        <v>0</v>
      </c>
      <c r="Q344">
        <f>IF($N344=0,0,IF(AND($F344&lt;=EOMONTH(DATE(PlanYear,3,1),0),IF(ISNUMBER($G344),$G344,$F344)&gt;=DATE(PlanYear,3,1)),1,0))</f>
        <v>0</v>
      </c>
      <c r="R344">
        <f>IF($N344=0,0,IF(AND($F344&lt;=EOMONTH(DATE(PlanYear,4,1),0),IF(ISNUMBER($G344),$G344,$F344)&gt;=DATE(PlanYear,4,1)),1,0))</f>
        <v>0</v>
      </c>
      <c r="S344">
        <f>IF($N344=0,0,IF(AND($F344&lt;=EOMONTH(DATE(PlanYear,5,1),0),IF(ISNUMBER($G344),$G344,$F344)&gt;=DATE(PlanYear,5,1)),1,0))</f>
        <v>0</v>
      </c>
      <c r="T344">
        <f>IF($N344=0,0,IF(AND($F344&lt;=EOMONTH(DATE(PlanYear,6,1),0),IF(ISNUMBER($G344),$G344,$F344)&gt;=DATE(PlanYear,6,1)),1,0))</f>
        <v>0</v>
      </c>
      <c r="U344">
        <f>IF($N344=0,0,IF(AND($F344&lt;=EOMONTH(DATE(PlanYear,7,1),0),IF(ISNUMBER($G344),$G344,$F344)&gt;=DATE(PlanYear,7,1)),1,0))</f>
        <v>0</v>
      </c>
      <c r="V344">
        <f>IF($N344=0,0,IF(AND($F344&lt;=EOMONTH(DATE(PlanYear,8,1),0),IF(ISNUMBER($G344),$G344,$F344)&gt;=DATE(PlanYear,8,1)),1,0))</f>
        <v>0</v>
      </c>
      <c r="W344">
        <f>IF($N344=0,0,IF(AND($F344&lt;=EOMONTH(DATE(PlanYear,9,1),0),IF(ISNUMBER($G344),$G344,$F344)&gt;=DATE(PlanYear,9,1)),1,0))</f>
        <v>0</v>
      </c>
      <c r="X344">
        <f>IF($N344=0,0,IF(AND($F344&lt;=EOMONTH(DATE(PlanYear,10,1),0),IF(ISNUMBER($G344),$G344,$F344)&gt;=DATE(PlanYear,10,1)),1,0))</f>
        <v>0</v>
      </c>
      <c r="Y344">
        <f>IF($N344=0,0,IF(AND($F344&lt;=EOMONTH(DATE(PlanYear,11,1),0),IF(ISNUMBER($G344),$G344,$F344)&gt;=DATE(PlanYear,11,1)),1,0))</f>
        <v>0</v>
      </c>
      <c r="Z344">
        <f>IF($N344=0,0,IF(AND($F344&lt;=EOMONTH(DATE(PlanYear,12,1),0),IF(ISNUMBER($G344),$G344,$F344)&gt;=DATE(PlanYear,12,1)),1,0))</f>
        <v>0</v>
      </c>
      <c r="AA344">
        <f>SUM($O344:$Z344)</f>
        <v>0</v>
      </c>
    </row>
    <row r="345" spans="1:27">
      <c r="A345" s="42">
        <f>IF($B345="","","ACT-"&amp;TEXT(ROW()-4,"000"))</f>
        <v>0</v>
      </c>
      <c r="M345" s="43">
        <f>IF(COUNTA($B345:$K345)=0,"",IF($B345="","Missing activity name",IF($C345="","Missing practice",IF(COUNTIF(PracticeNames,$C345)=0,"Practice not in Lists",IF($D345="","Missing motion",IF(NOT(ISNUMBER($F345)),"Missing or invalid start date",IF(AND(ISNUMBER($G345),$G345&lt;$F345),"End date before start",IF(AND($N345=1,$AA345=0),"Outside planning year","OK"))))))))</f>
        <v>0</v>
      </c>
      <c r="N345">
        <f>IF(AND($B345&lt;&gt;"",$C345&lt;&gt;"",$D345&lt;&gt;"",ISNUMBER($F345),COUNTIF(PracticeNames,$C345)&gt;0,COUNTIF(MotionNames,$D345)&gt;0,NOT(AND(ISNUMBER($G345),$G345&lt;$F345))),IF(StatusFilter="All (excl. Cancelled)",IF($H345="Cancelled",0,1),IF(StatusFilter="All",1,IF($H345=StatusFilter,1,0))),0)</f>
        <v>0</v>
      </c>
      <c r="O345">
        <f>IF($N345=0,0,IF(AND($F345&lt;=EOMONTH(DATE(PlanYear,1,1),0),IF(ISNUMBER($G345),$G345,$F345)&gt;=DATE(PlanYear,1,1)),1,0))</f>
        <v>0</v>
      </c>
      <c r="P345">
        <f>IF($N345=0,0,IF(AND($F345&lt;=EOMONTH(DATE(PlanYear,2,1),0),IF(ISNUMBER($G345),$G345,$F345)&gt;=DATE(PlanYear,2,1)),1,0))</f>
        <v>0</v>
      </c>
      <c r="Q345">
        <f>IF($N345=0,0,IF(AND($F345&lt;=EOMONTH(DATE(PlanYear,3,1),0),IF(ISNUMBER($G345),$G345,$F345)&gt;=DATE(PlanYear,3,1)),1,0))</f>
        <v>0</v>
      </c>
      <c r="R345">
        <f>IF($N345=0,0,IF(AND($F345&lt;=EOMONTH(DATE(PlanYear,4,1),0),IF(ISNUMBER($G345),$G345,$F345)&gt;=DATE(PlanYear,4,1)),1,0))</f>
        <v>0</v>
      </c>
      <c r="S345">
        <f>IF($N345=0,0,IF(AND($F345&lt;=EOMONTH(DATE(PlanYear,5,1),0),IF(ISNUMBER($G345),$G345,$F345)&gt;=DATE(PlanYear,5,1)),1,0))</f>
        <v>0</v>
      </c>
      <c r="T345">
        <f>IF($N345=0,0,IF(AND($F345&lt;=EOMONTH(DATE(PlanYear,6,1),0),IF(ISNUMBER($G345),$G345,$F345)&gt;=DATE(PlanYear,6,1)),1,0))</f>
        <v>0</v>
      </c>
      <c r="U345">
        <f>IF($N345=0,0,IF(AND($F345&lt;=EOMONTH(DATE(PlanYear,7,1),0),IF(ISNUMBER($G345),$G345,$F345)&gt;=DATE(PlanYear,7,1)),1,0))</f>
        <v>0</v>
      </c>
      <c r="V345">
        <f>IF($N345=0,0,IF(AND($F345&lt;=EOMONTH(DATE(PlanYear,8,1),0),IF(ISNUMBER($G345),$G345,$F345)&gt;=DATE(PlanYear,8,1)),1,0))</f>
        <v>0</v>
      </c>
      <c r="W345">
        <f>IF($N345=0,0,IF(AND($F345&lt;=EOMONTH(DATE(PlanYear,9,1),0),IF(ISNUMBER($G345),$G345,$F345)&gt;=DATE(PlanYear,9,1)),1,0))</f>
        <v>0</v>
      </c>
      <c r="X345">
        <f>IF($N345=0,0,IF(AND($F345&lt;=EOMONTH(DATE(PlanYear,10,1),0),IF(ISNUMBER($G345),$G345,$F345)&gt;=DATE(PlanYear,10,1)),1,0))</f>
        <v>0</v>
      </c>
      <c r="Y345">
        <f>IF($N345=0,0,IF(AND($F345&lt;=EOMONTH(DATE(PlanYear,11,1),0),IF(ISNUMBER($G345),$G345,$F345)&gt;=DATE(PlanYear,11,1)),1,0))</f>
        <v>0</v>
      </c>
      <c r="Z345">
        <f>IF($N345=0,0,IF(AND($F345&lt;=EOMONTH(DATE(PlanYear,12,1),0),IF(ISNUMBER($G345),$G345,$F345)&gt;=DATE(PlanYear,12,1)),1,0))</f>
        <v>0</v>
      </c>
      <c r="AA345">
        <f>SUM($O345:$Z345)</f>
        <v>0</v>
      </c>
    </row>
    <row r="346" spans="1:27">
      <c r="A346" s="42">
        <f>IF($B346="","","ACT-"&amp;TEXT(ROW()-4,"000"))</f>
        <v>0</v>
      </c>
      <c r="M346" s="43">
        <f>IF(COUNTA($B346:$K346)=0,"",IF($B346="","Missing activity name",IF($C346="","Missing practice",IF(COUNTIF(PracticeNames,$C346)=0,"Practice not in Lists",IF($D346="","Missing motion",IF(NOT(ISNUMBER($F346)),"Missing or invalid start date",IF(AND(ISNUMBER($G346),$G346&lt;$F346),"End date before start",IF(AND($N346=1,$AA346=0),"Outside planning year","OK"))))))))</f>
        <v>0</v>
      </c>
      <c r="N346">
        <f>IF(AND($B346&lt;&gt;"",$C346&lt;&gt;"",$D346&lt;&gt;"",ISNUMBER($F346),COUNTIF(PracticeNames,$C346)&gt;0,COUNTIF(MotionNames,$D346)&gt;0,NOT(AND(ISNUMBER($G346),$G346&lt;$F346))),IF(StatusFilter="All (excl. Cancelled)",IF($H346="Cancelled",0,1),IF(StatusFilter="All",1,IF($H346=StatusFilter,1,0))),0)</f>
        <v>0</v>
      </c>
      <c r="O346">
        <f>IF($N346=0,0,IF(AND($F346&lt;=EOMONTH(DATE(PlanYear,1,1),0),IF(ISNUMBER($G346),$G346,$F346)&gt;=DATE(PlanYear,1,1)),1,0))</f>
        <v>0</v>
      </c>
      <c r="P346">
        <f>IF($N346=0,0,IF(AND($F346&lt;=EOMONTH(DATE(PlanYear,2,1),0),IF(ISNUMBER($G346),$G346,$F346)&gt;=DATE(PlanYear,2,1)),1,0))</f>
        <v>0</v>
      </c>
      <c r="Q346">
        <f>IF($N346=0,0,IF(AND($F346&lt;=EOMONTH(DATE(PlanYear,3,1),0),IF(ISNUMBER($G346),$G346,$F346)&gt;=DATE(PlanYear,3,1)),1,0))</f>
        <v>0</v>
      </c>
      <c r="R346">
        <f>IF($N346=0,0,IF(AND($F346&lt;=EOMONTH(DATE(PlanYear,4,1),0),IF(ISNUMBER($G346),$G346,$F346)&gt;=DATE(PlanYear,4,1)),1,0))</f>
        <v>0</v>
      </c>
      <c r="S346">
        <f>IF($N346=0,0,IF(AND($F346&lt;=EOMONTH(DATE(PlanYear,5,1),0),IF(ISNUMBER($G346),$G346,$F346)&gt;=DATE(PlanYear,5,1)),1,0))</f>
        <v>0</v>
      </c>
      <c r="T346">
        <f>IF($N346=0,0,IF(AND($F346&lt;=EOMONTH(DATE(PlanYear,6,1),0),IF(ISNUMBER($G346),$G346,$F346)&gt;=DATE(PlanYear,6,1)),1,0))</f>
        <v>0</v>
      </c>
      <c r="U346">
        <f>IF($N346=0,0,IF(AND($F346&lt;=EOMONTH(DATE(PlanYear,7,1),0),IF(ISNUMBER($G346),$G346,$F346)&gt;=DATE(PlanYear,7,1)),1,0))</f>
        <v>0</v>
      </c>
      <c r="V346">
        <f>IF($N346=0,0,IF(AND($F346&lt;=EOMONTH(DATE(PlanYear,8,1),0),IF(ISNUMBER($G346),$G346,$F346)&gt;=DATE(PlanYear,8,1)),1,0))</f>
        <v>0</v>
      </c>
      <c r="W346">
        <f>IF($N346=0,0,IF(AND($F346&lt;=EOMONTH(DATE(PlanYear,9,1),0),IF(ISNUMBER($G346),$G346,$F346)&gt;=DATE(PlanYear,9,1)),1,0))</f>
        <v>0</v>
      </c>
      <c r="X346">
        <f>IF($N346=0,0,IF(AND($F346&lt;=EOMONTH(DATE(PlanYear,10,1),0),IF(ISNUMBER($G346),$G346,$F346)&gt;=DATE(PlanYear,10,1)),1,0))</f>
        <v>0</v>
      </c>
      <c r="Y346">
        <f>IF($N346=0,0,IF(AND($F346&lt;=EOMONTH(DATE(PlanYear,11,1),0),IF(ISNUMBER($G346),$G346,$F346)&gt;=DATE(PlanYear,11,1)),1,0))</f>
        <v>0</v>
      </c>
      <c r="Z346">
        <f>IF($N346=0,0,IF(AND($F346&lt;=EOMONTH(DATE(PlanYear,12,1),0),IF(ISNUMBER($G346),$G346,$F346)&gt;=DATE(PlanYear,12,1)),1,0))</f>
        <v>0</v>
      </c>
      <c r="AA346">
        <f>SUM($O346:$Z346)</f>
        <v>0</v>
      </c>
    </row>
    <row r="347" spans="1:27">
      <c r="A347" s="42">
        <f>IF($B347="","","ACT-"&amp;TEXT(ROW()-4,"000"))</f>
        <v>0</v>
      </c>
      <c r="M347" s="43">
        <f>IF(COUNTA($B347:$K347)=0,"",IF($B347="","Missing activity name",IF($C347="","Missing practice",IF(COUNTIF(PracticeNames,$C347)=0,"Practice not in Lists",IF($D347="","Missing motion",IF(NOT(ISNUMBER($F347)),"Missing or invalid start date",IF(AND(ISNUMBER($G347),$G347&lt;$F347),"End date before start",IF(AND($N347=1,$AA347=0),"Outside planning year","OK"))))))))</f>
        <v>0</v>
      </c>
      <c r="N347">
        <f>IF(AND($B347&lt;&gt;"",$C347&lt;&gt;"",$D347&lt;&gt;"",ISNUMBER($F347),COUNTIF(PracticeNames,$C347)&gt;0,COUNTIF(MotionNames,$D347)&gt;0,NOT(AND(ISNUMBER($G347),$G347&lt;$F347))),IF(StatusFilter="All (excl. Cancelled)",IF($H347="Cancelled",0,1),IF(StatusFilter="All",1,IF($H347=StatusFilter,1,0))),0)</f>
        <v>0</v>
      </c>
      <c r="O347">
        <f>IF($N347=0,0,IF(AND($F347&lt;=EOMONTH(DATE(PlanYear,1,1),0),IF(ISNUMBER($G347),$G347,$F347)&gt;=DATE(PlanYear,1,1)),1,0))</f>
        <v>0</v>
      </c>
      <c r="P347">
        <f>IF($N347=0,0,IF(AND($F347&lt;=EOMONTH(DATE(PlanYear,2,1),0),IF(ISNUMBER($G347),$G347,$F347)&gt;=DATE(PlanYear,2,1)),1,0))</f>
        <v>0</v>
      </c>
      <c r="Q347">
        <f>IF($N347=0,0,IF(AND($F347&lt;=EOMONTH(DATE(PlanYear,3,1),0),IF(ISNUMBER($G347),$G347,$F347)&gt;=DATE(PlanYear,3,1)),1,0))</f>
        <v>0</v>
      </c>
      <c r="R347">
        <f>IF($N347=0,0,IF(AND($F347&lt;=EOMONTH(DATE(PlanYear,4,1),0),IF(ISNUMBER($G347),$G347,$F347)&gt;=DATE(PlanYear,4,1)),1,0))</f>
        <v>0</v>
      </c>
      <c r="S347">
        <f>IF($N347=0,0,IF(AND($F347&lt;=EOMONTH(DATE(PlanYear,5,1),0),IF(ISNUMBER($G347),$G347,$F347)&gt;=DATE(PlanYear,5,1)),1,0))</f>
        <v>0</v>
      </c>
      <c r="T347">
        <f>IF($N347=0,0,IF(AND($F347&lt;=EOMONTH(DATE(PlanYear,6,1),0),IF(ISNUMBER($G347),$G347,$F347)&gt;=DATE(PlanYear,6,1)),1,0))</f>
        <v>0</v>
      </c>
      <c r="U347">
        <f>IF($N347=0,0,IF(AND($F347&lt;=EOMONTH(DATE(PlanYear,7,1),0),IF(ISNUMBER($G347),$G347,$F347)&gt;=DATE(PlanYear,7,1)),1,0))</f>
        <v>0</v>
      </c>
      <c r="V347">
        <f>IF($N347=0,0,IF(AND($F347&lt;=EOMONTH(DATE(PlanYear,8,1),0),IF(ISNUMBER($G347),$G347,$F347)&gt;=DATE(PlanYear,8,1)),1,0))</f>
        <v>0</v>
      </c>
      <c r="W347">
        <f>IF($N347=0,0,IF(AND($F347&lt;=EOMONTH(DATE(PlanYear,9,1),0),IF(ISNUMBER($G347),$G347,$F347)&gt;=DATE(PlanYear,9,1)),1,0))</f>
        <v>0</v>
      </c>
      <c r="X347">
        <f>IF($N347=0,0,IF(AND($F347&lt;=EOMONTH(DATE(PlanYear,10,1),0),IF(ISNUMBER($G347),$G347,$F347)&gt;=DATE(PlanYear,10,1)),1,0))</f>
        <v>0</v>
      </c>
      <c r="Y347">
        <f>IF($N347=0,0,IF(AND($F347&lt;=EOMONTH(DATE(PlanYear,11,1),0),IF(ISNUMBER($G347),$G347,$F347)&gt;=DATE(PlanYear,11,1)),1,0))</f>
        <v>0</v>
      </c>
      <c r="Z347">
        <f>IF($N347=0,0,IF(AND($F347&lt;=EOMONTH(DATE(PlanYear,12,1),0),IF(ISNUMBER($G347),$G347,$F347)&gt;=DATE(PlanYear,12,1)),1,0))</f>
        <v>0</v>
      </c>
      <c r="AA347">
        <f>SUM($O347:$Z347)</f>
        <v>0</v>
      </c>
    </row>
    <row r="348" spans="1:27">
      <c r="A348" s="42">
        <f>IF($B348="","","ACT-"&amp;TEXT(ROW()-4,"000"))</f>
        <v>0</v>
      </c>
      <c r="M348" s="43">
        <f>IF(COUNTA($B348:$K348)=0,"",IF($B348="","Missing activity name",IF($C348="","Missing practice",IF(COUNTIF(PracticeNames,$C348)=0,"Practice not in Lists",IF($D348="","Missing motion",IF(NOT(ISNUMBER($F348)),"Missing or invalid start date",IF(AND(ISNUMBER($G348),$G348&lt;$F348),"End date before start",IF(AND($N348=1,$AA348=0),"Outside planning year","OK"))))))))</f>
        <v>0</v>
      </c>
      <c r="N348">
        <f>IF(AND($B348&lt;&gt;"",$C348&lt;&gt;"",$D348&lt;&gt;"",ISNUMBER($F348),COUNTIF(PracticeNames,$C348)&gt;0,COUNTIF(MotionNames,$D348)&gt;0,NOT(AND(ISNUMBER($G348),$G348&lt;$F348))),IF(StatusFilter="All (excl. Cancelled)",IF($H348="Cancelled",0,1),IF(StatusFilter="All",1,IF($H348=StatusFilter,1,0))),0)</f>
        <v>0</v>
      </c>
      <c r="O348">
        <f>IF($N348=0,0,IF(AND($F348&lt;=EOMONTH(DATE(PlanYear,1,1),0),IF(ISNUMBER($G348),$G348,$F348)&gt;=DATE(PlanYear,1,1)),1,0))</f>
        <v>0</v>
      </c>
      <c r="P348">
        <f>IF($N348=0,0,IF(AND($F348&lt;=EOMONTH(DATE(PlanYear,2,1),0),IF(ISNUMBER($G348),$G348,$F348)&gt;=DATE(PlanYear,2,1)),1,0))</f>
        <v>0</v>
      </c>
      <c r="Q348">
        <f>IF($N348=0,0,IF(AND($F348&lt;=EOMONTH(DATE(PlanYear,3,1),0),IF(ISNUMBER($G348),$G348,$F348)&gt;=DATE(PlanYear,3,1)),1,0))</f>
        <v>0</v>
      </c>
      <c r="R348">
        <f>IF($N348=0,0,IF(AND($F348&lt;=EOMONTH(DATE(PlanYear,4,1),0),IF(ISNUMBER($G348),$G348,$F348)&gt;=DATE(PlanYear,4,1)),1,0))</f>
        <v>0</v>
      </c>
      <c r="S348">
        <f>IF($N348=0,0,IF(AND($F348&lt;=EOMONTH(DATE(PlanYear,5,1),0),IF(ISNUMBER($G348),$G348,$F348)&gt;=DATE(PlanYear,5,1)),1,0))</f>
        <v>0</v>
      </c>
      <c r="T348">
        <f>IF($N348=0,0,IF(AND($F348&lt;=EOMONTH(DATE(PlanYear,6,1),0),IF(ISNUMBER($G348),$G348,$F348)&gt;=DATE(PlanYear,6,1)),1,0))</f>
        <v>0</v>
      </c>
      <c r="U348">
        <f>IF($N348=0,0,IF(AND($F348&lt;=EOMONTH(DATE(PlanYear,7,1),0),IF(ISNUMBER($G348),$G348,$F348)&gt;=DATE(PlanYear,7,1)),1,0))</f>
        <v>0</v>
      </c>
      <c r="V348">
        <f>IF($N348=0,0,IF(AND($F348&lt;=EOMONTH(DATE(PlanYear,8,1),0),IF(ISNUMBER($G348),$G348,$F348)&gt;=DATE(PlanYear,8,1)),1,0))</f>
        <v>0</v>
      </c>
      <c r="W348">
        <f>IF($N348=0,0,IF(AND($F348&lt;=EOMONTH(DATE(PlanYear,9,1),0),IF(ISNUMBER($G348),$G348,$F348)&gt;=DATE(PlanYear,9,1)),1,0))</f>
        <v>0</v>
      </c>
      <c r="X348">
        <f>IF($N348=0,0,IF(AND($F348&lt;=EOMONTH(DATE(PlanYear,10,1),0),IF(ISNUMBER($G348),$G348,$F348)&gt;=DATE(PlanYear,10,1)),1,0))</f>
        <v>0</v>
      </c>
      <c r="Y348">
        <f>IF($N348=0,0,IF(AND($F348&lt;=EOMONTH(DATE(PlanYear,11,1),0),IF(ISNUMBER($G348),$G348,$F348)&gt;=DATE(PlanYear,11,1)),1,0))</f>
        <v>0</v>
      </c>
      <c r="Z348">
        <f>IF($N348=0,0,IF(AND($F348&lt;=EOMONTH(DATE(PlanYear,12,1),0),IF(ISNUMBER($G348),$G348,$F348)&gt;=DATE(PlanYear,12,1)),1,0))</f>
        <v>0</v>
      </c>
      <c r="AA348">
        <f>SUM($O348:$Z348)</f>
        <v>0</v>
      </c>
    </row>
    <row r="349" spans="1:27">
      <c r="A349" s="42">
        <f>IF($B349="","","ACT-"&amp;TEXT(ROW()-4,"000"))</f>
        <v>0</v>
      </c>
      <c r="M349" s="43">
        <f>IF(COUNTA($B349:$K349)=0,"",IF($B349="","Missing activity name",IF($C349="","Missing practice",IF(COUNTIF(PracticeNames,$C349)=0,"Practice not in Lists",IF($D349="","Missing motion",IF(NOT(ISNUMBER($F349)),"Missing or invalid start date",IF(AND(ISNUMBER($G349),$G349&lt;$F349),"End date before start",IF(AND($N349=1,$AA349=0),"Outside planning year","OK"))))))))</f>
        <v>0</v>
      </c>
      <c r="N349">
        <f>IF(AND($B349&lt;&gt;"",$C349&lt;&gt;"",$D349&lt;&gt;"",ISNUMBER($F349),COUNTIF(PracticeNames,$C349)&gt;0,COUNTIF(MotionNames,$D349)&gt;0,NOT(AND(ISNUMBER($G349),$G349&lt;$F349))),IF(StatusFilter="All (excl. Cancelled)",IF($H349="Cancelled",0,1),IF(StatusFilter="All",1,IF($H349=StatusFilter,1,0))),0)</f>
        <v>0</v>
      </c>
      <c r="O349">
        <f>IF($N349=0,0,IF(AND($F349&lt;=EOMONTH(DATE(PlanYear,1,1),0),IF(ISNUMBER($G349),$G349,$F349)&gt;=DATE(PlanYear,1,1)),1,0))</f>
        <v>0</v>
      </c>
      <c r="P349">
        <f>IF($N349=0,0,IF(AND($F349&lt;=EOMONTH(DATE(PlanYear,2,1),0),IF(ISNUMBER($G349),$G349,$F349)&gt;=DATE(PlanYear,2,1)),1,0))</f>
        <v>0</v>
      </c>
      <c r="Q349">
        <f>IF($N349=0,0,IF(AND($F349&lt;=EOMONTH(DATE(PlanYear,3,1),0),IF(ISNUMBER($G349),$G349,$F349)&gt;=DATE(PlanYear,3,1)),1,0))</f>
        <v>0</v>
      </c>
      <c r="R349">
        <f>IF($N349=0,0,IF(AND($F349&lt;=EOMONTH(DATE(PlanYear,4,1),0),IF(ISNUMBER($G349),$G349,$F349)&gt;=DATE(PlanYear,4,1)),1,0))</f>
        <v>0</v>
      </c>
      <c r="S349">
        <f>IF($N349=0,0,IF(AND($F349&lt;=EOMONTH(DATE(PlanYear,5,1),0),IF(ISNUMBER($G349),$G349,$F349)&gt;=DATE(PlanYear,5,1)),1,0))</f>
        <v>0</v>
      </c>
      <c r="T349">
        <f>IF($N349=0,0,IF(AND($F349&lt;=EOMONTH(DATE(PlanYear,6,1),0),IF(ISNUMBER($G349),$G349,$F349)&gt;=DATE(PlanYear,6,1)),1,0))</f>
        <v>0</v>
      </c>
      <c r="U349">
        <f>IF($N349=0,0,IF(AND($F349&lt;=EOMONTH(DATE(PlanYear,7,1),0),IF(ISNUMBER($G349),$G349,$F349)&gt;=DATE(PlanYear,7,1)),1,0))</f>
        <v>0</v>
      </c>
      <c r="V349">
        <f>IF($N349=0,0,IF(AND($F349&lt;=EOMONTH(DATE(PlanYear,8,1),0),IF(ISNUMBER($G349),$G349,$F349)&gt;=DATE(PlanYear,8,1)),1,0))</f>
        <v>0</v>
      </c>
      <c r="W349">
        <f>IF($N349=0,0,IF(AND($F349&lt;=EOMONTH(DATE(PlanYear,9,1),0),IF(ISNUMBER($G349),$G349,$F349)&gt;=DATE(PlanYear,9,1)),1,0))</f>
        <v>0</v>
      </c>
      <c r="X349">
        <f>IF($N349=0,0,IF(AND($F349&lt;=EOMONTH(DATE(PlanYear,10,1),0),IF(ISNUMBER($G349),$G349,$F349)&gt;=DATE(PlanYear,10,1)),1,0))</f>
        <v>0</v>
      </c>
      <c r="Y349">
        <f>IF($N349=0,0,IF(AND($F349&lt;=EOMONTH(DATE(PlanYear,11,1),0),IF(ISNUMBER($G349),$G349,$F349)&gt;=DATE(PlanYear,11,1)),1,0))</f>
        <v>0</v>
      </c>
      <c r="Z349">
        <f>IF($N349=0,0,IF(AND($F349&lt;=EOMONTH(DATE(PlanYear,12,1),0),IF(ISNUMBER($G349),$G349,$F349)&gt;=DATE(PlanYear,12,1)),1,0))</f>
        <v>0</v>
      </c>
      <c r="AA349">
        <f>SUM($O349:$Z349)</f>
        <v>0</v>
      </c>
    </row>
    <row r="350" spans="1:27">
      <c r="A350" s="42">
        <f>IF($B350="","","ACT-"&amp;TEXT(ROW()-4,"000"))</f>
        <v>0</v>
      </c>
      <c r="M350" s="43">
        <f>IF(COUNTA($B350:$K350)=0,"",IF($B350="","Missing activity name",IF($C350="","Missing practice",IF(COUNTIF(PracticeNames,$C350)=0,"Practice not in Lists",IF($D350="","Missing motion",IF(NOT(ISNUMBER($F350)),"Missing or invalid start date",IF(AND(ISNUMBER($G350),$G350&lt;$F350),"End date before start",IF(AND($N350=1,$AA350=0),"Outside planning year","OK"))))))))</f>
        <v>0</v>
      </c>
      <c r="N350">
        <f>IF(AND($B350&lt;&gt;"",$C350&lt;&gt;"",$D350&lt;&gt;"",ISNUMBER($F350),COUNTIF(PracticeNames,$C350)&gt;0,COUNTIF(MotionNames,$D350)&gt;0,NOT(AND(ISNUMBER($G350),$G350&lt;$F350))),IF(StatusFilter="All (excl. Cancelled)",IF($H350="Cancelled",0,1),IF(StatusFilter="All",1,IF($H350=StatusFilter,1,0))),0)</f>
        <v>0</v>
      </c>
      <c r="O350">
        <f>IF($N350=0,0,IF(AND($F350&lt;=EOMONTH(DATE(PlanYear,1,1),0),IF(ISNUMBER($G350),$G350,$F350)&gt;=DATE(PlanYear,1,1)),1,0))</f>
        <v>0</v>
      </c>
      <c r="P350">
        <f>IF($N350=0,0,IF(AND($F350&lt;=EOMONTH(DATE(PlanYear,2,1),0),IF(ISNUMBER($G350),$G350,$F350)&gt;=DATE(PlanYear,2,1)),1,0))</f>
        <v>0</v>
      </c>
      <c r="Q350">
        <f>IF($N350=0,0,IF(AND($F350&lt;=EOMONTH(DATE(PlanYear,3,1),0),IF(ISNUMBER($G350),$G350,$F350)&gt;=DATE(PlanYear,3,1)),1,0))</f>
        <v>0</v>
      </c>
      <c r="R350">
        <f>IF($N350=0,0,IF(AND($F350&lt;=EOMONTH(DATE(PlanYear,4,1),0),IF(ISNUMBER($G350),$G350,$F350)&gt;=DATE(PlanYear,4,1)),1,0))</f>
        <v>0</v>
      </c>
      <c r="S350">
        <f>IF($N350=0,0,IF(AND($F350&lt;=EOMONTH(DATE(PlanYear,5,1),0),IF(ISNUMBER($G350),$G350,$F350)&gt;=DATE(PlanYear,5,1)),1,0))</f>
        <v>0</v>
      </c>
      <c r="T350">
        <f>IF($N350=0,0,IF(AND($F350&lt;=EOMONTH(DATE(PlanYear,6,1),0),IF(ISNUMBER($G350),$G350,$F350)&gt;=DATE(PlanYear,6,1)),1,0))</f>
        <v>0</v>
      </c>
      <c r="U350">
        <f>IF($N350=0,0,IF(AND($F350&lt;=EOMONTH(DATE(PlanYear,7,1),0),IF(ISNUMBER($G350),$G350,$F350)&gt;=DATE(PlanYear,7,1)),1,0))</f>
        <v>0</v>
      </c>
      <c r="V350">
        <f>IF($N350=0,0,IF(AND($F350&lt;=EOMONTH(DATE(PlanYear,8,1),0),IF(ISNUMBER($G350),$G350,$F350)&gt;=DATE(PlanYear,8,1)),1,0))</f>
        <v>0</v>
      </c>
      <c r="W350">
        <f>IF($N350=0,0,IF(AND($F350&lt;=EOMONTH(DATE(PlanYear,9,1),0),IF(ISNUMBER($G350),$G350,$F350)&gt;=DATE(PlanYear,9,1)),1,0))</f>
        <v>0</v>
      </c>
      <c r="X350">
        <f>IF($N350=0,0,IF(AND($F350&lt;=EOMONTH(DATE(PlanYear,10,1),0),IF(ISNUMBER($G350),$G350,$F350)&gt;=DATE(PlanYear,10,1)),1,0))</f>
        <v>0</v>
      </c>
      <c r="Y350">
        <f>IF($N350=0,0,IF(AND($F350&lt;=EOMONTH(DATE(PlanYear,11,1),0),IF(ISNUMBER($G350),$G350,$F350)&gt;=DATE(PlanYear,11,1)),1,0))</f>
        <v>0</v>
      </c>
      <c r="Z350">
        <f>IF($N350=0,0,IF(AND($F350&lt;=EOMONTH(DATE(PlanYear,12,1),0),IF(ISNUMBER($G350),$G350,$F350)&gt;=DATE(PlanYear,12,1)),1,0))</f>
        <v>0</v>
      </c>
      <c r="AA350">
        <f>SUM($O350:$Z350)</f>
        <v>0</v>
      </c>
    </row>
    <row r="351" spans="1:27">
      <c r="A351" s="42">
        <f>IF($B351="","","ACT-"&amp;TEXT(ROW()-4,"000"))</f>
        <v>0</v>
      </c>
      <c r="M351" s="43">
        <f>IF(COUNTA($B351:$K351)=0,"",IF($B351="","Missing activity name",IF($C351="","Missing practice",IF(COUNTIF(PracticeNames,$C351)=0,"Practice not in Lists",IF($D351="","Missing motion",IF(NOT(ISNUMBER($F351)),"Missing or invalid start date",IF(AND(ISNUMBER($G351),$G351&lt;$F351),"End date before start",IF(AND($N351=1,$AA351=0),"Outside planning year","OK"))))))))</f>
        <v>0</v>
      </c>
      <c r="N351">
        <f>IF(AND($B351&lt;&gt;"",$C351&lt;&gt;"",$D351&lt;&gt;"",ISNUMBER($F351),COUNTIF(PracticeNames,$C351)&gt;0,COUNTIF(MotionNames,$D351)&gt;0,NOT(AND(ISNUMBER($G351),$G351&lt;$F351))),IF(StatusFilter="All (excl. Cancelled)",IF($H351="Cancelled",0,1),IF(StatusFilter="All",1,IF($H351=StatusFilter,1,0))),0)</f>
        <v>0</v>
      </c>
      <c r="O351">
        <f>IF($N351=0,0,IF(AND($F351&lt;=EOMONTH(DATE(PlanYear,1,1),0),IF(ISNUMBER($G351),$G351,$F351)&gt;=DATE(PlanYear,1,1)),1,0))</f>
        <v>0</v>
      </c>
      <c r="P351">
        <f>IF($N351=0,0,IF(AND($F351&lt;=EOMONTH(DATE(PlanYear,2,1),0),IF(ISNUMBER($G351),$G351,$F351)&gt;=DATE(PlanYear,2,1)),1,0))</f>
        <v>0</v>
      </c>
      <c r="Q351">
        <f>IF($N351=0,0,IF(AND($F351&lt;=EOMONTH(DATE(PlanYear,3,1),0),IF(ISNUMBER($G351),$G351,$F351)&gt;=DATE(PlanYear,3,1)),1,0))</f>
        <v>0</v>
      </c>
      <c r="R351">
        <f>IF($N351=0,0,IF(AND($F351&lt;=EOMONTH(DATE(PlanYear,4,1),0),IF(ISNUMBER($G351),$G351,$F351)&gt;=DATE(PlanYear,4,1)),1,0))</f>
        <v>0</v>
      </c>
      <c r="S351">
        <f>IF($N351=0,0,IF(AND($F351&lt;=EOMONTH(DATE(PlanYear,5,1),0),IF(ISNUMBER($G351),$G351,$F351)&gt;=DATE(PlanYear,5,1)),1,0))</f>
        <v>0</v>
      </c>
      <c r="T351">
        <f>IF($N351=0,0,IF(AND($F351&lt;=EOMONTH(DATE(PlanYear,6,1),0),IF(ISNUMBER($G351),$G351,$F351)&gt;=DATE(PlanYear,6,1)),1,0))</f>
        <v>0</v>
      </c>
      <c r="U351">
        <f>IF($N351=0,0,IF(AND($F351&lt;=EOMONTH(DATE(PlanYear,7,1),0),IF(ISNUMBER($G351),$G351,$F351)&gt;=DATE(PlanYear,7,1)),1,0))</f>
        <v>0</v>
      </c>
      <c r="V351">
        <f>IF($N351=0,0,IF(AND($F351&lt;=EOMONTH(DATE(PlanYear,8,1),0),IF(ISNUMBER($G351),$G351,$F351)&gt;=DATE(PlanYear,8,1)),1,0))</f>
        <v>0</v>
      </c>
      <c r="W351">
        <f>IF($N351=0,0,IF(AND($F351&lt;=EOMONTH(DATE(PlanYear,9,1),0),IF(ISNUMBER($G351),$G351,$F351)&gt;=DATE(PlanYear,9,1)),1,0))</f>
        <v>0</v>
      </c>
      <c r="X351">
        <f>IF($N351=0,0,IF(AND($F351&lt;=EOMONTH(DATE(PlanYear,10,1),0),IF(ISNUMBER($G351),$G351,$F351)&gt;=DATE(PlanYear,10,1)),1,0))</f>
        <v>0</v>
      </c>
      <c r="Y351">
        <f>IF($N351=0,0,IF(AND($F351&lt;=EOMONTH(DATE(PlanYear,11,1),0),IF(ISNUMBER($G351),$G351,$F351)&gt;=DATE(PlanYear,11,1)),1,0))</f>
        <v>0</v>
      </c>
      <c r="Z351">
        <f>IF($N351=0,0,IF(AND($F351&lt;=EOMONTH(DATE(PlanYear,12,1),0),IF(ISNUMBER($G351),$G351,$F351)&gt;=DATE(PlanYear,12,1)),1,0))</f>
        <v>0</v>
      </c>
      <c r="AA351">
        <f>SUM($O351:$Z351)</f>
        <v>0</v>
      </c>
    </row>
    <row r="352" spans="1:27">
      <c r="A352" s="42">
        <f>IF($B352="","","ACT-"&amp;TEXT(ROW()-4,"000"))</f>
        <v>0</v>
      </c>
      <c r="M352" s="43">
        <f>IF(COUNTA($B352:$K352)=0,"",IF($B352="","Missing activity name",IF($C352="","Missing practice",IF(COUNTIF(PracticeNames,$C352)=0,"Practice not in Lists",IF($D352="","Missing motion",IF(NOT(ISNUMBER($F352)),"Missing or invalid start date",IF(AND(ISNUMBER($G352),$G352&lt;$F352),"End date before start",IF(AND($N352=1,$AA352=0),"Outside planning year","OK"))))))))</f>
        <v>0</v>
      </c>
      <c r="N352">
        <f>IF(AND($B352&lt;&gt;"",$C352&lt;&gt;"",$D352&lt;&gt;"",ISNUMBER($F352),COUNTIF(PracticeNames,$C352)&gt;0,COUNTIF(MotionNames,$D352)&gt;0,NOT(AND(ISNUMBER($G352),$G352&lt;$F352))),IF(StatusFilter="All (excl. Cancelled)",IF($H352="Cancelled",0,1),IF(StatusFilter="All",1,IF($H352=StatusFilter,1,0))),0)</f>
        <v>0</v>
      </c>
      <c r="O352">
        <f>IF($N352=0,0,IF(AND($F352&lt;=EOMONTH(DATE(PlanYear,1,1),0),IF(ISNUMBER($G352),$G352,$F352)&gt;=DATE(PlanYear,1,1)),1,0))</f>
        <v>0</v>
      </c>
      <c r="P352">
        <f>IF($N352=0,0,IF(AND($F352&lt;=EOMONTH(DATE(PlanYear,2,1),0),IF(ISNUMBER($G352),$G352,$F352)&gt;=DATE(PlanYear,2,1)),1,0))</f>
        <v>0</v>
      </c>
      <c r="Q352">
        <f>IF($N352=0,0,IF(AND($F352&lt;=EOMONTH(DATE(PlanYear,3,1),0),IF(ISNUMBER($G352),$G352,$F352)&gt;=DATE(PlanYear,3,1)),1,0))</f>
        <v>0</v>
      </c>
      <c r="R352">
        <f>IF($N352=0,0,IF(AND($F352&lt;=EOMONTH(DATE(PlanYear,4,1),0),IF(ISNUMBER($G352),$G352,$F352)&gt;=DATE(PlanYear,4,1)),1,0))</f>
        <v>0</v>
      </c>
      <c r="S352">
        <f>IF($N352=0,0,IF(AND($F352&lt;=EOMONTH(DATE(PlanYear,5,1),0),IF(ISNUMBER($G352),$G352,$F352)&gt;=DATE(PlanYear,5,1)),1,0))</f>
        <v>0</v>
      </c>
      <c r="T352">
        <f>IF($N352=0,0,IF(AND($F352&lt;=EOMONTH(DATE(PlanYear,6,1),0),IF(ISNUMBER($G352),$G352,$F352)&gt;=DATE(PlanYear,6,1)),1,0))</f>
        <v>0</v>
      </c>
      <c r="U352">
        <f>IF($N352=0,0,IF(AND($F352&lt;=EOMONTH(DATE(PlanYear,7,1),0),IF(ISNUMBER($G352),$G352,$F352)&gt;=DATE(PlanYear,7,1)),1,0))</f>
        <v>0</v>
      </c>
      <c r="V352">
        <f>IF($N352=0,0,IF(AND($F352&lt;=EOMONTH(DATE(PlanYear,8,1),0),IF(ISNUMBER($G352),$G352,$F352)&gt;=DATE(PlanYear,8,1)),1,0))</f>
        <v>0</v>
      </c>
      <c r="W352">
        <f>IF($N352=0,0,IF(AND($F352&lt;=EOMONTH(DATE(PlanYear,9,1),0),IF(ISNUMBER($G352),$G352,$F352)&gt;=DATE(PlanYear,9,1)),1,0))</f>
        <v>0</v>
      </c>
      <c r="X352">
        <f>IF($N352=0,0,IF(AND($F352&lt;=EOMONTH(DATE(PlanYear,10,1),0),IF(ISNUMBER($G352),$G352,$F352)&gt;=DATE(PlanYear,10,1)),1,0))</f>
        <v>0</v>
      </c>
      <c r="Y352">
        <f>IF($N352=0,0,IF(AND($F352&lt;=EOMONTH(DATE(PlanYear,11,1),0),IF(ISNUMBER($G352),$G352,$F352)&gt;=DATE(PlanYear,11,1)),1,0))</f>
        <v>0</v>
      </c>
      <c r="Z352">
        <f>IF($N352=0,0,IF(AND($F352&lt;=EOMONTH(DATE(PlanYear,12,1),0),IF(ISNUMBER($G352),$G352,$F352)&gt;=DATE(PlanYear,12,1)),1,0))</f>
        <v>0</v>
      </c>
      <c r="AA352">
        <f>SUM($O352:$Z352)</f>
        <v>0</v>
      </c>
    </row>
    <row r="353" spans="1:27">
      <c r="A353" s="42">
        <f>IF($B353="","","ACT-"&amp;TEXT(ROW()-4,"000"))</f>
        <v>0</v>
      </c>
      <c r="M353" s="43">
        <f>IF(COUNTA($B353:$K353)=0,"",IF($B353="","Missing activity name",IF($C353="","Missing practice",IF(COUNTIF(PracticeNames,$C353)=0,"Practice not in Lists",IF($D353="","Missing motion",IF(NOT(ISNUMBER($F353)),"Missing or invalid start date",IF(AND(ISNUMBER($G353),$G353&lt;$F353),"End date before start",IF(AND($N353=1,$AA353=0),"Outside planning year","OK"))))))))</f>
        <v>0</v>
      </c>
      <c r="N353">
        <f>IF(AND($B353&lt;&gt;"",$C353&lt;&gt;"",$D353&lt;&gt;"",ISNUMBER($F353),COUNTIF(PracticeNames,$C353)&gt;0,COUNTIF(MotionNames,$D353)&gt;0,NOT(AND(ISNUMBER($G353),$G353&lt;$F353))),IF(StatusFilter="All (excl. Cancelled)",IF($H353="Cancelled",0,1),IF(StatusFilter="All",1,IF($H353=StatusFilter,1,0))),0)</f>
        <v>0</v>
      </c>
      <c r="O353">
        <f>IF($N353=0,0,IF(AND($F353&lt;=EOMONTH(DATE(PlanYear,1,1),0),IF(ISNUMBER($G353),$G353,$F353)&gt;=DATE(PlanYear,1,1)),1,0))</f>
        <v>0</v>
      </c>
      <c r="P353">
        <f>IF($N353=0,0,IF(AND($F353&lt;=EOMONTH(DATE(PlanYear,2,1),0),IF(ISNUMBER($G353),$G353,$F353)&gt;=DATE(PlanYear,2,1)),1,0))</f>
        <v>0</v>
      </c>
      <c r="Q353">
        <f>IF($N353=0,0,IF(AND($F353&lt;=EOMONTH(DATE(PlanYear,3,1),0),IF(ISNUMBER($G353),$G353,$F353)&gt;=DATE(PlanYear,3,1)),1,0))</f>
        <v>0</v>
      </c>
      <c r="R353">
        <f>IF($N353=0,0,IF(AND($F353&lt;=EOMONTH(DATE(PlanYear,4,1),0),IF(ISNUMBER($G353),$G353,$F353)&gt;=DATE(PlanYear,4,1)),1,0))</f>
        <v>0</v>
      </c>
      <c r="S353">
        <f>IF($N353=0,0,IF(AND($F353&lt;=EOMONTH(DATE(PlanYear,5,1),0),IF(ISNUMBER($G353),$G353,$F353)&gt;=DATE(PlanYear,5,1)),1,0))</f>
        <v>0</v>
      </c>
      <c r="T353">
        <f>IF($N353=0,0,IF(AND($F353&lt;=EOMONTH(DATE(PlanYear,6,1),0),IF(ISNUMBER($G353),$G353,$F353)&gt;=DATE(PlanYear,6,1)),1,0))</f>
        <v>0</v>
      </c>
      <c r="U353">
        <f>IF($N353=0,0,IF(AND($F353&lt;=EOMONTH(DATE(PlanYear,7,1),0),IF(ISNUMBER($G353),$G353,$F353)&gt;=DATE(PlanYear,7,1)),1,0))</f>
        <v>0</v>
      </c>
      <c r="V353">
        <f>IF($N353=0,0,IF(AND($F353&lt;=EOMONTH(DATE(PlanYear,8,1),0),IF(ISNUMBER($G353),$G353,$F353)&gt;=DATE(PlanYear,8,1)),1,0))</f>
        <v>0</v>
      </c>
      <c r="W353">
        <f>IF($N353=0,0,IF(AND($F353&lt;=EOMONTH(DATE(PlanYear,9,1),0),IF(ISNUMBER($G353),$G353,$F353)&gt;=DATE(PlanYear,9,1)),1,0))</f>
        <v>0</v>
      </c>
      <c r="X353">
        <f>IF($N353=0,0,IF(AND($F353&lt;=EOMONTH(DATE(PlanYear,10,1),0),IF(ISNUMBER($G353),$G353,$F353)&gt;=DATE(PlanYear,10,1)),1,0))</f>
        <v>0</v>
      </c>
      <c r="Y353">
        <f>IF($N353=0,0,IF(AND($F353&lt;=EOMONTH(DATE(PlanYear,11,1),0),IF(ISNUMBER($G353),$G353,$F353)&gt;=DATE(PlanYear,11,1)),1,0))</f>
        <v>0</v>
      </c>
      <c r="Z353">
        <f>IF($N353=0,0,IF(AND($F353&lt;=EOMONTH(DATE(PlanYear,12,1),0),IF(ISNUMBER($G353),$G353,$F353)&gt;=DATE(PlanYear,12,1)),1,0))</f>
        <v>0</v>
      </c>
      <c r="AA353">
        <f>SUM($O353:$Z353)</f>
        <v>0</v>
      </c>
    </row>
    <row r="354" spans="1:27">
      <c r="A354" s="42">
        <f>IF($B354="","","ACT-"&amp;TEXT(ROW()-4,"000"))</f>
        <v>0</v>
      </c>
      <c r="M354" s="43">
        <f>IF(COUNTA($B354:$K354)=0,"",IF($B354="","Missing activity name",IF($C354="","Missing practice",IF(COUNTIF(PracticeNames,$C354)=0,"Practice not in Lists",IF($D354="","Missing motion",IF(NOT(ISNUMBER($F354)),"Missing or invalid start date",IF(AND(ISNUMBER($G354),$G354&lt;$F354),"End date before start",IF(AND($N354=1,$AA354=0),"Outside planning year","OK"))))))))</f>
        <v>0</v>
      </c>
      <c r="N354">
        <f>IF(AND($B354&lt;&gt;"",$C354&lt;&gt;"",$D354&lt;&gt;"",ISNUMBER($F354),COUNTIF(PracticeNames,$C354)&gt;0,COUNTIF(MotionNames,$D354)&gt;0,NOT(AND(ISNUMBER($G354),$G354&lt;$F354))),IF(StatusFilter="All (excl. Cancelled)",IF($H354="Cancelled",0,1),IF(StatusFilter="All",1,IF($H354=StatusFilter,1,0))),0)</f>
        <v>0</v>
      </c>
      <c r="O354">
        <f>IF($N354=0,0,IF(AND($F354&lt;=EOMONTH(DATE(PlanYear,1,1),0),IF(ISNUMBER($G354),$G354,$F354)&gt;=DATE(PlanYear,1,1)),1,0))</f>
        <v>0</v>
      </c>
      <c r="P354">
        <f>IF($N354=0,0,IF(AND($F354&lt;=EOMONTH(DATE(PlanYear,2,1),0),IF(ISNUMBER($G354),$G354,$F354)&gt;=DATE(PlanYear,2,1)),1,0))</f>
        <v>0</v>
      </c>
      <c r="Q354">
        <f>IF($N354=0,0,IF(AND($F354&lt;=EOMONTH(DATE(PlanYear,3,1),0),IF(ISNUMBER($G354),$G354,$F354)&gt;=DATE(PlanYear,3,1)),1,0))</f>
        <v>0</v>
      </c>
      <c r="R354">
        <f>IF($N354=0,0,IF(AND($F354&lt;=EOMONTH(DATE(PlanYear,4,1),0),IF(ISNUMBER($G354),$G354,$F354)&gt;=DATE(PlanYear,4,1)),1,0))</f>
        <v>0</v>
      </c>
      <c r="S354">
        <f>IF($N354=0,0,IF(AND($F354&lt;=EOMONTH(DATE(PlanYear,5,1),0),IF(ISNUMBER($G354),$G354,$F354)&gt;=DATE(PlanYear,5,1)),1,0))</f>
        <v>0</v>
      </c>
      <c r="T354">
        <f>IF($N354=0,0,IF(AND($F354&lt;=EOMONTH(DATE(PlanYear,6,1),0),IF(ISNUMBER($G354),$G354,$F354)&gt;=DATE(PlanYear,6,1)),1,0))</f>
        <v>0</v>
      </c>
      <c r="U354">
        <f>IF($N354=0,0,IF(AND($F354&lt;=EOMONTH(DATE(PlanYear,7,1),0),IF(ISNUMBER($G354),$G354,$F354)&gt;=DATE(PlanYear,7,1)),1,0))</f>
        <v>0</v>
      </c>
      <c r="V354">
        <f>IF($N354=0,0,IF(AND($F354&lt;=EOMONTH(DATE(PlanYear,8,1),0),IF(ISNUMBER($G354),$G354,$F354)&gt;=DATE(PlanYear,8,1)),1,0))</f>
        <v>0</v>
      </c>
      <c r="W354">
        <f>IF($N354=0,0,IF(AND($F354&lt;=EOMONTH(DATE(PlanYear,9,1),0),IF(ISNUMBER($G354),$G354,$F354)&gt;=DATE(PlanYear,9,1)),1,0))</f>
        <v>0</v>
      </c>
      <c r="X354">
        <f>IF($N354=0,0,IF(AND($F354&lt;=EOMONTH(DATE(PlanYear,10,1),0),IF(ISNUMBER($G354),$G354,$F354)&gt;=DATE(PlanYear,10,1)),1,0))</f>
        <v>0</v>
      </c>
      <c r="Y354">
        <f>IF($N354=0,0,IF(AND($F354&lt;=EOMONTH(DATE(PlanYear,11,1),0),IF(ISNUMBER($G354),$G354,$F354)&gt;=DATE(PlanYear,11,1)),1,0))</f>
        <v>0</v>
      </c>
      <c r="Z354">
        <f>IF($N354=0,0,IF(AND($F354&lt;=EOMONTH(DATE(PlanYear,12,1),0),IF(ISNUMBER($G354),$G354,$F354)&gt;=DATE(PlanYear,12,1)),1,0))</f>
        <v>0</v>
      </c>
      <c r="AA354">
        <f>SUM($O354:$Z354)</f>
        <v>0</v>
      </c>
    </row>
    <row r="355" spans="1:27">
      <c r="A355" s="42">
        <f>IF($B355="","","ACT-"&amp;TEXT(ROW()-4,"000"))</f>
        <v>0</v>
      </c>
      <c r="M355" s="43">
        <f>IF(COUNTA($B355:$K355)=0,"",IF($B355="","Missing activity name",IF($C355="","Missing practice",IF(COUNTIF(PracticeNames,$C355)=0,"Practice not in Lists",IF($D355="","Missing motion",IF(NOT(ISNUMBER($F355)),"Missing or invalid start date",IF(AND(ISNUMBER($G355),$G355&lt;$F355),"End date before start",IF(AND($N355=1,$AA355=0),"Outside planning year","OK"))))))))</f>
        <v>0</v>
      </c>
      <c r="N355">
        <f>IF(AND($B355&lt;&gt;"",$C355&lt;&gt;"",$D355&lt;&gt;"",ISNUMBER($F355),COUNTIF(PracticeNames,$C355)&gt;0,COUNTIF(MotionNames,$D355)&gt;0,NOT(AND(ISNUMBER($G355),$G355&lt;$F355))),IF(StatusFilter="All (excl. Cancelled)",IF($H355="Cancelled",0,1),IF(StatusFilter="All",1,IF($H355=StatusFilter,1,0))),0)</f>
        <v>0</v>
      </c>
      <c r="O355">
        <f>IF($N355=0,0,IF(AND($F355&lt;=EOMONTH(DATE(PlanYear,1,1),0),IF(ISNUMBER($G355),$G355,$F355)&gt;=DATE(PlanYear,1,1)),1,0))</f>
        <v>0</v>
      </c>
      <c r="P355">
        <f>IF($N355=0,0,IF(AND($F355&lt;=EOMONTH(DATE(PlanYear,2,1),0),IF(ISNUMBER($G355),$G355,$F355)&gt;=DATE(PlanYear,2,1)),1,0))</f>
        <v>0</v>
      </c>
      <c r="Q355">
        <f>IF($N355=0,0,IF(AND($F355&lt;=EOMONTH(DATE(PlanYear,3,1),0),IF(ISNUMBER($G355),$G355,$F355)&gt;=DATE(PlanYear,3,1)),1,0))</f>
        <v>0</v>
      </c>
      <c r="R355">
        <f>IF($N355=0,0,IF(AND($F355&lt;=EOMONTH(DATE(PlanYear,4,1),0),IF(ISNUMBER($G355),$G355,$F355)&gt;=DATE(PlanYear,4,1)),1,0))</f>
        <v>0</v>
      </c>
      <c r="S355">
        <f>IF($N355=0,0,IF(AND($F355&lt;=EOMONTH(DATE(PlanYear,5,1),0),IF(ISNUMBER($G355),$G355,$F355)&gt;=DATE(PlanYear,5,1)),1,0))</f>
        <v>0</v>
      </c>
      <c r="T355">
        <f>IF($N355=0,0,IF(AND($F355&lt;=EOMONTH(DATE(PlanYear,6,1),0),IF(ISNUMBER($G355),$G355,$F355)&gt;=DATE(PlanYear,6,1)),1,0))</f>
        <v>0</v>
      </c>
      <c r="U355">
        <f>IF($N355=0,0,IF(AND($F355&lt;=EOMONTH(DATE(PlanYear,7,1),0),IF(ISNUMBER($G355),$G355,$F355)&gt;=DATE(PlanYear,7,1)),1,0))</f>
        <v>0</v>
      </c>
      <c r="V355">
        <f>IF($N355=0,0,IF(AND($F355&lt;=EOMONTH(DATE(PlanYear,8,1),0),IF(ISNUMBER($G355),$G355,$F355)&gt;=DATE(PlanYear,8,1)),1,0))</f>
        <v>0</v>
      </c>
      <c r="W355">
        <f>IF($N355=0,0,IF(AND($F355&lt;=EOMONTH(DATE(PlanYear,9,1),0),IF(ISNUMBER($G355),$G355,$F355)&gt;=DATE(PlanYear,9,1)),1,0))</f>
        <v>0</v>
      </c>
      <c r="X355">
        <f>IF($N355=0,0,IF(AND($F355&lt;=EOMONTH(DATE(PlanYear,10,1),0),IF(ISNUMBER($G355),$G355,$F355)&gt;=DATE(PlanYear,10,1)),1,0))</f>
        <v>0</v>
      </c>
      <c r="Y355">
        <f>IF($N355=0,0,IF(AND($F355&lt;=EOMONTH(DATE(PlanYear,11,1),0),IF(ISNUMBER($G355),$G355,$F355)&gt;=DATE(PlanYear,11,1)),1,0))</f>
        <v>0</v>
      </c>
      <c r="Z355">
        <f>IF($N355=0,0,IF(AND($F355&lt;=EOMONTH(DATE(PlanYear,12,1),0),IF(ISNUMBER($G355),$G355,$F355)&gt;=DATE(PlanYear,12,1)),1,0))</f>
        <v>0</v>
      </c>
      <c r="AA355">
        <f>SUM($O355:$Z355)</f>
        <v>0</v>
      </c>
    </row>
    <row r="356" spans="1:27">
      <c r="A356" s="42">
        <f>IF($B356="","","ACT-"&amp;TEXT(ROW()-4,"000"))</f>
        <v>0</v>
      </c>
      <c r="M356" s="43">
        <f>IF(COUNTA($B356:$K356)=0,"",IF($B356="","Missing activity name",IF($C356="","Missing practice",IF(COUNTIF(PracticeNames,$C356)=0,"Practice not in Lists",IF($D356="","Missing motion",IF(NOT(ISNUMBER($F356)),"Missing or invalid start date",IF(AND(ISNUMBER($G356),$G356&lt;$F356),"End date before start",IF(AND($N356=1,$AA356=0),"Outside planning year","OK"))))))))</f>
        <v>0</v>
      </c>
      <c r="N356">
        <f>IF(AND($B356&lt;&gt;"",$C356&lt;&gt;"",$D356&lt;&gt;"",ISNUMBER($F356),COUNTIF(PracticeNames,$C356)&gt;0,COUNTIF(MotionNames,$D356)&gt;0,NOT(AND(ISNUMBER($G356),$G356&lt;$F356))),IF(StatusFilter="All (excl. Cancelled)",IF($H356="Cancelled",0,1),IF(StatusFilter="All",1,IF($H356=StatusFilter,1,0))),0)</f>
        <v>0</v>
      </c>
      <c r="O356">
        <f>IF($N356=0,0,IF(AND($F356&lt;=EOMONTH(DATE(PlanYear,1,1),0),IF(ISNUMBER($G356),$G356,$F356)&gt;=DATE(PlanYear,1,1)),1,0))</f>
        <v>0</v>
      </c>
      <c r="P356">
        <f>IF($N356=0,0,IF(AND($F356&lt;=EOMONTH(DATE(PlanYear,2,1),0),IF(ISNUMBER($G356),$G356,$F356)&gt;=DATE(PlanYear,2,1)),1,0))</f>
        <v>0</v>
      </c>
      <c r="Q356">
        <f>IF($N356=0,0,IF(AND($F356&lt;=EOMONTH(DATE(PlanYear,3,1),0),IF(ISNUMBER($G356),$G356,$F356)&gt;=DATE(PlanYear,3,1)),1,0))</f>
        <v>0</v>
      </c>
      <c r="R356">
        <f>IF($N356=0,0,IF(AND($F356&lt;=EOMONTH(DATE(PlanYear,4,1),0),IF(ISNUMBER($G356),$G356,$F356)&gt;=DATE(PlanYear,4,1)),1,0))</f>
        <v>0</v>
      </c>
      <c r="S356">
        <f>IF($N356=0,0,IF(AND($F356&lt;=EOMONTH(DATE(PlanYear,5,1),0),IF(ISNUMBER($G356),$G356,$F356)&gt;=DATE(PlanYear,5,1)),1,0))</f>
        <v>0</v>
      </c>
      <c r="T356">
        <f>IF($N356=0,0,IF(AND($F356&lt;=EOMONTH(DATE(PlanYear,6,1),0),IF(ISNUMBER($G356),$G356,$F356)&gt;=DATE(PlanYear,6,1)),1,0))</f>
        <v>0</v>
      </c>
      <c r="U356">
        <f>IF($N356=0,0,IF(AND($F356&lt;=EOMONTH(DATE(PlanYear,7,1),0),IF(ISNUMBER($G356),$G356,$F356)&gt;=DATE(PlanYear,7,1)),1,0))</f>
        <v>0</v>
      </c>
      <c r="V356">
        <f>IF($N356=0,0,IF(AND($F356&lt;=EOMONTH(DATE(PlanYear,8,1),0),IF(ISNUMBER($G356),$G356,$F356)&gt;=DATE(PlanYear,8,1)),1,0))</f>
        <v>0</v>
      </c>
      <c r="W356">
        <f>IF($N356=0,0,IF(AND($F356&lt;=EOMONTH(DATE(PlanYear,9,1),0),IF(ISNUMBER($G356),$G356,$F356)&gt;=DATE(PlanYear,9,1)),1,0))</f>
        <v>0</v>
      </c>
      <c r="X356">
        <f>IF($N356=0,0,IF(AND($F356&lt;=EOMONTH(DATE(PlanYear,10,1),0),IF(ISNUMBER($G356),$G356,$F356)&gt;=DATE(PlanYear,10,1)),1,0))</f>
        <v>0</v>
      </c>
      <c r="Y356">
        <f>IF($N356=0,0,IF(AND($F356&lt;=EOMONTH(DATE(PlanYear,11,1),0),IF(ISNUMBER($G356),$G356,$F356)&gt;=DATE(PlanYear,11,1)),1,0))</f>
        <v>0</v>
      </c>
      <c r="Z356">
        <f>IF($N356=0,0,IF(AND($F356&lt;=EOMONTH(DATE(PlanYear,12,1),0),IF(ISNUMBER($G356),$G356,$F356)&gt;=DATE(PlanYear,12,1)),1,0))</f>
        <v>0</v>
      </c>
      <c r="AA356">
        <f>SUM($O356:$Z356)</f>
        <v>0</v>
      </c>
    </row>
    <row r="357" spans="1:27">
      <c r="A357" s="42">
        <f>IF($B357="","","ACT-"&amp;TEXT(ROW()-4,"000"))</f>
        <v>0</v>
      </c>
      <c r="M357" s="43">
        <f>IF(COUNTA($B357:$K357)=0,"",IF($B357="","Missing activity name",IF($C357="","Missing practice",IF(COUNTIF(PracticeNames,$C357)=0,"Practice not in Lists",IF($D357="","Missing motion",IF(NOT(ISNUMBER($F357)),"Missing or invalid start date",IF(AND(ISNUMBER($G357),$G357&lt;$F357),"End date before start",IF(AND($N357=1,$AA357=0),"Outside planning year","OK"))))))))</f>
        <v>0</v>
      </c>
      <c r="N357">
        <f>IF(AND($B357&lt;&gt;"",$C357&lt;&gt;"",$D357&lt;&gt;"",ISNUMBER($F357),COUNTIF(PracticeNames,$C357)&gt;0,COUNTIF(MotionNames,$D357)&gt;0,NOT(AND(ISNUMBER($G357),$G357&lt;$F357))),IF(StatusFilter="All (excl. Cancelled)",IF($H357="Cancelled",0,1),IF(StatusFilter="All",1,IF($H357=StatusFilter,1,0))),0)</f>
        <v>0</v>
      </c>
      <c r="O357">
        <f>IF($N357=0,0,IF(AND($F357&lt;=EOMONTH(DATE(PlanYear,1,1),0),IF(ISNUMBER($G357),$G357,$F357)&gt;=DATE(PlanYear,1,1)),1,0))</f>
        <v>0</v>
      </c>
      <c r="P357">
        <f>IF($N357=0,0,IF(AND($F357&lt;=EOMONTH(DATE(PlanYear,2,1),0),IF(ISNUMBER($G357),$G357,$F357)&gt;=DATE(PlanYear,2,1)),1,0))</f>
        <v>0</v>
      </c>
      <c r="Q357">
        <f>IF($N357=0,0,IF(AND($F357&lt;=EOMONTH(DATE(PlanYear,3,1),0),IF(ISNUMBER($G357),$G357,$F357)&gt;=DATE(PlanYear,3,1)),1,0))</f>
        <v>0</v>
      </c>
      <c r="R357">
        <f>IF($N357=0,0,IF(AND($F357&lt;=EOMONTH(DATE(PlanYear,4,1),0),IF(ISNUMBER($G357),$G357,$F357)&gt;=DATE(PlanYear,4,1)),1,0))</f>
        <v>0</v>
      </c>
      <c r="S357">
        <f>IF($N357=0,0,IF(AND($F357&lt;=EOMONTH(DATE(PlanYear,5,1),0),IF(ISNUMBER($G357),$G357,$F357)&gt;=DATE(PlanYear,5,1)),1,0))</f>
        <v>0</v>
      </c>
      <c r="T357">
        <f>IF($N357=0,0,IF(AND($F357&lt;=EOMONTH(DATE(PlanYear,6,1),0),IF(ISNUMBER($G357),$G357,$F357)&gt;=DATE(PlanYear,6,1)),1,0))</f>
        <v>0</v>
      </c>
      <c r="U357">
        <f>IF($N357=0,0,IF(AND($F357&lt;=EOMONTH(DATE(PlanYear,7,1),0),IF(ISNUMBER($G357),$G357,$F357)&gt;=DATE(PlanYear,7,1)),1,0))</f>
        <v>0</v>
      </c>
      <c r="V357">
        <f>IF($N357=0,0,IF(AND($F357&lt;=EOMONTH(DATE(PlanYear,8,1),0),IF(ISNUMBER($G357),$G357,$F357)&gt;=DATE(PlanYear,8,1)),1,0))</f>
        <v>0</v>
      </c>
      <c r="W357">
        <f>IF($N357=0,0,IF(AND($F357&lt;=EOMONTH(DATE(PlanYear,9,1),0),IF(ISNUMBER($G357),$G357,$F357)&gt;=DATE(PlanYear,9,1)),1,0))</f>
        <v>0</v>
      </c>
      <c r="X357">
        <f>IF($N357=0,0,IF(AND($F357&lt;=EOMONTH(DATE(PlanYear,10,1),0),IF(ISNUMBER($G357),$G357,$F357)&gt;=DATE(PlanYear,10,1)),1,0))</f>
        <v>0</v>
      </c>
      <c r="Y357">
        <f>IF($N357=0,0,IF(AND($F357&lt;=EOMONTH(DATE(PlanYear,11,1),0),IF(ISNUMBER($G357),$G357,$F357)&gt;=DATE(PlanYear,11,1)),1,0))</f>
        <v>0</v>
      </c>
      <c r="Z357">
        <f>IF($N357=0,0,IF(AND($F357&lt;=EOMONTH(DATE(PlanYear,12,1),0),IF(ISNUMBER($G357),$G357,$F357)&gt;=DATE(PlanYear,12,1)),1,0))</f>
        <v>0</v>
      </c>
      <c r="AA357">
        <f>SUM($O357:$Z357)</f>
        <v>0</v>
      </c>
    </row>
    <row r="358" spans="1:27">
      <c r="A358" s="42">
        <f>IF($B358="","","ACT-"&amp;TEXT(ROW()-4,"000"))</f>
        <v>0</v>
      </c>
      <c r="M358" s="43">
        <f>IF(COUNTA($B358:$K358)=0,"",IF($B358="","Missing activity name",IF($C358="","Missing practice",IF(COUNTIF(PracticeNames,$C358)=0,"Practice not in Lists",IF($D358="","Missing motion",IF(NOT(ISNUMBER($F358)),"Missing or invalid start date",IF(AND(ISNUMBER($G358),$G358&lt;$F358),"End date before start",IF(AND($N358=1,$AA358=0),"Outside planning year","OK"))))))))</f>
        <v>0</v>
      </c>
      <c r="N358">
        <f>IF(AND($B358&lt;&gt;"",$C358&lt;&gt;"",$D358&lt;&gt;"",ISNUMBER($F358),COUNTIF(PracticeNames,$C358)&gt;0,COUNTIF(MotionNames,$D358)&gt;0,NOT(AND(ISNUMBER($G358),$G358&lt;$F358))),IF(StatusFilter="All (excl. Cancelled)",IF($H358="Cancelled",0,1),IF(StatusFilter="All",1,IF($H358=StatusFilter,1,0))),0)</f>
        <v>0</v>
      </c>
      <c r="O358">
        <f>IF($N358=0,0,IF(AND($F358&lt;=EOMONTH(DATE(PlanYear,1,1),0),IF(ISNUMBER($G358),$G358,$F358)&gt;=DATE(PlanYear,1,1)),1,0))</f>
        <v>0</v>
      </c>
      <c r="P358">
        <f>IF($N358=0,0,IF(AND($F358&lt;=EOMONTH(DATE(PlanYear,2,1),0),IF(ISNUMBER($G358),$G358,$F358)&gt;=DATE(PlanYear,2,1)),1,0))</f>
        <v>0</v>
      </c>
      <c r="Q358">
        <f>IF($N358=0,0,IF(AND($F358&lt;=EOMONTH(DATE(PlanYear,3,1),0),IF(ISNUMBER($G358),$G358,$F358)&gt;=DATE(PlanYear,3,1)),1,0))</f>
        <v>0</v>
      </c>
      <c r="R358">
        <f>IF($N358=0,0,IF(AND($F358&lt;=EOMONTH(DATE(PlanYear,4,1),0),IF(ISNUMBER($G358),$G358,$F358)&gt;=DATE(PlanYear,4,1)),1,0))</f>
        <v>0</v>
      </c>
      <c r="S358">
        <f>IF($N358=0,0,IF(AND($F358&lt;=EOMONTH(DATE(PlanYear,5,1),0),IF(ISNUMBER($G358),$G358,$F358)&gt;=DATE(PlanYear,5,1)),1,0))</f>
        <v>0</v>
      </c>
      <c r="T358">
        <f>IF($N358=0,0,IF(AND($F358&lt;=EOMONTH(DATE(PlanYear,6,1),0),IF(ISNUMBER($G358),$G358,$F358)&gt;=DATE(PlanYear,6,1)),1,0))</f>
        <v>0</v>
      </c>
      <c r="U358">
        <f>IF($N358=0,0,IF(AND($F358&lt;=EOMONTH(DATE(PlanYear,7,1),0),IF(ISNUMBER($G358),$G358,$F358)&gt;=DATE(PlanYear,7,1)),1,0))</f>
        <v>0</v>
      </c>
      <c r="V358">
        <f>IF($N358=0,0,IF(AND($F358&lt;=EOMONTH(DATE(PlanYear,8,1),0),IF(ISNUMBER($G358),$G358,$F358)&gt;=DATE(PlanYear,8,1)),1,0))</f>
        <v>0</v>
      </c>
      <c r="W358">
        <f>IF($N358=0,0,IF(AND($F358&lt;=EOMONTH(DATE(PlanYear,9,1),0),IF(ISNUMBER($G358),$G358,$F358)&gt;=DATE(PlanYear,9,1)),1,0))</f>
        <v>0</v>
      </c>
      <c r="X358">
        <f>IF($N358=0,0,IF(AND($F358&lt;=EOMONTH(DATE(PlanYear,10,1),0),IF(ISNUMBER($G358),$G358,$F358)&gt;=DATE(PlanYear,10,1)),1,0))</f>
        <v>0</v>
      </c>
      <c r="Y358">
        <f>IF($N358=0,0,IF(AND($F358&lt;=EOMONTH(DATE(PlanYear,11,1),0),IF(ISNUMBER($G358),$G358,$F358)&gt;=DATE(PlanYear,11,1)),1,0))</f>
        <v>0</v>
      </c>
      <c r="Z358">
        <f>IF($N358=0,0,IF(AND($F358&lt;=EOMONTH(DATE(PlanYear,12,1),0),IF(ISNUMBER($G358),$G358,$F358)&gt;=DATE(PlanYear,12,1)),1,0))</f>
        <v>0</v>
      </c>
      <c r="AA358">
        <f>SUM($O358:$Z358)</f>
        <v>0</v>
      </c>
    </row>
    <row r="359" spans="1:27">
      <c r="A359" s="42">
        <f>IF($B359="","","ACT-"&amp;TEXT(ROW()-4,"000"))</f>
        <v>0</v>
      </c>
      <c r="M359" s="43">
        <f>IF(COUNTA($B359:$K359)=0,"",IF($B359="","Missing activity name",IF($C359="","Missing practice",IF(COUNTIF(PracticeNames,$C359)=0,"Practice not in Lists",IF($D359="","Missing motion",IF(NOT(ISNUMBER($F359)),"Missing or invalid start date",IF(AND(ISNUMBER($G359),$G359&lt;$F359),"End date before start",IF(AND($N359=1,$AA359=0),"Outside planning year","OK"))))))))</f>
        <v>0</v>
      </c>
      <c r="N359">
        <f>IF(AND($B359&lt;&gt;"",$C359&lt;&gt;"",$D359&lt;&gt;"",ISNUMBER($F359),COUNTIF(PracticeNames,$C359)&gt;0,COUNTIF(MotionNames,$D359)&gt;0,NOT(AND(ISNUMBER($G359),$G359&lt;$F359))),IF(StatusFilter="All (excl. Cancelled)",IF($H359="Cancelled",0,1),IF(StatusFilter="All",1,IF($H359=StatusFilter,1,0))),0)</f>
        <v>0</v>
      </c>
      <c r="O359">
        <f>IF($N359=0,0,IF(AND($F359&lt;=EOMONTH(DATE(PlanYear,1,1),0),IF(ISNUMBER($G359),$G359,$F359)&gt;=DATE(PlanYear,1,1)),1,0))</f>
        <v>0</v>
      </c>
      <c r="P359">
        <f>IF($N359=0,0,IF(AND($F359&lt;=EOMONTH(DATE(PlanYear,2,1),0),IF(ISNUMBER($G359),$G359,$F359)&gt;=DATE(PlanYear,2,1)),1,0))</f>
        <v>0</v>
      </c>
      <c r="Q359">
        <f>IF($N359=0,0,IF(AND($F359&lt;=EOMONTH(DATE(PlanYear,3,1),0),IF(ISNUMBER($G359),$G359,$F359)&gt;=DATE(PlanYear,3,1)),1,0))</f>
        <v>0</v>
      </c>
      <c r="R359">
        <f>IF($N359=0,0,IF(AND($F359&lt;=EOMONTH(DATE(PlanYear,4,1),0),IF(ISNUMBER($G359),$G359,$F359)&gt;=DATE(PlanYear,4,1)),1,0))</f>
        <v>0</v>
      </c>
      <c r="S359">
        <f>IF($N359=0,0,IF(AND($F359&lt;=EOMONTH(DATE(PlanYear,5,1),0),IF(ISNUMBER($G359),$G359,$F359)&gt;=DATE(PlanYear,5,1)),1,0))</f>
        <v>0</v>
      </c>
      <c r="T359">
        <f>IF($N359=0,0,IF(AND($F359&lt;=EOMONTH(DATE(PlanYear,6,1),0),IF(ISNUMBER($G359),$G359,$F359)&gt;=DATE(PlanYear,6,1)),1,0))</f>
        <v>0</v>
      </c>
      <c r="U359">
        <f>IF($N359=0,0,IF(AND($F359&lt;=EOMONTH(DATE(PlanYear,7,1),0),IF(ISNUMBER($G359),$G359,$F359)&gt;=DATE(PlanYear,7,1)),1,0))</f>
        <v>0</v>
      </c>
      <c r="V359">
        <f>IF($N359=0,0,IF(AND($F359&lt;=EOMONTH(DATE(PlanYear,8,1),0),IF(ISNUMBER($G359),$G359,$F359)&gt;=DATE(PlanYear,8,1)),1,0))</f>
        <v>0</v>
      </c>
      <c r="W359">
        <f>IF($N359=0,0,IF(AND($F359&lt;=EOMONTH(DATE(PlanYear,9,1),0),IF(ISNUMBER($G359),$G359,$F359)&gt;=DATE(PlanYear,9,1)),1,0))</f>
        <v>0</v>
      </c>
      <c r="X359">
        <f>IF($N359=0,0,IF(AND($F359&lt;=EOMONTH(DATE(PlanYear,10,1),0),IF(ISNUMBER($G359),$G359,$F359)&gt;=DATE(PlanYear,10,1)),1,0))</f>
        <v>0</v>
      </c>
      <c r="Y359">
        <f>IF($N359=0,0,IF(AND($F359&lt;=EOMONTH(DATE(PlanYear,11,1),0),IF(ISNUMBER($G359),$G359,$F359)&gt;=DATE(PlanYear,11,1)),1,0))</f>
        <v>0</v>
      </c>
      <c r="Z359">
        <f>IF($N359=0,0,IF(AND($F359&lt;=EOMONTH(DATE(PlanYear,12,1),0),IF(ISNUMBER($G359),$G359,$F359)&gt;=DATE(PlanYear,12,1)),1,0))</f>
        <v>0</v>
      </c>
      <c r="AA359">
        <f>SUM($O359:$Z359)</f>
        <v>0</v>
      </c>
    </row>
    <row r="360" spans="1:27">
      <c r="A360" s="42">
        <f>IF($B360="","","ACT-"&amp;TEXT(ROW()-4,"000"))</f>
        <v>0</v>
      </c>
      <c r="M360" s="43">
        <f>IF(COUNTA($B360:$K360)=0,"",IF($B360="","Missing activity name",IF($C360="","Missing practice",IF(COUNTIF(PracticeNames,$C360)=0,"Practice not in Lists",IF($D360="","Missing motion",IF(NOT(ISNUMBER($F360)),"Missing or invalid start date",IF(AND(ISNUMBER($G360),$G360&lt;$F360),"End date before start",IF(AND($N360=1,$AA360=0),"Outside planning year","OK"))))))))</f>
        <v>0</v>
      </c>
      <c r="N360">
        <f>IF(AND($B360&lt;&gt;"",$C360&lt;&gt;"",$D360&lt;&gt;"",ISNUMBER($F360),COUNTIF(PracticeNames,$C360)&gt;0,COUNTIF(MotionNames,$D360)&gt;0,NOT(AND(ISNUMBER($G360),$G360&lt;$F360))),IF(StatusFilter="All (excl. Cancelled)",IF($H360="Cancelled",0,1),IF(StatusFilter="All",1,IF($H360=StatusFilter,1,0))),0)</f>
        <v>0</v>
      </c>
      <c r="O360">
        <f>IF($N360=0,0,IF(AND($F360&lt;=EOMONTH(DATE(PlanYear,1,1),0),IF(ISNUMBER($G360),$G360,$F360)&gt;=DATE(PlanYear,1,1)),1,0))</f>
        <v>0</v>
      </c>
      <c r="P360">
        <f>IF($N360=0,0,IF(AND($F360&lt;=EOMONTH(DATE(PlanYear,2,1),0),IF(ISNUMBER($G360),$G360,$F360)&gt;=DATE(PlanYear,2,1)),1,0))</f>
        <v>0</v>
      </c>
      <c r="Q360">
        <f>IF($N360=0,0,IF(AND($F360&lt;=EOMONTH(DATE(PlanYear,3,1),0),IF(ISNUMBER($G360),$G360,$F360)&gt;=DATE(PlanYear,3,1)),1,0))</f>
        <v>0</v>
      </c>
      <c r="R360">
        <f>IF($N360=0,0,IF(AND($F360&lt;=EOMONTH(DATE(PlanYear,4,1),0),IF(ISNUMBER($G360),$G360,$F360)&gt;=DATE(PlanYear,4,1)),1,0))</f>
        <v>0</v>
      </c>
      <c r="S360">
        <f>IF($N360=0,0,IF(AND($F360&lt;=EOMONTH(DATE(PlanYear,5,1),0),IF(ISNUMBER($G360),$G360,$F360)&gt;=DATE(PlanYear,5,1)),1,0))</f>
        <v>0</v>
      </c>
      <c r="T360">
        <f>IF($N360=0,0,IF(AND($F360&lt;=EOMONTH(DATE(PlanYear,6,1),0),IF(ISNUMBER($G360),$G360,$F360)&gt;=DATE(PlanYear,6,1)),1,0))</f>
        <v>0</v>
      </c>
      <c r="U360">
        <f>IF($N360=0,0,IF(AND($F360&lt;=EOMONTH(DATE(PlanYear,7,1),0),IF(ISNUMBER($G360),$G360,$F360)&gt;=DATE(PlanYear,7,1)),1,0))</f>
        <v>0</v>
      </c>
      <c r="V360">
        <f>IF($N360=0,0,IF(AND($F360&lt;=EOMONTH(DATE(PlanYear,8,1),0),IF(ISNUMBER($G360),$G360,$F360)&gt;=DATE(PlanYear,8,1)),1,0))</f>
        <v>0</v>
      </c>
      <c r="W360">
        <f>IF($N360=0,0,IF(AND($F360&lt;=EOMONTH(DATE(PlanYear,9,1),0),IF(ISNUMBER($G360),$G360,$F360)&gt;=DATE(PlanYear,9,1)),1,0))</f>
        <v>0</v>
      </c>
      <c r="X360">
        <f>IF($N360=0,0,IF(AND($F360&lt;=EOMONTH(DATE(PlanYear,10,1),0),IF(ISNUMBER($G360),$G360,$F360)&gt;=DATE(PlanYear,10,1)),1,0))</f>
        <v>0</v>
      </c>
      <c r="Y360">
        <f>IF($N360=0,0,IF(AND($F360&lt;=EOMONTH(DATE(PlanYear,11,1),0),IF(ISNUMBER($G360),$G360,$F360)&gt;=DATE(PlanYear,11,1)),1,0))</f>
        <v>0</v>
      </c>
      <c r="Z360">
        <f>IF($N360=0,0,IF(AND($F360&lt;=EOMONTH(DATE(PlanYear,12,1),0),IF(ISNUMBER($G360),$G360,$F360)&gt;=DATE(PlanYear,12,1)),1,0))</f>
        <v>0</v>
      </c>
      <c r="AA360">
        <f>SUM($O360:$Z360)</f>
        <v>0</v>
      </c>
    </row>
    <row r="361" spans="1:27">
      <c r="A361" s="42">
        <f>IF($B361="","","ACT-"&amp;TEXT(ROW()-4,"000"))</f>
        <v>0</v>
      </c>
      <c r="M361" s="43">
        <f>IF(COUNTA($B361:$K361)=0,"",IF($B361="","Missing activity name",IF($C361="","Missing practice",IF(COUNTIF(PracticeNames,$C361)=0,"Practice not in Lists",IF($D361="","Missing motion",IF(NOT(ISNUMBER($F361)),"Missing or invalid start date",IF(AND(ISNUMBER($G361),$G361&lt;$F361),"End date before start",IF(AND($N361=1,$AA361=0),"Outside planning year","OK"))))))))</f>
        <v>0</v>
      </c>
      <c r="N361">
        <f>IF(AND($B361&lt;&gt;"",$C361&lt;&gt;"",$D361&lt;&gt;"",ISNUMBER($F361),COUNTIF(PracticeNames,$C361)&gt;0,COUNTIF(MotionNames,$D361)&gt;0,NOT(AND(ISNUMBER($G361),$G361&lt;$F361))),IF(StatusFilter="All (excl. Cancelled)",IF($H361="Cancelled",0,1),IF(StatusFilter="All",1,IF($H361=StatusFilter,1,0))),0)</f>
        <v>0</v>
      </c>
      <c r="O361">
        <f>IF($N361=0,0,IF(AND($F361&lt;=EOMONTH(DATE(PlanYear,1,1),0),IF(ISNUMBER($G361),$G361,$F361)&gt;=DATE(PlanYear,1,1)),1,0))</f>
        <v>0</v>
      </c>
      <c r="P361">
        <f>IF($N361=0,0,IF(AND($F361&lt;=EOMONTH(DATE(PlanYear,2,1),0),IF(ISNUMBER($G361),$G361,$F361)&gt;=DATE(PlanYear,2,1)),1,0))</f>
        <v>0</v>
      </c>
      <c r="Q361">
        <f>IF($N361=0,0,IF(AND($F361&lt;=EOMONTH(DATE(PlanYear,3,1),0),IF(ISNUMBER($G361),$G361,$F361)&gt;=DATE(PlanYear,3,1)),1,0))</f>
        <v>0</v>
      </c>
      <c r="R361">
        <f>IF($N361=0,0,IF(AND($F361&lt;=EOMONTH(DATE(PlanYear,4,1),0),IF(ISNUMBER($G361),$G361,$F361)&gt;=DATE(PlanYear,4,1)),1,0))</f>
        <v>0</v>
      </c>
      <c r="S361">
        <f>IF($N361=0,0,IF(AND($F361&lt;=EOMONTH(DATE(PlanYear,5,1),0),IF(ISNUMBER($G361),$G361,$F361)&gt;=DATE(PlanYear,5,1)),1,0))</f>
        <v>0</v>
      </c>
      <c r="T361">
        <f>IF($N361=0,0,IF(AND($F361&lt;=EOMONTH(DATE(PlanYear,6,1),0),IF(ISNUMBER($G361),$G361,$F361)&gt;=DATE(PlanYear,6,1)),1,0))</f>
        <v>0</v>
      </c>
      <c r="U361">
        <f>IF($N361=0,0,IF(AND($F361&lt;=EOMONTH(DATE(PlanYear,7,1),0),IF(ISNUMBER($G361),$G361,$F361)&gt;=DATE(PlanYear,7,1)),1,0))</f>
        <v>0</v>
      </c>
      <c r="V361">
        <f>IF($N361=0,0,IF(AND($F361&lt;=EOMONTH(DATE(PlanYear,8,1),0),IF(ISNUMBER($G361),$G361,$F361)&gt;=DATE(PlanYear,8,1)),1,0))</f>
        <v>0</v>
      </c>
      <c r="W361">
        <f>IF($N361=0,0,IF(AND($F361&lt;=EOMONTH(DATE(PlanYear,9,1),0),IF(ISNUMBER($G361),$G361,$F361)&gt;=DATE(PlanYear,9,1)),1,0))</f>
        <v>0</v>
      </c>
      <c r="X361">
        <f>IF($N361=0,0,IF(AND($F361&lt;=EOMONTH(DATE(PlanYear,10,1),0),IF(ISNUMBER($G361),$G361,$F361)&gt;=DATE(PlanYear,10,1)),1,0))</f>
        <v>0</v>
      </c>
      <c r="Y361">
        <f>IF($N361=0,0,IF(AND($F361&lt;=EOMONTH(DATE(PlanYear,11,1),0),IF(ISNUMBER($G361),$G361,$F361)&gt;=DATE(PlanYear,11,1)),1,0))</f>
        <v>0</v>
      </c>
      <c r="Z361">
        <f>IF($N361=0,0,IF(AND($F361&lt;=EOMONTH(DATE(PlanYear,12,1),0),IF(ISNUMBER($G361),$G361,$F361)&gt;=DATE(PlanYear,12,1)),1,0))</f>
        <v>0</v>
      </c>
      <c r="AA361">
        <f>SUM($O361:$Z361)</f>
        <v>0</v>
      </c>
    </row>
    <row r="362" spans="1:27">
      <c r="A362" s="42">
        <f>IF($B362="","","ACT-"&amp;TEXT(ROW()-4,"000"))</f>
        <v>0</v>
      </c>
      <c r="M362" s="43">
        <f>IF(COUNTA($B362:$K362)=0,"",IF($B362="","Missing activity name",IF($C362="","Missing practice",IF(COUNTIF(PracticeNames,$C362)=0,"Practice not in Lists",IF($D362="","Missing motion",IF(NOT(ISNUMBER($F362)),"Missing or invalid start date",IF(AND(ISNUMBER($G362),$G362&lt;$F362),"End date before start",IF(AND($N362=1,$AA362=0),"Outside planning year","OK"))))))))</f>
        <v>0</v>
      </c>
      <c r="N362">
        <f>IF(AND($B362&lt;&gt;"",$C362&lt;&gt;"",$D362&lt;&gt;"",ISNUMBER($F362),COUNTIF(PracticeNames,$C362)&gt;0,COUNTIF(MotionNames,$D362)&gt;0,NOT(AND(ISNUMBER($G362),$G362&lt;$F362))),IF(StatusFilter="All (excl. Cancelled)",IF($H362="Cancelled",0,1),IF(StatusFilter="All",1,IF($H362=StatusFilter,1,0))),0)</f>
        <v>0</v>
      </c>
      <c r="O362">
        <f>IF($N362=0,0,IF(AND($F362&lt;=EOMONTH(DATE(PlanYear,1,1),0),IF(ISNUMBER($G362),$G362,$F362)&gt;=DATE(PlanYear,1,1)),1,0))</f>
        <v>0</v>
      </c>
      <c r="P362">
        <f>IF($N362=0,0,IF(AND($F362&lt;=EOMONTH(DATE(PlanYear,2,1),0),IF(ISNUMBER($G362),$G362,$F362)&gt;=DATE(PlanYear,2,1)),1,0))</f>
        <v>0</v>
      </c>
      <c r="Q362">
        <f>IF($N362=0,0,IF(AND($F362&lt;=EOMONTH(DATE(PlanYear,3,1),0),IF(ISNUMBER($G362),$G362,$F362)&gt;=DATE(PlanYear,3,1)),1,0))</f>
        <v>0</v>
      </c>
      <c r="R362">
        <f>IF($N362=0,0,IF(AND($F362&lt;=EOMONTH(DATE(PlanYear,4,1),0),IF(ISNUMBER($G362),$G362,$F362)&gt;=DATE(PlanYear,4,1)),1,0))</f>
        <v>0</v>
      </c>
      <c r="S362">
        <f>IF($N362=0,0,IF(AND($F362&lt;=EOMONTH(DATE(PlanYear,5,1),0),IF(ISNUMBER($G362),$G362,$F362)&gt;=DATE(PlanYear,5,1)),1,0))</f>
        <v>0</v>
      </c>
      <c r="T362">
        <f>IF($N362=0,0,IF(AND($F362&lt;=EOMONTH(DATE(PlanYear,6,1),0),IF(ISNUMBER($G362),$G362,$F362)&gt;=DATE(PlanYear,6,1)),1,0))</f>
        <v>0</v>
      </c>
      <c r="U362">
        <f>IF($N362=0,0,IF(AND($F362&lt;=EOMONTH(DATE(PlanYear,7,1),0),IF(ISNUMBER($G362),$G362,$F362)&gt;=DATE(PlanYear,7,1)),1,0))</f>
        <v>0</v>
      </c>
      <c r="V362">
        <f>IF($N362=0,0,IF(AND($F362&lt;=EOMONTH(DATE(PlanYear,8,1),0),IF(ISNUMBER($G362),$G362,$F362)&gt;=DATE(PlanYear,8,1)),1,0))</f>
        <v>0</v>
      </c>
      <c r="W362">
        <f>IF($N362=0,0,IF(AND($F362&lt;=EOMONTH(DATE(PlanYear,9,1),0),IF(ISNUMBER($G362),$G362,$F362)&gt;=DATE(PlanYear,9,1)),1,0))</f>
        <v>0</v>
      </c>
      <c r="X362">
        <f>IF($N362=0,0,IF(AND($F362&lt;=EOMONTH(DATE(PlanYear,10,1),0),IF(ISNUMBER($G362),$G362,$F362)&gt;=DATE(PlanYear,10,1)),1,0))</f>
        <v>0</v>
      </c>
      <c r="Y362">
        <f>IF($N362=0,0,IF(AND($F362&lt;=EOMONTH(DATE(PlanYear,11,1),0),IF(ISNUMBER($G362),$G362,$F362)&gt;=DATE(PlanYear,11,1)),1,0))</f>
        <v>0</v>
      </c>
      <c r="Z362">
        <f>IF($N362=0,0,IF(AND($F362&lt;=EOMONTH(DATE(PlanYear,12,1),0),IF(ISNUMBER($G362),$G362,$F362)&gt;=DATE(PlanYear,12,1)),1,0))</f>
        <v>0</v>
      </c>
      <c r="AA362">
        <f>SUM($O362:$Z362)</f>
        <v>0</v>
      </c>
    </row>
    <row r="363" spans="1:27">
      <c r="A363" s="42">
        <f>IF($B363="","","ACT-"&amp;TEXT(ROW()-4,"000"))</f>
        <v>0</v>
      </c>
      <c r="M363" s="43">
        <f>IF(COUNTA($B363:$K363)=0,"",IF($B363="","Missing activity name",IF($C363="","Missing practice",IF(COUNTIF(PracticeNames,$C363)=0,"Practice not in Lists",IF($D363="","Missing motion",IF(NOT(ISNUMBER($F363)),"Missing or invalid start date",IF(AND(ISNUMBER($G363),$G363&lt;$F363),"End date before start",IF(AND($N363=1,$AA363=0),"Outside planning year","OK"))))))))</f>
        <v>0</v>
      </c>
      <c r="N363">
        <f>IF(AND($B363&lt;&gt;"",$C363&lt;&gt;"",$D363&lt;&gt;"",ISNUMBER($F363),COUNTIF(PracticeNames,$C363)&gt;0,COUNTIF(MotionNames,$D363)&gt;0,NOT(AND(ISNUMBER($G363),$G363&lt;$F363))),IF(StatusFilter="All (excl. Cancelled)",IF($H363="Cancelled",0,1),IF(StatusFilter="All",1,IF($H363=StatusFilter,1,0))),0)</f>
        <v>0</v>
      </c>
      <c r="O363">
        <f>IF($N363=0,0,IF(AND($F363&lt;=EOMONTH(DATE(PlanYear,1,1),0),IF(ISNUMBER($G363),$G363,$F363)&gt;=DATE(PlanYear,1,1)),1,0))</f>
        <v>0</v>
      </c>
      <c r="P363">
        <f>IF($N363=0,0,IF(AND($F363&lt;=EOMONTH(DATE(PlanYear,2,1),0),IF(ISNUMBER($G363),$G363,$F363)&gt;=DATE(PlanYear,2,1)),1,0))</f>
        <v>0</v>
      </c>
      <c r="Q363">
        <f>IF($N363=0,0,IF(AND($F363&lt;=EOMONTH(DATE(PlanYear,3,1),0),IF(ISNUMBER($G363),$G363,$F363)&gt;=DATE(PlanYear,3,1)),1,0))</f>
        <v>0</v>
      </c>
      <c r="R363">
        <f>IF($N363=0,0,IF(AND($F363&lt;=EOMONTH(DATE(PlanYear,4,1),0),IF(ISNUMBER($G363),$G363,$F363)&gt;=DATE(PlanYear,4,1)),1,0))</f>
        <v>0</v>
      </c>
      <c r="S363">
        <f>IF($N363=0,0,IF(AND($F363&lt;=EOMONTH(DATE(PlanYear,5,1),0),IF(ISNUMBER($G363),$G363,$F363)&gt;=DATE(PlanYear,5,1)),1,0))</f>
        <v>0</v>
      </c>
      <c r="T363">
        <f>IF($N363=0,0,IF(AND($F363&lt;=EOMONTH(DATE(PlanYear,6,1),0),IF(ISNUMBER($G363),$G363,$F363)&gt;=DATE(PlanYear,6,1)),1,0))</f>
        <v>0</v>
      </c>
      <c r="U363">
        <f>IF($N363=0,0,IF(AND($F363&lt;=EOMONTH(DATE(PlanYear,7,1),0),IF(ISNUMBER($G363),$G363,$F363)&gt;=DATE(PlanYear,7,1)),1,0))</f>
        <v>0</v>
      </c>
      <c r="V363">
        <f>IF($N363=0,0,IF(AND($F363&lt;=EOMONTH(DATE(PlanYear,8,1),0),IF(ISNUMBER($G363),$G363,$F363)&gt;=DATE(PlanYear,8,1)),1,0))</f>
        <v>0</v>
      </c>
      <c r="W363">
        <f>IF($N363=0,0,IF(AND($F363&lt;=EOMONTH(DATE(PlanYear,9,1),0),IF(ISNUMBER($G363),$G363,$F363)&gt;=DATE(PlanYear,9,1)),1,0))</f>
        <v>0</v>
      </c>
      <c r="X363">
        <f>IF($N363=0,0,IF(AND($F363&lt;=EOMONTH(DATE(PlanYear,10,1),0),IF(ISNUMBER($G363),$G363,$F363)&gt;=DATE(PlanYear,10,1)),1,0))</f>
        <v>0</v>
      </c>
      <c r="Y363">
        <f>IF($N363=0,0,IF(AND($F363&lt;=EOMONTH(DATE(PlanYear,11,1),0),IF(ISNUMBER($G363),$G363,$F363)&gt;=DATE(PlanYear,11,1)),1,0))</f>
        <v>0</v>
      </c>
      <c r="Z363">
        <f>IF($N363=0,0,IF(AND($F363&lt;=EOMONTH(DATE(PlanYear,12,1),0),IF(ISNUMBER($G363),$G363,$F363)&gt;=DATE(PlanYear,12,1)),1,0))</f>
        <v>0</v>
      </c>
      <c r="AA363">
        <f>SUM($O363:$Z363)</f>
        <v>0</v>
      </c>
    </row>
    <row r="364" spans="1:27">
      <c r="A364" s="42">
        <f>IF($B364="","","ACT-"&amp;TEXT(ROW()-4,"000"))</f>
        <v>0</v>
      </c>
      <c r="M364" s="43">
        <f>IF(COUNTA($B364:$K364)=0,"",IF($B364="","Missing activity name",IF($C364="","Missing practice",IF(COUNTIF(PracticeNames,$C364)=0,"Practice not in Lists",IF($D364="","Missing motion",IF(NOT(ISNUMBER($F364)),"Missing or invalid start date",IF(AND(ISNUMBER($G364),$G364&lt;$F364),"End date before start",IF(AND($N364=1,$AA364=0),"Outside planning year","OK"))))))))</f>
        <v>0</v>
      </c>
      <c r="N364">
        <f>IF(AND($B364&lt;&gt;"",$C364&lt;&gt;"",$D364&lt;&gt;"",ISNUMBER($F364),COUNTIF(PracticeNames,$C364)&gt;0,COUNTIF(MotionNames,$D364)&gt;0,NOT(AND(ISNUMBER($G364),$G364&lt;$F364))),IF(StatusFilter="All (excl. Cancelled)",IF($H364="Cancelled",0,1),IF(StatusFilter="All",1,IF($H364=StatusFilter,1,0))),0)</f>
        <v>0</v>
      </c>
      <c r="O364">
        <f>IF($N364=0,0,IF(AND($F364&lt;=EOMONTH(DATE(PlanYear,1,1),0),IF(ISNUMBER($G364),$G364,$F364)&gt;=DATE(PlanYear,1,1)),1,0))</f>
        <v>0</v>
      </c>
      <c r="P364">
        <f>IF($N364=0,0,IF(AND($F364&lt;=EOMONTH(DATE(PlanYear,2,1),0),IF(ISNUMBER($G364),$G364,$F364)&gt;=DATE(PlanYear,2,1)),1,0))</f>
        <v>0</v>
      </c>
      <c r="Q364">
        <f>IF($N364=0,0,IF(AND($F364&lt;=EOMONTH(DATE(PlanYear,3,1),0),IF(ISNUMBER($G364),$G364,$F364)&gt;=DATE(PlanYear,3,1)),1,0))</f>
        <v>0</v>
      </c>
      <c r="R364">
        <f>IF($N364=0,0,IF(AND($F364&lt;=EOMONTH(DATE(PlanYear,4,1),0),IF(ISNUMBER($G364),$G364,$F364)&gt;=DATE(PlanYear,4,1)),1,0))</f>
        <v>0</v>
      </c>
      <c r="S364">
        <f>IF($N364=0,0,IF(AND($F364&lt;=EOMONTH(DATE(PlanYear,5,1),0),IF(ISNUMBER($G364),$G364,$F364)&gt;=DATE(PlanYear,5,1)),1,0))</f>
        <v>0</v>
      </c>
      <c r="T364">
        <f>IF($N364=0,0,IF(AND($F364&lt;=EOMONTH(DATE(PlanYear,6,1),0),IF(ISNUMBER($G364),$G364,$F364)&gt;=DATE(PlanYear,6,1)),1,0))</f>
        <v>0</v>
      </c>
      <c r="U364">
        <f>IF($N364=0,0,IF(AND($F364&lt;=EOMONTH(DATE(PlanYear,7,1),0),IF(ISNUMBER($G364),$G364,$F364)&gt;=DATE(PlanYear,7,1)),1,0))</f>
        <v>0</v>
      </c>
      <c r="V364">
        <f>IF($N364=0,0,IF(AND($F364&lt;=EOMONTH(DATE(PlanYear,8,1),0),IF(ISNUMBER($G364),$G364,$F364)&gt;=DATE(PlanYear,8,1)),1,0))</f>
        <v>0</v>
      </c>
      <c r="W364">
        <f>IF($N364=0,0,IF(AND($F364&lt;=EOMONTH(DATE(PlanYear,9,1),0),IF(ISNUMBER($G364),$G364,$F364)&gt;=DATE(PlanYear,9,1)),1,0))</f>
        <v>0</v>
      </c>
      <c r="X364">
        <f>IF($N364=0,0,IF(AND($F364&lt;=EOMONTH(DATE(PlanYear,10,1),0),IF(ISNUMBER($G364),$G364,$F364)&gt;=DATE(PlanYear,10,1)),1,0))</f>
        <v>0</v>
      </c>
      <c r="Y364">
        <f>IF($N364=0,0,IF(AND($F364&lt;=EOMONTH(DATE(PlanYear,11,1),0),IF(ISNUMBER($G364),$G364,$F364)&gt;=DATE(PlanYear,11,1)),1,0))</f>
        <v>0</v>
      </c>
      <c r="Z364">
        <f>IF($N364=0,0,IF(AND($F364&lt;=EOMONTH(DATE(PlanYear,12,1),0),IF(ISNUMBER($G364),$G364,$F364)&gt;=DATE(PlanYear,12,1)),1,0))</f>
        <v>0</v>
      </c>
      <c r="AA364">
        <f>SUM($O364:$Z364)</f>
        <v>0</v>
      </c>
    </row>
    <row r="365" spans="1:27">
      <c r="A365" s="42">
        <f>IF($B365="","","ACT-"&amp;TEXT(ROW()-4,"000"))</f>
        <v>0</v>
      </c>
      <c r="M365" s="43">
        <f>IF(COUNTA($B365:$K365)=0,"",IF($B365="","Missing activity name",IF($C365="","Missing practice",IF(COUNTIF(PracticeNames,$C365)=0,"Practice not in Lists",IF($D365="","Missing motion",IF(NOT(ISNUMBER($F365)),"Missing or invalid start date",IF(AND(ISNUMBER($G365),$G365&lt;$F365),"End date before start",IF(AND($N365=1,$AA365=0),"Outside planning year","OK"))))))))</f>
        <v>0</v>
      </c>
      <c r="N365">
        <f>IF(AND($B365&lt;&gt;"",$C365&lt;&gt;"",$D365&lt;&gt;"",ISNUMBER($F365),COUNTIF(PracticeNames,$C365)&gt;0,COUNTIF(MotionNames,$D365)&gt;0,NOT(AND(ISNUMBER($G365),$G365&lt;$F365))),IF(StatusFilter="All (excl. Cancelled)",IF($H365="Cancelled",0,1),IF(StatusFilter="All",1,IF($H365=StatusFilter,1,0))),0)</f>
        <v>0</v>
      </c>
      <c r="O365">
        <f>IF($N365=0,0,IF(AND($F365&lt;=EOMONTH(DATE(PlanYear,1,1),0),IF(ISNUMBER($G365),$G365,$F365)&gt;=DATE(PlanYear,1,1)),1,0))</f>
        <v>0</v>
      </c>
      <c r="P365">
        <f>IF($N365=0,0,IF(AND($F365&lt;=EOMONTH(DATE(PlanYear,2,1),0),IF(ISNUMBER($G365),$G365,$F365)&gt;=DATE(PlanYear,2,1)),1,0))</f>
        <v>0</v>
      </c>
      <c r="Q365">
        <f>IF($N365=0,0,IF(AND($F365&lt;=EOMONTH(DATE(PlanYear,3,1),0),IF(ISNUMBER($G365),$G365,$F365)&gt;=DATE(PlanYear,3,1)),1,0))</f>
        <v>0</v>
      </c>
      <c r="R365">
        <f>IF($N365=0,0,IF(AND($F365&lt;=EOMONTH(DATE(PlanYear,4,1),0),IF(ISNUMBER($G365),$G365,$F365)&gt;=DATE(PlanYear,4,1)),1,0))</f>
        <v>0</v>
      </c>
      <c r="S365">
        <f>IF($N365=0,0,IF(AND($F365&lt;=EOMONTH(DATE(PlanYear,5,1),0),IF(ISNUMBER($G365),$G365,$F365)&gt;=DATE(PlanYear,5,1)),1,0))</f>
        <v>0</v>
      </c>
      <c r="T365">
        <f>IF($N365=0,0,IF(AND($F365&lt;=EOMONTH(DATE(PlanYear,6,1),0),IF(ISNUMBER($G365),$G365,$F365)&gt;=DATE(PlanYear,6,1)),1,0))</f>
        <v>0</v>
      </c>
      <c r="U365">
        <f>IF($N365=0,0,IF(AND($F365&lt;=EOMONTH(DATE(PlanYear,7,1),0),IF(ISNUMBER($G365),$G365,$F365)&gt;=DATE(PlanYear,7,1)),1,0))</f>
        <v>0</v>
      </c>
      <c r="V365">
        <f>IF($N365=0,0,IF(AND($F365&lt;=EOMONTH(DATE(PlanYear,8,1),0),IF(ISNUMBER($G365),$G365,$F365)&gt;=DATE(PlanYear,8,1)),1,0))</f>
        <v>0</v>
      </c>
      <c r="W365">
        <f>IF($N365=0,0,IF(AND($F365&lt;=EOMONTH(DATE(PlanYear,9,1),0),IF(ISNUMBER($G365),$G365,$F365)&gt;=DATE(PlanYear,9,1)),1,0))</f>
        <v>0</v>
      </c>
      <c r="X365">
        <f>IF($N365=0,0,IF(AND($F365&lt;=EOMONTH(DATE(PlanYear,10,1),0),IF(ISNUMBER($G365),$G365,$F365)&gt;=DATE(PlanYear,10,1)),1,0))</f>
        <v>0</v>
      </c>
      <c r="Y365">
        <f>IF($N365=0,0,IF(AND($F365&lt;=EOMONTH(DATE(PlanYear,11,1),0),IF(ISNUMBER($G365),$G365,$F365)&gt;=DATE(PlanYear,11,1)),1,0))</f>
        <v>0</v>
      </c>
      <c r="Z365">
        <f>IF($N365=0,0,IF(AND($F365&lt;=EOMONTH(DATE(PlanYear,12,1),0),IF(ISNUMBER($G365),$G365,$F365)&gt;=DATE(PlanYear,12,1)),1,0))</f>
        <v>0</v>
      </c>
      <c r="AA365">
        <f>SUM($O365:$Z365)</f>
        <v>0</v>
      </c>
    </row>
    <row r="366" spans="1:27">
      <c r="A366" s="42">
        <f>IF($B366="","","ACT-"&amp;TEXT(ROW()-4,"000"))</f>
        <v>0</v>
      </c>
      <c r="M366" s="43">
        <f>IF(COUNTA($B366:$K366)=0,"",IF($B366="","Missing activity name",IF($C366="","Missing practice",IF(COUNTIF(PracticeNames,$C366)=0,"Practice not in Lists",IF($D366="","Missing motion",IF(NOT(ISNUMBER($F366)),"Missing or invalid start date",IF(AND(ISNUMBER($G366),$G366&lt;$F366),"End date before start",IF(AND($N366=1,$AA366=0),"Outside planning year","OK"))))))))</f>
        <v>0</v>
      </c>
      <c r="N366">
        <f>IF(AND($B366&lt;&gt;"",$C366&lt;&gt;"",$D366&lt;&gt;"",ISNUMBER($F366),COUNTIF(PracticeNames,$C366)&gt;0,COUNTIF(MotionNames,$D366)&gt;0,NOT(AND(ISNUMBER($G366),$G366&lt;$F366))),IF(StatusFilter="All (excl. Cancelled)",IF($H366="Cancelled",0,1),IF(StatusFilter="All",1,IF($H366=StatusFilter,1,0))),0)</f>
        <v>0</v>
      </c>
      <c r="O366">
        <f>IF($N366=0,0,IF(AND($F366&lt;=EOMONTH(DATE(PlanYear,1,1),0),IF(ISNUMBER($G366),$G366,$F366)&gt;=DATE(PlanYear,1,1)),1,0))</f>
        <v>0</v>
      </c>
      <c r="P366">
        <f>IF($N366=0,0,IF(AND($F366&lt;=EOMONTH(DATE(PlanYear,2,1),0),IF(ISNUMBER($G366),$G366,$F366)&gt;=DATE(PlanYear,2,1)),1,0))</f>
        <v>0</v>
      </c>
      <c r="Q366">
        <f>IF($N366=0,0,IF(AND($F366&lt;=EOMONTH(DATE(PlanYear,3,1),0),IF(ISNUMBER($G366),$G366,$F366)&gt;=DATE(PlanYear,3,1)),1,0))</f>
        <v>0</v>
      </c>
      <c r="R366">
        <f>IF($N366=0,0,IF(AND($F366&lt;=EOMONTH(DATE(PlanYear,4,1),0),IF(ISNUMBER($G366),$G366,$F366)&gt;=DATE(PlanYear,4,1)),1,0))</f>
        <v>0</v>
      </c>
      <c r="S366">
        <f>IF($N366=0,0,IF(AND($F366&lt;=EOMONTH(DATE(PlanYear,5,1),0),IF(ISNUMBER($G366),$G366,$F366)&gt;=DATE(PlanYear,5,1)),1,0))</f>
        <v>0</v>
      </c>
      <c r="T366">
        <f>IF($N366=0,0,IF(AND($F366&lt;=EOMONTH(DATE(PlanYear,6,1),0),IF(ISNUMBER($G366),$G366,$F366)&gt;=DATE(PlanYear,6,1)),1,0))</f>
        <v>0</v>
      </c>
      <c r="U366">
        <f>IF($N366=0,0,IF(AND($F366&lt;=EOMONTH(DATE(PlanYear,7,1),0),IF(ISNUMBER($G366),$G366,$F366)&gt;=DATE(PlanYear,7,1)),1,0))</f>
        <v>0</v>
      </c>
      <c r="V366">
        <f>IF($N366=0,0,IF(AND($F366&lt;=EOMONTH(DATE(PlanYear,8,1),0),IF(ISNUMBER($G366),$G366,$F366)&gt;=DATE(PlanYear,8,1)),1,0))</f>
        <v>0</v>
      </c>
      <c r="W366">
        <f>IF($N366=0,0,IF(AND($F366&lt;=EOMONTH(DATE(PlanYear,9,1),0),IF(ISNUMBER($G366),$G366,$F366)&gt;=DATE(PlanYear,9,1)),1,0))</f>
        <v>0</v>
      </c>
      <c r="X366">
        <f>IF($N366=0,0,IF(AND($F366&lt;=EOMONTH(DATE(PlanYear,10,1),0),IF(ISNUMBER($G366),$G366,$F366)&gt;=DATE(PlanYear,10,1)),1,0))</f>
        <v>0</v>
      </c>
      <c r="Y366">
        <f>IF($N366=0,0,IF(AND($F366&lt;=EOMONTH(DATE(PlanYear,11,1),0),IF(ISNUMBER($G366),$G366,$F366)&gt;=DATE(PlanYear,11,1)),1,0))</f>
        <v>0</v>
      </c>
      <c r="Z366">
        <f>IF($N366=0,0,IF(AND($F366&lt;=EOMONTH(DATE(PlanYear,12,1),0),IF(ISNUMBER($G366),$G366,$F366)&gt;=DATE(PlanYear,12,1)),1,0))</f>
        <v>0</v>
      </c>
      <c r="AA366">
        <f>SUM($O366:$Z366)</f>
        <v>0</v>
      </c>
    </row>
    <row r="367" spans="1:27">
      <c r="A367" s="42">
        <f>IF($B367="","","ACT-"&amp;TEXT(ROW()-4,"000"))</f>
        <v>0</v>
      </c>
      <c r="M367" s="43">
        <f>IF(COUNTA($B367:$K367)=0,"",IF($B367="","Missing activity name",IF($C367="","Missing practice",IF(COUNTIF(PracticeNames,$C367)=0,"Practice not in Lists",IF($D367="","Missing motion",IF(NOT(ISNUMBER($F367)),"Missing or invalid start date",IF(AND(ISNUMBER($G367),$G367&lt;$F367),"End date before start",IF(AND($N367=1,$AA367=0),"Outside planning year","OK"))))))))</f>
        <v>0</v>
      </c>
      <c r="N367">
        <f>IF(AND($B367&lt;&gt;"",$C367&lt;&gt;"",$D367&lt;&gt;"",ISNUMBER($F367),COUNTIF(PracticeNames,$C367)&gt;0,COUNTIF(MotionNames,$D367)&gt;0,NOT(AND(ISNUMBER($G367),$G367&lt;$F367))),IF(StatusFilter="All (excl. Cancelled)",IF($H367="Cancelled",0,1),IF(StatusFilter="All",1,IF($H367=StatusFilter,1,0))),0)</f>
        <v>0</v>
      </c>
      <c r="O367">
        <f>IF($N367=0,0,IF(AND($F367&lt;=EOMONTH(DATE(PlanYear,1,1),0),IF(ISNUMBER($G367),$G367,$F367)&gt;=DATE(PlanYear,1,1)),1,0))</f>
        <v>0</v>
      </c>
      <c r="P367">
        <f>IF($N367=0,0,IF(AND($F367&lt;=EOMONTH(DATE(PlanYear,2,1),0),IF(ISNUMBER($G367),$G367,$F367)&gt;=DATE(PlanYear,2,1)),1,0))</f>
        <v>0</v>
      </c>
      <c r="Q367">
        <f>IF($N367=0,0,IF(AND($F367&lt;=EOMONTH(DATE(PlanYear,3,1),0),IF(ISNUMBER($G367),$G367,$F367)&gt;=DATE(PlanYear,3,1)),1,0))</f>
        <v>0</v>
      </c>
      <c r="R367">
        <f>IF($N367=0,0,IF(AND($F367&lt;=EOMONTH(DATE(PlanYear,4,1),0),IF(ISNUMBER($G367),$G367,$F367)&gt;=DATE(PlanYear,4,1)),1,0))</f>
        <v>0</v>
      </c>
      <c r="S367">
        <f>IF($N367=0,0,IF(AND($F367&lt;=EOMONTH(DATE(PlanYear,5,1),0),IF(ISNUMBER($G367),$G367,$F367)&gt;=DATE(PlanYear,5,1)),1,0))</f>
        <v>0</v>
      </c>
      <c r="T367">
        <f>IF($N367=0,0,IF(AND($F367&lt;=EOMONTH(DATE(PlanYear,6,1),0),IF(ISNUMBER($G367),$G367,$F367)&gt;=DATE(PlanYear,6,1)),1,0))</f>
        <v>0</v>
      </c>
      <c r="U367">
        <f>IF($N367=0,0,IF(AND($F367&lt;=EOMONTH(DATE(PlanYear,7,1),0),IF(ISNUMBER($G367),$G367,$F367)&gt;=DATE(PlanYear,7,1)),1,0))</f>
        <v>0</v>
      </c>
      <c r="V367">
        <f>IF($N367=0,0,IF(AND($F367&lt;=EOMONTH(DATE(PlanYear,8,1),0),IF(ISNUMBER($G367),$G367,$F367)&gt;=DATE(PlanYear,8,1)),1,0))</f>
        <v>0</v>
      </c>
      <c r="W367">
        <f>IF($N367=0,0,IF(AND($F367&lt;=EOMONTH(DATE(PlanYear,9,1),0),IF(ISNUMBER($G367),$G367,$F367)&gt;=DATE(PlanYear,9,1)),1,0))</f>
        <v>0</v>
      </c>
      <c r="X367">
        <f>IF($N367=0,0,IF(AND($F367&lt;=EOMONTH(DATE(PlanYear,10,1),0),IF(ISNUMBER($G367),$G367,$F367)&gt;=DATE(PlanYear,10,1)),1,0))</f>
        <v>0</v>
      </c>
      <c r="Y367">
        <f>IF($N367=0,0,IF(AND($F367&lt;=EOMONTH(DATE(PlanYear,11,1),0),IF(ISNUMBER($G367),$G367,$F367)&gt;=DATE(PlanYear,11,1)),1,0))</f>
        <v>0</v>
      </c>
      <c r="Z367">
        <f>IF($N367=0,0,IF(AND($F367&lt;=EOMONTH(DATE(PlanYear,12,1),0),IF(ISNUMBER($G367),$G367,$F367)&gt;=DATE(PlanYear,12,1)),1,0))</f>
        <v>0</v>
      </c>
      <c r="AA367">
        <f>SUM($O367:$Z367)</f>
        <v>0</v>
      </c>
    </row>
    <row r="368" spans="1:27">
      <c r="A368" s="42">
        <f>IF($B368="","","ACT-"&amp;TEXT(ROW()-4,"000"))</f>
        <v>0</v>
      </c>
      <c r="M368" s="43">
        <f>IF(COUNTA($B368:$K368)=0,"",IF($B368="","Missing activity name",IF($C368="","Missing practice",IF(COUNTIF(PracticeNames,$C368)=0,"Practice not in Lists",IF($D368="","Missing motion",IF(NOT(ISNUMBER($F368)),"Missing or invalid start date",IF(AND(ISNUMBER($G368),$G368&lt;$F368),"End date before start",IF(AND($N368=1,$AA368=0),"Outside planning year","OK"))))))))</f>
        <v>0</v>
      </c>
      <c r="N368">
        <f>IF(AND($B368&lt;&gt;"",$C368&lt;&gt;"",$D368&lt;&gt;"",ISNUMBER($F368),COUNTIF(PracticeNames,$C368)&gt;0,COUNTIF(MotionNames,$D368)&gt;0,NOT(AND(ISNUMBER($G368),$G368&lt;$F368))),IF(StatusFilter="All (excl. Cancelled)",IF($H368="Cancelled",0,1),IF(StatusFilter="All",1,IF($H368=StatusFilter,1,0))),0)</f>
        <v>0</v>
      </c>
      <c r="O368">
        <f>IF($N368=0,0,IF(AND($F368&lt;=EOMONTH(DATE(PlanYear,1,1),0),IF(ISNUMBER($G368),$G368,$F368)&gt;=DATE(PlanYear,1,1)),1,0))</f>
        <v>0</v>
      </c>
      <c r="P368">
        <f>IF($N368=0,0,IF(AND($F368&lt;=EOMONTH(DATE(PlanYear,2,1),0),IF(ISNUMBER($G368),$G368,$F368)&gt;=DATE(PlanYear,2,1)),1,0))</f>
        <v>0</v>
      </c>
      <c r="Q368">
        <f>IF($N368=0,0,IF(AND($F368&lt;=EOMONTH(DATE(PlanYear,3,1),0),IF(ISNUMBER($G368),$G368,$F368)&gt;=DATE(PlanYear,3,1)),1,0))</f>
        <v>0</v>
      </c>
      <c r="R368">
        <f>IF($N368=0,0,IF(AND($F368&lt;=EOMONTH(DATE(PlanYear,4,1),0),IF(ISNUMBER($G368),$G368,$F368)&gt;=DATE(PlanYear,4,1)),1,0))</f>
        <v>0</v>
      </c>
      <c r="S368">
        <f>IF($N368=0,0,IF(AND($F368&lt;=EOMONTH(DATE(PlanYear,5,1),0),IF(ISNUMBER($G368),$G368,$F368)&gt;=DATE(PlanYear,5,1)),1,0))</f>
        <v>0</v>
      </c>
      <c r="T368">
        <f>IF($N368=0,0,IF(AND($F368&lt;=EOMONTH(DATE(PlanYear,6,1),0),IF(ISNUMBER($G368),$G368,$F368)&gt;=DATE(PlanYear,6,1)),1,0))</f>
        <v>0</v>
      </c>
      <c r="U368">
        <f>IF($N368=0,0,IF(AND($F368&lt;=EOMONTH(DATE(PlanYear,7,1),0),IF(ISNUMBER($G368),$G368,$F368)&gt;=DATE(PlanYear,7,1)),1,0))</f>
        <v>0</v>
      </c>
      <c r="V368">
        <f>IF($N368=0,0,IF(AND($F368&lt;=EOMONTH(DATE(PlanYear,8,1),0),IF(ISNUMBER($G368),$G368,$F368)&gt;=DATE(PlanYear,8,1)),1,0))</f>
        <v>0</v>
      </c>
      <c r="W368">
        <f>IF($N368=0,0,IF(AND($F368&lt;=EOMONTH(DATE(PlanYear,9,1),0),IF(ISNUMBER($G368),$G368,$F368)&gt;=DATE(PlanYear,9,1)),1,0))</f>
        <v>0</v>
      </c>
      <c r="X368">
        <f>IF($N368=0,0,IF(AND($F368&lt;=EOMONTH(DATE(PlanYear,10,1),0),IF(ISNUMBER($G368),$G368,$F368)&gt;=DATE(PlanYear,10,1)),1,0))</f>
        <v>0</v>
      </c>
      <c r="Y368">
        <f>IF($N368=0,0,IF(AND($F368&lt;=EOMONTH(DATE(PlanYear,11,1),0),IF(ISNUMBER($G368),$G368,$F368)&gt;=DATE(PlanYear,11,1)),1,0))</f>
        <v>0</v>
      </c>
      <c r="Z368">
        <f>IF($N368=0,0,IF(AND($F368&lt;=EOMONTH(DATE(PlanYear,12,1),0),IF(ISNUMBER($G368),$G368,$F368)&gt;=DATE(PlanYear,12,1)),1,0))</f>
        <v>0</v>
      </c>
      <c r="AA368">
        <f>SUM($O368:$Z368)</f>
        <v>0</v>
      </c>
    </row>
    <row r="369" spans="1:27">
      <c r="A369" s="42">
        <f>IF($B369="","","ACT-"&amp;TEXT(ROW()-4,"000"))</f>
        <v>0</v>
      </c>
      <c r="M369" s="43">
        <f>IF(COUNTA($B369:$K369)=0,"",IF($B369="","Missing activity name",IF($C369="","Missing practice",IF(COUNTIF(PracticeNames,$C369)=0,"Practice not in Lists",IF($D369="","Missing motion",IF(NOT(ISNUMBER($F369)),"Missing or invalid start date",IF(AND(ISNUMBER($G369),$G369&lt;$F369),"End date before start",IF(AND($N369=1,$AA369=0),"Outside planning year","OK"))))))))</f>
        <v>0</v>
      </c>
      <c r="N369">
        <f>IF(AND($B369&lt;&gt;"",$C369&lt;&gt;"",$D369&lt;&gt;"",ISNUMBER($F369),COUNTIF(PracticeNames,$C369)&gt;0,COUNTIF(MotionNames,$D369)&gt;0,NOT(AND(ISNUMBER($G369),$G369&lt;$F369))),IF(StatusFilter="All (excl. Cancelled)",IF($H369="Cancelled",0,1),IF(StatusFilter="All",1,IF($H369=StatusFilter,1,0))),0)</f>
        <v>0</v>
      </c>
      <c r="O369">
        <f>IF($N369=0,0,IF(AND($F369&lt;=EOMONTH(DATE(PlanYear,1,1),0),IF(ISNUMBER($G369),$G369,$F369)&gt;=DATE(PlanYear,1,1)),1,0))</f>
        <v>0</v>
      </c>
      <c r="P369">
        <f>IF($N369=0,0,IF(AND($F369&lt;=EOMONTH(DATE(PlanYear,2,1),0),IF(ISNUMBER($G369),$G369,$F369)&gt;=DATE(PlanYear,2,1)),1,0))</f>
        <v>0</v>
      </c>
      <c r="Q369">
        <f>IF($N369=0,0,IF(AND($F369&lt;=EOMONTH(DATE(PlanYear,3,1),0),IF(ISNUMBER($G369),$G369,$F369)&gt;=DATE(PlanYear,3,1)),1,0))</f>
        <v>0</v>
      </c>
      <c r="R369">
        <f>IF($N369=0,0,IF(AND($F369&lt;=EOMONTH(DATE(PlanYear,4,1),0),IF(ISNUMBER($G369),$G369,$F369)&gt;=DATE(PlanYear,4,1)),1,0))</f>
        <v>0</v>
      </c>
      <c r="S369">
        <f>IF($N369=0,0,IF(AND($F369&lt;=EOMONTH(DATE(PlanYear,5,1),0),IF(ISNUMBER($G369),$G369,$F369)&gt;=DATE(PlanYear,5,1)),1,0))</f>
        <v>0</v>
      </c>
      <c r="T369">
        <f>IF($N369=0,0,IF(AND($F369&lt;=EOMONTH(DATE(PlanYear,6,1),0),IF(ISNUMBER($G369),$G369,$F369)&gt;=DATE(PlanYear,6,1)),1,0))</f>
        <v>0</v>
      </c>
      <c r="U369">
        <f>IF($N369=0,0,IF(AND($F369&lt;=EOMONTH(DATE(PlanYear,7,1),0),IF(ISNUMBER($G369),$G369,$F369)&gt;=DATE(PlanYear,7,1)),1,0))</f>
        <v>0</v>
      </c>
      <c r="V369">
        <f>IF($N369=0,0,IF(AND($F369&lt;=EOMONTH(DATE(PlanYear,8,1),0),IF(ISNUMBER($G369),$G369,$F369)&gt;=DATE(PlanYear,8,1)),1,0))</f>
        <v>0</v>
      </c>
      <c r="W369">
        <f>IF($N369=0,0,IF(AND($F369&lt;=EOMONTH(DATE(PlanYear,9,1),0),IF(ISNUMBER($G369),$G369,$F369)&gt;=DATE(PlanYear,9,1)),1,0))</f>
        <v>0</v>
      </c>
      <c r="X369">
        <f>IF($N369=0,0,IF(AND($F369&lt;=EOMONTH(DATE(PlanYear,10,1),0),IF(ISNUMBER($G369),$G369,$F369)&gt;=DATE(PlanYear,10,1)),1,0))</f>
        <v>0</v>
      </c>
      <c r="Y369">
        <f>IF($N369=0,0,IF(AND($F369&lt;=EOMONTH(DATE(PlanYear,11,1),0),IF(ISNUMBER($G369),$G369,$F369)&gt;=DATE(PlanYear,11,1)),1,0))</f>
        <v>0</v>
      </c>
      <c r="Z369">
        <f>IF($N369=0,0,IF(AND($F369&lt;=EOMONTH(DATE(PlanYear,12,1),0),IF(ISNUMBER($G369),$G369,$F369)&gt;=DATE(PlanYear,12,1)),1,0))</f>
        <v>0</v>
      </c>
      <c r="AA369">
        <f>SUM($O369:$Z369)</f>
        <v>0</v>
      </c>
    </row>
    <row r="370" spans="1:27">
      <c r="A370" s="42">
        <f>IF($B370="","","ACT-"&amp;TEXT(ROW()-4,"000"))</f>
        <v>0</v>
      </c>
      <c r="M370" s="43">
        <f>IF(COUNTA($B370:$K370)=0,"",IF($B370="","Missing activity name",IF($C370="","Missing practice",IF(COUNTIF(PracticeNames,$C370)=0,"Practice not in Lists",IF($D370="","Missing motion",IF(NOT(ISNUMBER($F370)),"Missing or invalid start date",IF(AND(ISNUMBER($G370),$G370&lt;$F370),"End date before start",IF(AND($N370=1,$AA370=0),"Outside planning year","OK"))))))))</f>
        <v>0</v>
      </c>
      <c r="N370">
        <f>IF(AND($B370&lt;&gt;"",$C370&lt;&gt;"",$D370&lt;&gt;"",ISNUMBER($F370),COUNTIF(PracticeNames,$C370)&gt;0,COUNTIF(MotionNames,$D370)&gt;0,NOT(AND(ISNUMBER($G370),$G370&lt;$F370))),IF(StatusFilter="All (excl. Cancelled)",IF($H370="Cancelled",0,1),IF(StatusFilter="All",1,IF($H370=StatusFilter,1,0))),0)</f>
        <v>0</v>
      </c>
      <c r="O370">
        <f>IF($N370=0,0,IF(AND($F370&lt;=EOMONTH(DATE(PlanYear,1,1),0),IF(ISNUMBER($G370),$G370,$F370)&gt;=DATE(PlanYear,1,1)),1,0))</f>
        <v>0</v>
      </c>
      <c r="P370">
        <f>IF($N370=0,0,IF(AND($F370&lt;=EOMONTH(DATE(PlanYear,2,1),0),IF(ISNUMBER($G370),$G370,$F370)&gt;=DATE(PlanYear,2,1)),1,0))</f>
        <v>0</v>
      </c>
      <c r="Q370">
        <f>IF($N370=0,0,IF(AND($F370&lt;=EOMONTH(DATE(PlanYear,3,1),0),IF(ISNUMBER($G370),$G370,$F370)&gt;=DATE(PlanYear,3,1)),1,0))</f>
        <v>0</v>
      </c>
      <c r="R370">
        <f>IF($N370=0,0,IF(AND($F370&lt;=EOMONTH(DATE(PlanYear,4,1),0),IF(ISNUMBER($G370),$G370,$F370)&gt;=DATE(PlanYear,4,1)),1,0))</f>
        <v>0</v>
      </c>
      <c r="S370">
        <f>IF($N370=0,0,IF(AND($F370&lt;=EOMONTH(DATE(PlanYear,5,1),0),IF(ISNUMBER($G370),$G370,$F370)&gt;=DATE(PlanYear,5,1)),1,0))</f>
        <v>0</v>
      </c>
      <c r="T370">
        <f>IF($N370=0,0,IF(AND($F370&lt;=EOMONTH(DATE(PlanYear,6,1),0),IF(ISNUMBER($G370),$G370,$F370)&gt;=DATE(PlanYear,6,1)),1,0))</f>
        <v>0</v>
      </c>
      <c r="U370">
        <f>IF($N370=0,0,IF(AND($F370&lt;=EOMONTH(DATE(PlanYear,7,1),0),IF(ISNUMBER($G370),$G370,$F370)&gt;=DATE(PlanYear,7,1)),1,0))</f>
        <v>0</v>
      </c>
      <c r="V370">
        <f>IF($N370=0,0,IF(AND($F370&lt;=EOMONTH(DATE(PlanYear,8,1),0),IF(ISNUMBER($G370),$G370,$F370)&gt;=DATE(PlanYear,8,1)),1,0))</f>
        <v>0</v>
      </c>
      <c r="W370">
        <f>IF($N370=0,0,IF(AND($F370&lt;=EOMONTH(DATE(PlanYear,9,1),0),IF(ISNUMBER($G370),$G370,$F370)&gt;=DATE(PlanYear,9,1)),1,0))</f>
        <v>0</v>
      </c>
      <c r="X370">
        <f>IF($N370=0,0,IF(AND($F370&lt;=EOMONTH(DATE(PlanYear,10,1),0),IF(ISNUMBER($G370),$G370,$F370)&gt;=DATE(PlanYear,10,1)),1,0))</f>
        <v>0</v>
      </c>
      <c r="Y370">
        <f>IF($N370=0,0,IF(AND($F370&lt;=EOMONTH(DATE(PlanYear,11,1),0),IF(ISNUMBER($G370),$G370,$F370)&gt;=DATE(PlanYear,11,1)),1,0))</f>
        <v>0</v>
      </c>
      <c r="Z370">
        <f>IF($N370=0,0,IF(AND($F370&lt;=EOMONTH(DATE(PlanYear,12,1),0),IF(ISNUMBER($G370),$G370,$F370)&gt;=DATE(PlanYear,12,1)),1,0))</f>
        <v>0</v>
      </c>
      <c r="AA370">
        <f>SUM($O370:$Z370)</f>
        <v>0</v>
      </c>
    </row>
    <row r="371" spans="1:27">
      <c r="A371" s="42">
        <f>IF($B371="","","ACT-"&amp;TEXT(ROW()-4,"000"))</f>
        <v>0</v>
      </c>
      <c r="M371" s="43">
        <f>IF(COUNTA($B371:$K371)=0,"",IF($B371="","Missing activity name",IF($C371="","Missing practice",IF(COUNTIF(PracticeNames,$C371)=0,"Practice not in Lists",IF($D371="","Missing motion",IF(NOT(ISNUMBER($F371)),"Missing or invalid start date",IF(AND(ISNUMBER($G371),$G371&lt;$F371),"End date before start",IF(AND($N371=1,$AA371=0),"Outside planning year","OK"))))))))</f>
        <v>0</v>
      </c>
      <c r="N371">
        <f>IF(AND($B371&lt;&gt;"",$C371&lt;&gt;"",$D371&lt;&gt;"",ISNUMBER($F371),COUNTIF(PracticeNames,$C371)&gt;0,COUNTIF(MotionNames,$D371)&gt;0,NOT(AND(ISNUMBER($G371),$G371&lt;$F371))),IF(StatusFilter="All (excl. Cancelled)",IF($H371="Cancelled",0,1),IF(StatusFilter="All",1,IF($H371=StatusFilter,1,0))),0)</f>
        <v>0</v>
      </c>
      <c r="O371">
        <f>IF($N371=0,0,IF(AND($F371&lt;=EOMONTH(DATE(PlanYear,1,1),0),IF(ISNUMBER($G371),$G371,$F371)&gt;=DATE(PlanYear,1,1)),1,0))</f>
        <v>0</v>
      </c>
      <c r="P371">
        <f>IF($N371=0,0,IF(AND($F371&lt;=EOMONTH(DATE(PlanYear,2,1),0),IF(ISNUMBER($G371),$G371,$F371)&gt;=DATE(PlanYear,2,1)),1,0))</f>
        <v>0</v>
      </c>
      <c r="Q371">
        <f>IF($N371=0,0,IF(AND($F371&lt;=EOMONTH(DATE(PlanYear,3,1),0),IF(ISNUMBER($G371),$G371,$F371)&gt;=DATE(PlanYear,3,1)),1,0))</f>
        <v>0</v>
      </c>
      <c r="R371">
        <f>IF($N371=0,0,IF(AND($F371&lt;=EOMONTH(DATE(PlanYear,4,1),0),IF(ISNUMBER($G371),$G371,$F371)&gt;=DATE(PlanYear,4,1)),1,0))</f>
        <v>0</v>
      </c>
      <c r="S371">
        <f>IF($N371=0,0,IF(AND($F371&lt;=EOMONTH(DATE(PlanYear,5,1),0),IF(ISNUMBER($G371),$G371,$F371)&gt;=DATE(PlanYear,5,1)),1,0))</f>
        <v>0</v>
      </c>
      <c r="T371">
        <f>IF($N371=0,0,IF(AND($F371&lt;=EOMONTH(DATE(PlanYear,6,1),0),IF(ISNUMBER($G371),$G371,$F371)&gt;=DATE(PlanYear,6,1)),1,0))</f>
        <v>0</v>
      </c>
      <c r="U371">
        <f>IF($N371=0,0,IF(AND($F371&lt;=EOMONTH(DATE(PlanYear,7,1),0),IF(ISNUMBER($G371),$G371,$F371)&gt;=DATE(PlanYear,7,1)),1,0))</f>
        <v>0</v>
      </c>
      <c r="V371">
        <f>IF($N371=0,0,IF(AND($F371&lt;=EOMONTH(DATE(PlanYear,8,1),0),IF(ISNUMBER($G371),$G371,$F371)&gt;=DATE(PlanYear,8,1)),1,0))</f>
        <v>0</v>
      </c>
      <c r="W371">
        <f>IF($N371=0,0,IF(AND($F371&lt;=EOMONTH(DATE(PlanYear,9,1),0),IF(ISNUMBER($G371),$G371,$F371)&gt;=DATE(PlanYear,9,1)),1,0))</f>
        <v>0</v>
      </c>
      <c r="X371">
        <f>IF($N371=0,0,IF(AND($F371&lt;=EOMONTH(DATE(PlanYear,10,1),0),IF(ISNUMBER($G371),$G371,$F371)&gt;=DATE(PlanYear,10,1)),1,0))</f>
        <v>0</v>
      </c>
      <c r="Y371">
        <f>IF($N371=0,0,IF(AND($F371&lt;=EOMONTH(DATE(PlanYear,11,1),0),IF(ISNUMBER($G371),$G371,$F371)&gt;=DATE(PlanYear,11,1)),1,0))</f>
        <v>0</v>
      </c>
      <c r="Z371">
        <f>IF($N371=0,0,IF(AND($F371&lt;=EOMONTH(DATE(PlanYear,12,1),0),IF(ISNUMBER($G371),$G371,$F371)&gt;=DATE(PlanYear,12,1)),1,0))</f>
        <v>0</v>
      </c>
      <c r="AA371">
        <f>SUM($O371:$Z371)</f>
        <v>0</v>
      </c>
    </row>
    <row r="372" spans="1:27">
      <c r="A372" s="42">
        <f>IF($B372="","","ACT-"&amp;TEXT(ROW()-4,"000"))</f>
        <v>0</v>
      </c>
      <c r="M372" s="43">
        <f>IF(COUNTA($B372:$K372)=0,"",IF($B372="","Missing activity name",IF($C372="","Missing practice",IF(COUNTIF(PracticeNames,$C372)=0,"Practice not in Lists",IF($D372="","Missing motion",IF(NOT(ISNUMBER($F372)),"Missing or invalid start date",IF(AND(ISNUMBER($G372),$G372&lt;$F372),"End date before start",IF(AND($N372=1,$AA372=0),"Outside planning year","OK"))))))))</f>
        <v>0</v>
      </c>
      <c r="N372">
        <f>IF(AND($B372&lt;&gt;"",$C372&lt;&gt;"",$D372&lt;&gt;"",ISNUMBER($F372),COUNTIF(PracticeNames,$C372)&gt;0,COUNTIF(MotionNames,$D372)&gt;0,NOT(AND(ISNUMBER($G372),$G372&lt;$F372))),IF(StatusFilter="All (excl. Cancelled)",IF($H372="Cancelled",0,1),IF(StatusFilter="All",1,IF($H372=StatusFilter,1,0))),0)</f>
        <v>0</v>
      </c>
      <c r="O372">
        <f>IF($N372=0,0,IF(AND($F372&lt;=EOMONTH(DATE(PlanYear,1,1),0),IF(ISNUMBER($G372),$G372,$F372)&gt;=DATE(PlanYear,1,1)),1,0))</f>
        <v>0</v>
      </c>
      <c r="P372">
        <f>IF($N372=0,0,IF(AND($F372&lt;=EOMONTH(DATE(PlanYear,2,1),0),IF(ISNUMBER($G372),$G372,$F372)&gt;=DATE(PlanYear,2,1)),1,0))</f>
        <v>0</v>
      </c>
      <c r="Q372">
        <f>IF($N372=0,0,IF(AND($F372&lt;=EOMONTH(DATE(PlanYear,3,1),0),IF(ISNUMBER($G372),$G372,$F372)&gt;=DATE(PlanYear,3,1)),1,0))</f>
        <v>0</v>
      </c>
      <c r="R372">
        <f>IF($N372=0,0,IF(AND($F372&lt;=EOMONTH(DATE(PlanYear,4,1),0),IF(ISNUMBER($G372),$G372,$F372)&gt;=DATE(PlanYear,4,1)),1,0))</f>
        <v>0</v>
      </c>
      <c r="S372">
        <f>IF($N372=0,0,IF(AND($F372&lt;=EOMONTH(DATE(PlanYear,5,1),0),IF(ISNUMBER($G372),$G372,$F372)&gt;=DATE(PlanYear,5,1)),1,0))</f>
        <v>0</v>
      </c>
      <c r="T372">
        <f>IF($N372=0,0,IF(AND($F372&lt;=EOMONTH(DATE(PlanYear,6,1),0),IF(ISNUMBER($G372),$G372,$F372)&gt;=DATE(PlanYear,6,1)),1,0))</f>
        <v>0</v>
      </c>
      <c r="U372">
        <f>IF($N372=0,0,IF(AND($F372&lt;=EOMONTH(DATE(PlanYear,7,1),0),IF(ISNUMBER($G372),$G372,$F372)&gt;=DATE(PlanYear,7,1)),1,0))</f>
        <v>0</v>
      </c>
      <c r="V372">
        <f>IF($N372=0,0,IF(AND($F372&lt;=EOMONTH(DATE(PlanYear,8,1),0),IF(ISNUMBER($G372),$G372,$F372)&gt;=DATE(PlanYear,8,1)),1,0))</f>
        <v>0</v>
      </c>
      <c r="W372">
        <f>IF($N372=0,0,IF(AND($F372&lt;=EOMONTH(DATE(PlanYear,9,1),0),IF(ISNUMBER($G372),$G372,$F372)&gt;=DATE(PlanYear,9,1)),1,0))</f>
        <v>0</v>
      </c>
      <c r="X372">
        <f>IF($N372=0,0,IF(AND($F372&lt;=EOMONTH(DATE(PlanYear,10,1),0),IF(ISNUMBER($G372),$G372,$F372)&gt;=DATE(PlanYear,10,1)),1,0))</f>
        <v>0</v>
      </c>
      <c r="Y372">
        <f>IF($N372=0,0,IF(AND($F372&lt;=EOMONTH(DATE(PlanYear,11,1),0),IF(ISNUMBER($G372),$G372,$F372)&gt;=DATE(PlanYear,11,1)),1,0))</f>
        <v>0</v>
      </c>
      <c r="Z372">
        <f>IF($N372=0,0,IF(AND($F372&lt;=EOMONTH(DATE(PlanYear,12,1),0),IF(ISNUMBER($G372),$G372,$F372)&gt;=DATE(PlanYear,12,1)),1,0))</f>
        <v>0</v>
      </c>
      <c r="AA372">
        <f>SUM($O372:$Z372)</f>
        <v>0</v>
      </c>
    </row>
    <row r="373" spans="1:27">
      <c r="A373" s="42">
        <f>IF($B373="","","ACT-"&amp;TEXT(ROW()-4,"000"))</f>
        <v>0</v>
      </c>
      <c r="M373" s="43">
        <f>IF(COUNTA($B373:$K373)=0,"",IF($B373="","Missing activity name",IF($C373="","Missing practice",IF(COUNTIF(PracticeNames,$C373)=0,"Practice not in Lists",IF($D373="","Missing motion",IF(NOT(ISNUMBER($F373)),"Missing or invalid start date",IF(AND(ISNUMBER($G373),$G373&lt;$F373),"End date before start",IF(AND($N373=1,$AA373=0),"Outside planning year","OK"))))))))</f>
        <v>0</v>
      </c>
      <c r="N373">
        <f>IF(AND($B373&lt;&gt;"",$C373&lt;&gt;"",$D373&lt;&gt;"",ISNUMBER($F373),COUNTIF(PracticeNames,$C373)&gt;0,COUNTIF(MotionNames,$D373)&gt;0,NOT(AND(ISNUMBER($G373),$G373&lt;$F373))),IF(StatusFilter="All (excl. Cancelled)",IF($H373="Cancelled",0,1),IF(StatusFilter="All",1,IF($H373=StatusFilter,1,0))),0)</f>
        <v>0</v>
      </c>
      <c r="O373">
        <f>IF($N373=0,0,IF(AND($F373&lt;=EOMONTH(DATE(PlanYear,1,1),0),IF(ISNUMBER($G373),$G373,$F373)&gt;=DATE(PlanYear,1,1)),1,0))</f>
        <v>0</v>
      </c>
      <c r="P373">
        <f>IF($N373=0,0,IF(AND($F373&lt;=EOMONTH(DATE(PlanYear,2,1),0),IF(ISNUMBER($G373),$G373,$F373)&gt;=DATE(PlanYear,2,1)),1,0))</f>
        <v>0</v>
      </c>
      <c r="Q373">
        <f>IF($N373=0,0,IF(AND($F373&lt;=EOMONTH(DATE(PlanYear,3,1),0),IF(ISNUMBER($G373),$G373,$F373)&gt;=DATE(PlanYear,3,1)),1,0))</f>
        <v>0</v>
      </c>
      <c r="R373">
        <f>IF($N373=0,0,IF(AND($F373&lt;=EOMONTH(DATE(PlanYear,4,1),0),IF(ISNUMBER($G373),$G373,$F373)&gt;=DATE(PlanYear,4,1)),1,0))</f>
        <v>0</v>
      </c>
      <c r="S373">
        <f>IF($N373=0,0,IF(AND($F373&lt;=EOMONTH(DATE(PlanYear,5,1),0),IF(ISNUMBER($G373),$G373,$F373)&gt;=DATE(PlanYear,5,1)),1,0))</f>
        <v>0</v>
      </c>
      <c r="T373">
        <f>IF($N373=0,0,IF(AND($F373&lt;=EOMONTH(DATE(PlanYear,6,1),0),IF(ISNUMBER($G373),$G373,$F373)&gt;=DATE(PlanYear,6,1)),1,0))</f>
        <v>0</v>
      </c>
      <c r="U373">
        <f>IF($N373=0,0,IF(AND($F373&lt;=EOMONTH(DATE(PlanYear,7,1),0),IF(ISNUMBER($G373),$G373,$F373)&gt;=DATE(PlanYear,7,1)),1,0))</f>
        <v>0</v>
      </c>
      <c r="V373">
        <f>IF($N373=0,0,IF(AND($F373&lt;=EOMONTH(DATE(PlanYear,8,1),0),IF(ISNUMBER($G373),$G373,$F373)&gt;=DATE(PlanYear,8,1)),1,0))</f>
        <v>0</v>
      </c>
      <c r="W373">
        <f>IF($N373=0,0,IF(AND($F373&lt;=EOMONTH(DATE(PlanYear,9,1),0),IF(ISNUMBER($G373),$G373,$F373)&gt;=DATE(PlanYear,9,1)),1,0))</f>
        <v>0</v>
      </c>
      <c r="X373">
        <f>IF($N373=0,0,IF(AND($F373&lt;=EOMONTH(DATE(PlanYear,10,1),0),IF(ISNUMBER($G373),$G373,$F373)&gt;=DATE(PlanYear,10,1)),1,0))</f>
        <v>0</v>
      </c>
      <c r="Y373">
        <f>IF($N373=0,0,IF(AND($F373&lt;=EOMONTH(DATE(PlanYear,11,1),0),IF(ISNUMBER($G373),$G373,$F373)&gt;=DATE(PlanYear,11,1)),1,0))</f>
        <v>0</v>
      </c>
      <c r="Z373">
        <f>IF($N373=0,0,IF(AND($F373&lt;=EOMONTH(DATE(PlanYear,12,1),0),IF(ISNUMBER($G373),$G373,$F373)&gt;=DATE(PlanYear,12,1)),1,0))</f>
        <v>0</v>
      </c>
      <c r="AA373">
        <f>SUM($O373:$Z373)</f>
        <v>0</v>
      </c>
    </row>
    <row r="374" spans="1:27">
      <c r="A374" s="42">
        <f>IF($B374="","","ACT-"&amp;TEXT(ROW()-4,"000"))</f>
        <v>0</v>
      </c>
      <c r="M374" s="43">
        <f>IF(COUNTA($B374:$K374)=0,"",IF($B374="","Missing activity name",IF($C374="","Missing practice",IF(COUNTIF(PracticeNames,$C374)=0,"Practice not in Lists",IF($D374="","Missing motion",IF(NOT(ISNUMBER($F374)),"Missing or invalid start date",IF(AND(ISNUMBER($G374),$G374&lt;$F374),"End date before start",IF(AND($N374=1,$AA374=0),"Outside planning year","OK"))))))))</f>
        <v>0</v>
      </c>
      <c r="N374">
        <f>IF(AND($B374&lt;&gt;"",$C374&lt;&gt;"",$D374&lt;&gt;"",ISNUMBER($F374),COUNTIF(PracticeNames,$C374)&gt;0,COUNTIF(MotionNames,$D374)&gt;0,NOT(AND(ISNUMBER($G374),$G374&lt;$F374))),IF(StatusFilter="All (excl. Cancelled)",IF($H374="Cancelled",0,1),IF(StatusFilter="All",1,IF($H374=StatusFilter,1,0))),0)</f>
        <v>0</v>
      </c>
      <c r="O374">
        <f>IF($N374=0,0,IF(AND($F374&lt;=EOMONTH(DATE(PlanYear,1,1),0),IF(ISNUMBER($G374),$G374,$F374)&gt;=DATE(PlanYear,1,1)),1,0))</f>
        <v>0</v>
      </c>
      <c r="P374">
        <f>IF($N374=0,0,IF(AND($F374&lt;=EOMONTH(DATE(PlanYear,2,1),0),IF(ISNUMBER($G374),$G374,$F374)&gt;=DATE(PlanYear,2,1)),1,0))</f>
        <v>0</v>
      </c>
      <c r="Q374">
        <f>IF($N374=0,0,IF(AND($F374&lt;=EOMONTH(DATE(PlanYear,3,1),0),IF(ISNUMBER($G374),$G374,$F374)&gt;=DATE(PlanYear,3,1)),1,0))</f>
        <v>0</v>
      </c>
      <c r="R374">
        <f>IF($N374=0,0,IF(AND($F374&lt;=EOMONTH(DATE(PlanYear,4,1),0),IF(ISNUMBER($G374),$G374,$F374)&gt;=DATE(PlanYear,4,1)),1,0))</f>
        <v>0</v>
      </c>
      <c r="S374">
        <f>IF($N374=0,0,IF(AND($F374&lt;=EOMONTH(DATE(PlanYear,5,1),0),IF(ISNUMBER($G374),$G374,$F374)&gt;=DATE(PlanYear,5,1)),1,0))</f>
        <v>0</v>
      </c>
      <c r="T374">
        <f>IF($N374=0,0,IF(AND($F374&lt;=EOMONTH(DATE(PlanYear,6,1),0),IF(ISNUMBER($G374),$G374,$F374)&gt;=DATE(PlanYear,6,1)),1,0))</f>
        <v>0</v>
      </c>
      <c r="U374">
        <f>IF($N374=0,0,IF(AND($F374&lt;=EOMONTH(DATE(PlanYear,7,1),0),IF(ISNUMBER($G374),$G374,$F374)&gt;=DATE(PlanYear,7,1)),1,0))</f>
        <v>0</v>
      </c>
      <c r="V374">
        <f>IF($N374=0,0,IF(AND($F374&lt;=EOMONTH(DATE(PlanYear,8,1),0),IF(ISNUMBER($G374),$G374,$F374)&gt;=DATE(PlanYear,8,1)),1,0))</f>
        <v>0</v>
      </c>
      <c r="W374">
        <f>IF($N374=0,0,IF(AND($F374&lt;=EOMONTH(DATE(PlanYear,9,1),0),IF(ISNUMBER($G374),$G374,$F374)&gt;=DATE(PlanYear,9,1)),1,0))</f>
        <v>0</v>
      </c>
      <c r="X374">
        <f>IF($N374=0,0,IF(AND($F374&lt;=EOMONTH(DATE(PlanYear,10,1),0),IF(ISNUMBER($G374),$G374,$F374)&gt;=DATE(PlanYear,10,1)),1,0))</f>
        <v>0</v>
      </c>
      <c r="Y374">
        <f>IF($N374=0,0,IF(AND($F374&lt;=EOMONTH(DATE(PlanYear,11,1),0),IF(ISNUMBER($G374),$G374,$F374)&gt;=DATE(PlanYear,11,1)),1,0))</f>
        <v>0</v>
      </c>
      <c r="Z374">
        <f>IF($N374=0,0,IF(AND($F374&lt;=EOMONTH(DATE(PlanYear,12,1),0),IF(ISNUMBER($G374),$G374,$F374)&gt;=DATE(PlanYear,12,1)),1,0))</f>
        <v>0</v>
      </c>
      <c r="AA374">
        <f>SUM($O374:$Z374)</f>
        <v>0</v>
      </c>
    </row>
    <row r="375" spans="1:27">
      <c r="A375" s="42">
        <f>IF($B375="","","ACT-"&amp;TEXT(ROW()-4,"000"))</f>
        <v>0</v>
      </c>
      <c r="M375" s="43">
        <f>IF(COUNTA($B375:$K375)=0,"",IF($B375="","Missing activity name",IF($C375="","Missing practice",IF(COUNTIF(PracticeNames,$C375)=0,"Practice not in Lists",IF($D375="","Missing motion",IF(NOT(ISNUMBER($F375)),"Missing or invalid start date",IF(AND(ISNUMBER($G375),$G375&lt;$F375),"End date before start",IF(AND($N375=1,$AA375=0),"Outside planning year","OK"))))))))</f>
        <v>0</v>
      </c>
      <c r="N375">
        <f>IF(AND($B375&lt;&gt;"",$C375&lt;&gt;"",$D375&lt;&gt;"",ISNUMBER($F375),COUNTIF(PracticeNames,$C375)&gt;0,COUNTIF(MotionNames,$D375)&gt;0,NOT(AND(ISNUMBER($G375),$G375&lt;$F375))),IF(StatusFilter="All (excl. Cancelled)",IF($H375="Cancelled",0,1),IF(StatusFilter="All",1,IF($H375=StatusFilter,1,0))),0)</f>
        <v>0</v>
      </c>
      <c r="O375">
        <f>IF($N375=0,0,IF(AND($F375&lt;=EOMONTH(DATE(PlanYear,1,1),0),IF(ISNUMBER($G375),$G375,$F375)&gt;=DATE(PlanYear,1,1)),1,0))</f>
        <v>0</v>
      </c>
      <c r="P375">
        <f>IF($N375=0,0,IF(AND($F375&lt;=EOMONTH(DATE(PlanYear,2,1),0),IF(ISNUMBER($G375),$G375,$F375)&gt;=DATE(PlanYear,2,1)),1,0))</f>
        <v>0</v>
      </c>
      <c r="Q375">
        <f>IF($N375=0,0,IF(AND($F375&lt;=EOMONTH(DATE(PlanYear,3,1),0),IF(ISNUMBER($G375),$G375,$F375)&gt;=DATE(PlanYear,3,1)),1,0))</f>
        <v>0</v>
      </c>
      <c r="R375">
        <f>IF($N375=0,0,IF(AND($F375&lt;=EOMONTH(DATE(PlanYear,4,1),0),IF(ISNUMBER($G375),$G375,$F375)&gt;=DATE(PlanYear,4,1)),1,0))</f>
        <v>0</v>
      </c>
      <c r="S375">
        <f>IF($N375=0,0,IF(AND($F375&lt;=EOMONTH(DATE(PlanYear,5,1),0),IF(ISNUMBER($G375),$G375,$F375)&gt;=DATE(PlanYear,5,1)),1,0))</f>
        <v>0</v>
      </c>
      <c r="T375">
        <f>IF($N375=0,0,IF(AND($F375&lt;=EOMONTH(DATE(PlanYear,6,1),0),IF(ISNUMBER($G375),$G375,$F375)&gt;=DATE(PlanYear,6,1)),1,0))</f>
        <v>0</v>
      </c>
      <c r="U375">
        <f>IF($N375=0,0,IF(AND($F375&lt;=EOMONTH(DATE(PlanYear,7,1),0),IF(ISNUMBER($G375),$G375,$F375)&gt;=DATE(PlanYear,7,1)),1,0))</f>
        <v>0</v>
      </c>
      <c r="V375">
        <f>IF($N375=0,0,IF(AND($F375&lt;=EOMONTH(DATE(PlanYear,8,1),0),IF(ISNUMBER($G375),$G375,$F375)&gt;=DATE(PlanYear,8,1)),1,0))</f>
        <v>0</v>
      </c>
      <c r="W375">
        <f>IF($N375=0,0,IF(AND($F375&lt;=EOMONTH(DATE(PlanYear,9,1),0),IF(ISNUMBER($G375),$G375,$F375)&gt;=DATE(PlanYear,9,1)),1,0))</f>
        <v>0</v>
      </c>
      <c r="X375">
        <f>IF($N375=0,0,IF(AND($F375&lt;=EOMONTH(DATE(PlanYear,10,1),0),IF(ISNUMBER($G375),$G375,$F375)&gt;=DATE(PlanYear,10,1)),1,0))</f>
        <v>0</v>
      </c>
      <c r="Y375">
        <f>IF($N375=0,0,IF(AND($F375&lt;=EOMONTH(DATE(PlanYear,11,1),0),IF(ISNUMBER($G375),$G375,$F375)&gt;=DATE(PlanYear,11,1)),1,0))</f>
        <v>0</v>
      </c>
      <c r="Z375">
        <f>IF($N375=0,0,IF(AND($F375&lt;=EOMONTH(DATE(PlanYear,12,1),0),IF(ISNUMBER($G375),$G375,$F375)&gt;=DATE(PlanYear,12,1)),1,0))</f>
        <v>0</v>
      </c>
      <c r="AA375">
        <f>SUM($O375:$Z375)</f>
        <v>0</v>
      </c>
    </row>
    <row r="376" spans="1:27">
      <c r="A376" s="42">
        <f>IF($B376="","","ACT-"&amp;TEXT(ROW()-4,"000"))</f>
        <v>0</v>
      </c>
      <c r="M376" s="43">
        <f>IF(COUNTA($B376:$K376)=0,"",IF($B376="","Missing activity name",IF($C376="","Missing practice",IF(COUNTIF(PracticeNames,$C376)=0,"Practice not in Lists",IF($D376="","Missing motion",IF(NOT(ISNUMBER($F376)),"Missing or invalid start date",IF(AND(ISNUMBER($G376),$G376&lt;$F376),"End date before start",IF(AND($N376=1,$AA376=0),"Outside planning year","OK"))))))))</f>
        <v>0</v>
      </c>
      <c r="N376">
        <f>IF(AND($B376&lt;&gt;"",$C376&lt;&gt;"",$D376&lt;&gt;"",ISNUMBER($F376),COUNTIF(PracticeNames,$C376)&gt;0,COUNTIF(MotionNames,$D376)&gt;0,NOT(AND(ISNUMBER($G376),$G376&lt;$F376))),IF(StatusFilter="All (excl. Cancelled)",IF($H376="Cancelled",0,1),IF(StatusFilter="All",1,IF($H376=StatusFilter,1,0))),0)</f>
        <v>0</v>
      </c>
      <c r="O376">
        <f>IF($N376=0,0,IF(AND($F376&lt;=EOMONTH(DATE(PlanYear,1,1),0),IF(ISNUMBER($G376),$G376,$F376)&gt;=DATE(PlanYear,1,1)),1,0))</f>
        <v>0</v>
      </c>
      <c r="P376">
        <f>IF($N376=0,0,IF(AND($F376&lt;=EOMONTH(DATE(PlanYear,2,1),0),IF(ISNUMBER($G376),$G376,$F376)&gt;=DATE(PlanYear,2,1)),1,0))</f>
        <v>0</v>
      </c>
      <c r="Q376">
        <f>IF($N376=0,0,IF(AND($F376&lt;=EOMONTH(DATE(PlanYear,3,1),0),IF(ISNUMBER($G376),$G376,$F376)&gt;=DATE(PlanYear,3,1)),1,0))</f>
        <v>0</v>
      </c>
      <c r="R376">
        <f>IF($N376=0,0,IF(AND($F376&lt;=EOMONTH(DATE(PlanYear,4,1),0),IF(ISNUMBER($G376),$G376,$F376)&gt;=DATE(PlanYear,4,1)),1,0))</f>
        <v>0</v>
      </c>
      <c r="S376">
        <f>IF($N376=0,0,IF(AND($F376&lt;=EOMONTH(DATE(PlanYear,5,1),0),IF(ISNUMBER($G376),$G376,$F376)&gt;=DATE(PlanYear,5,1)),1,0))</f>
        <v>0</v>
      </c>
      <c r="T376">
        <f>IF($N376=0,0,IF(AND($F376&lt;=EOMONTH(DATE(PlanYear,6,1),0),IF(ISNUMBER($G376),$G376,$F376)&gt;=DATE(PlanYear,6,1)),1,0))</f>
        <v>0</v>
      </c>
      <c r="U376">
        <f>IF($N376=0,0,IF(AND($F376&lt;=EOMONTH(DATE(PlanYear,7,1),0),IF(ISNUMBER($G376),$G376,$F376)&gt;=DATE(PlanYear,7,1)),1,0))</f>
        <v>0</v>
      </c>
      <c r="V376">
        <f>IF($N376=0,0,IF(AND($F376&lt;=EOMONTH(DATE(PlanYear,8,1),0),IF(ISNUMBER($G376),$G376,$F376)&gt;=DATE(PlanYear,8,1)),1,0))</f>
        <v>0</v>
      </c>
      <c r="W376">
        <f>IF($N376=0,0,IF(AND($F376&lt;=EOMONTH(DATE(PlanYear,9,1),0),IF(ISNUMBER($G376),$G376,$F376)&gt;=DATE(PlanYear,9,1)),1,0))</f>
        <v>0</v>
      </c>
      <c r="X376">
        <f>IF($N376=0,0,IF(AND($F376&lt;=EOMONTH(DATE(PlanYear,10,1),0),IF(ISNUMBER($G376),$G376,$F376)&gt;=DATE(PlanYear,10,1)),1,0))</f>
        <v>0</v>
      </c>
      <c r="Y376">
        <f>IF($N376=0,0,IF(AND($F376&lt;=EOMONTH(DATE(PlanYear,11,1),0),IF(ISNUMBER($G376),$G376,$F376)&gt;=DATE(PlanYear,11,1)),1,0))</f>
        <v>0</v>
      </c>
      <c r="Z376">
        <f>IF($N376=0,0,IF(AND($F376&lt;=EOMONTH(DATE(PlanYear,12,1),0),IF(ISNUMBER($G376),$G376,$F376)&gt;=DATE(PlanYear,12,1)),1,0))</f>
        <v>0</v>
      </c>
      <c r="AA376">
        <f>SUM($O376:$Z376)</f>
        <v>0</v>
      </c>
    </row>
    <row r="377" spans="1:27">
      <c r="A377" s="42">
        <f>IF($B377="","","ACT-"&amp;TEXT(ROW()-4,"000"))</f>
        <v>0</v>
      </c>
      <c r="M377" s="43">
        <f>IF(COUNTA($B377:$K377)=0,"",IF($B377="","Missing activity name",IF($C377="","Missing practice",IF(COUNTIF(PracticeNames,$C377)=0,"Practice not in Lists",IF($D377="","Missing motion",IF(NOT(ISNUMBER($F377)),"Missing or invalid start date",IF(AND(ISNUMBER($G377),$G377&lt;$F377),"End date before start",IF(AND($N377=1,$AA377=0),"Outside planning year","OK"))))))))</f>
        <v>0</v>
      </c>
      <c r="N377">
        <f>IF(AND($B377&lt;&gt;"",$C377&lt;&gt;"",$D377&lt;&gt;"",ISNUMBER($F377),COUNTIF(PracticeNames,$C377)&gt;0,COUNTIF(MotionNames,$D377)&gt;0,NOT(AND(ISNUMBER($G377),$G377&lt;$F377))),IF(StatusFilter="All (excl. Cancelled)",IF($H377="Cancelled",0,1),IF(StatusFilter="All",1,IF($H377=StatusFilter,1,0))),0)</f>
        <v>0</v>
      </c>
      <c r="O377">
        <f>IF($N377=0,0,IF(AND($F377&lt;=EOMONTH(DATE(PlanYear,1,1),0),IF(ISNUMBER($G377),$G377,$F377)&gt;=DATE(PlanYear,1,1)),1,0))</f>
        <v>0</v>
      </c>
      <c r="P377">
        <f>IF($N377=0,0,IF(AND($F377&lt;=EOMONTH(DATE(PlanYear,2,1),0),IF(ISNUMBER($G377),$G377,$F377)&gt;=DATE(PlanYear,2,1)),1,0))</f>
        <v>0</v>
      </c>
      <c r="Q377">
        <f>IF($N377=0,0,IF(AND($F377&lt;=EOMONTH(DATE(PlanYear,3,1),0),IF(ISNUMBER($G377),$G377,$F377)&gt;=DATE(PlanYear,3,1)),1,0))</f>
        <v>0</v>
      </c>
      <c r="R377">
        <f>IF($N377=0,0,IF(AND($F377&lt;=EOMONTH(DATE(PlanYear,4,1),0),IF(ISNUMBER($G377),$G377,$F377)&gt;=DATE(PlanYear,4,1)),1,0))</f>
        <v>0</v>
      </c>
      <c r="S377">
        <f>IF($N377=0,0,IF(AND($F377&lt;=EOMONTH(DATE(PlanYear,5,1),0),IF(ISNUMBER($G377),$G377,$F377)&gt;=DATE(PlanYear,5,1)),1,0))</f>
        <v>0</v>
      </c>
      <c r="T377">
        <f>IF($N377=0,0,IF(AND($F377&lt;=EOMONTH(DATE(PlanYear,6,1),0),IF(ISNUMBER($G377),$G377,$F377)&gt;=DATE(PlanYear,6,1)),1,0))</f>
        <v>0</v>
      </c>
      <c r="U377">
        <f>IF($N377=0,0,IF(AND($F377&lt;=EOMONTH(DATE(PlanYear,7,1),0),IF(ISNUMBER($G377),$G377,$F377)&gt;=DATE(PlanYear,7,1)),1,0))</f>
        <v>0</v>
      </c>
      <c r="V377">
        <f>IF($N377=0,0,IF(AND($F377&lt;=EOMONTH(DATE(PlanYear,8,1),0),IF(ISNUMBER($G377),$G377,$F377)&gt;=DATE(PlanYear,8,1)),1,0))</f>
        <v>0</v>
      </c>
      <c r="W377">
        <f>IF($N377=0,0,IF(AND($F377&lt;=EOMONTH(DATE(PlanYear,9,1),0),IF(ISNUMBER($G377),$G377,$F377)&gt;=DATE(PlanYear,9,1)),1,0))</f>
        <v>0</v>
      </c>
      <c r="X377">
        <f>IF($N377=0,0,IF(AND($F377&lt;=EOMONTH(DATE(PlanYear,10,1),0),IF(ISNUMBER($G377),$G377,$F377)&gt;=DATE(PlanYear,10,1)),1,0))</f>
        <v>0</v>
      </c>
      <c r="Y377">
        <f>IF($N377=0,0,IF(AND($F377&lt;=EOMONTH(DATE(PlanYear,11,1),0),IF(ISNUMBER($G377),$G377,$F377)&gt;=DATE(PlanYear,11,1)),1,0))</f>
        <v>0</v>
      </c>
      <c r="Z377">
        <f>IF($N377=0,0,IF(AND($F377&lt;=EOMONTH(DATE(PlanYear,12,1),0),IF(ISNUMBER($G377),$G377,$F377)&gt;=DATE(PlanYear,12,1)),1,0))</f>
        <v>0</v>
      </c>
      <c r="AA377">
        <f>SUM($O377:$Z377)</f>
        <v>0</v>
      </c>
    </row>
    <row r="378" spans="1:27">
      <c r="A378" s="42">
        <f>IF($B378="","","ACT-"&amp;TEXT(ROW()-4,"000"))</f>
        <v>0</v>
      </c>
      <c r="M378" s="43">
        <f>IF(COUNTA($B378:$K378)=0,"",IF($B378="","Missing activity name",IF($C378="","Missing practice",IF(COUNTIF(PracticeNames,$C378)=0,"Practice not in Lists",IF($D378="","Missing motion",IF(NOT(ISNUMBER($F378)),"Missing or invalid start date",IF(AND(ISNUMBER($G378),$G378&lt;$F378),"End date before start",IF(AND($N378=1,$AA378=0),"Outside planning year","OK"))))))))</f>
        <v>0</v>
      </c>
      <c r="N378">
        <f>IF(AND($B378&lt;&gt;"",$C378&lt;&gt;"",$D378&lt;&gt;"",ISNUMBER($F378),COUNTIF(PracticeNames,$C378)&gt;0,COUNTIF(MotionNames,$D378)&gt;0,NOT(AND(ISNUMBER($G378),$G378&lt;$F378))),IF(StatusFilter="All (excl. Cancelled)",IF($H378="Cancelled",0,1),IF(StatusFilter="All",1,IF($H378=StatusFilter,1,0))),0)</f>
        <v>0</v>
      </c>
      <c r="O378">
        <f>IF($N378=0,0,IF(AND($F378&lt;=EOMONTH(DATE(PlanYear,1,1),0),IF(ISNUMBER($G378),$G378,$F378)&gt;=DATE(PlanYear,1,1)),1,0))</f>
        <v>0</v>
      </c>
      <c r="P378">
        <f>IF($N378=0,0,IF(AND($F378&lt;=EOMONTH(DATE(PlanYear,2,1),0),IF(ISNUMBER($G378),$G378,$F378)&gt;=DATE(PlanYear,2,1)),1,0))</f>
        <v>0</v>
      </c>
      <c r="Q378">
        <f>IF($N378=0,0,IF(AND($F378&lt;=EOMONTH(DATE(PlanYear,3,1),0),IF(ISNUMBER($G378),$G378,$F378)&gt;=DATE(PlanYear,3,1)),1,0))</f>
        <v>0</v>
      </c>
      <c r="R378">
        <f>IF($N378=0,0,IF(AND($F378&lt;=EOMONTH(DATE(PlanYear,4,1),0),IF(ISNUMBER($G378),$G378,$F378)&gt;=DATE(PlanYear,4,1)),1,0))</f>
        <v>0</v>
      </c>
      <c r="S378">
        <f>IF($N378=0,0,IF(AND($F378&lt;=EOMONTH(DATE(PlanYear,5,1),0),IF(ISNUMBER($G378),$G378,$F378)&gt;=DATE(PlanYear,5,1)),1,0))</f>
        <v>0</v>
      </c>
      <c r="T378">
        <f>IF($N378=0,0,IF(AND($F378&lt;=EOMONTH(DATE(PlanYear,6,1),0),IF(ISNUMBER($G378),$G378,$F378)&gt;=DATE(PlanYear,6,1)),1,0))</f>
        <v>0</v>
      </c>
      <c r="U378">
        <f>IF($N378=0,0,IF(AND($F378&lt;=EOMONTH(DATE(PlanYear,7,1),0),IF(ISNUMBER($G378),$G378,$F378)&gt;=DATE(PlanYear,7,1)),1,0))</f>
        <v>0</v>
      </c>
      <c r="V378">
        <f>IF($N378=0,0,IF(AND($F378&lt;=EOMONTH(DATE(PlanYear,8,1),0),IF(ISNUMBER($G378),$G378,$F378)&gt;=DATE(PlanYear,8,1)),1,0))</f>
        <v>0</v>
      </c>
      <c r="W378">
        <f>IF($N378=0,0,IF(AND($F378&lt;=EOMONTH(DATE(PlanYear,9,1),0),IF(ISNUMBER($G378),$G378,$F378)&gt;=DATE(PlanYear,9,1)),1,0))</f>
        <v>0</v>
      </c>
      <c r="X378">
        <f>IF($N378=0,0,IF(AND($F378&lt;=EOMONTH(DATE(PlanYear,10,1),0),IF(ISNUMBER($G378),$G378,$F378)&gt;=DATE(PlanYear,10,1)),1,0))</f>
        <v>0</v>
      </c>
      <c r="Y378">
        <f>IF($N378=0,0,IF(AND($F378&lt;=EOMONTH(DATE(PlanYear,11,1),0),IF(ISNUMBER($G378),$G378,$F378)&gt;=DATE(PlanYear,11,1)),1,0))</f>
        <v>0</v>
      </c>
      <c r="Z378">
        <f>IF($N378=0,0,IF(AND($F378&lt;=EOMONTH(DATE(PlanYear,12,1),0),IF(ISNUMBER($G378),$G378,$F378)&gt;=DATE(PlanYear,12,1)),1,0))</f>
        <v>0</v>
      </c>
      <c r="AA378">
        <f>SUM($O378:$Z378)</f>
        <v>0</v>
      </c>
    </row>
    <row r="379" spans="1:27">
      <c r="A379" s="42">
        <f>IF($B379="","","ACT-"&amp;TEXT(ROW()-4,"000"))</f>
        <v>0</v>
      </c>
      <c r="M379" s="43">
        <f>IF(COUNTA($B379:$K379)=0,"",IF($B379="","Missing activity name",IF($C379="","Missing practice",IF(COUNTIF(PracticeNames,$C379)=0,"Practice not in Lists",IF($D379="","Missing motion",IF(NOT(ISNUMBER($F379)),"Missing or invalid start date",IF(AND(ISNUMBER($G379),$G379&lt;$F379),"End date before start",IF(AND($N379=1,$AA379=0),"Outside planning year","OK"))))))))</f>
        <v>0</v>
      </c>
      <c r="N379">
        <f>IF(AND($B379&lt;&gt;"",$C379&lt;&gt;"",$D379&lt;&gt;"",ISNUMBER($F379),COUNTIF(PracticeNames,$C379)&gt;0,COUNTIF(MotionNames,$D379)&gt;0,NOT(AND(ISNUMBER($G379),$G379&lt;$F379))),IF(StatusFilter="All (excl. Cancelled)",IF($H379="Cancelled",0,1),IF(StatusFilter="All",1,IF($H379=StatusFilter,1,0))),0)</f>
        <v>0</v>
      </c>
      <c r="O379">
        <f>IF($N379=0,0,IF(AND($F379&lt;=EOMONTH(DATE(PlanYear,1,1),0),IF(ISNUMBER($G379),$G379,$F379)&gt;=DATE(PlanYear,1,1)),1,0))</f>
        <v>0</v>
      </c>
      <c r="P379">
        <f>IF($N379=0,0,IF(AND($F379&lt;=EOMONTH(DATE(PlanYear,2,1),0),IF(ISNUMBER($G379),$G379,$F379)&gt;=DATE(PlanYear,2,1)),1,0))</f>
        <v>0</v>
      </c>
      <c r="Q379">
        <f>IF($N379=0,0,IF(AND($F379&lt;=EOMONTH(DATE(PlanYear,3,1),0),IF(ISNUMBER($G379),$G379,$F379)&gt;=DATE(PlanYear,3,1)),1,0))</f>
        <v>0</v>
      </c>
      <c r="R379">
        <f>IF($N379=0,0,IF(AND($F379&lt;=EOMONTH(DATE(PlanYear,4,1),0),IF(ISNUMBER($G379),$G379,$F379)&gt;=DATE(PlanYear,4,1)),1,0))</f>
        <v>0</v>
      </c>
      <c r="S379">
        <f>IF($N379=0,0,IF(AND($F379&lt;=EOMONTH(DATE(PlanYear,5,1),0),IF(ISNUMBER($G379),$G379,$F379)&gt;=DATE(PlanYear,5,1)),1,0))</f>
        <v>0</v>
      </c>
      <c r="T379">
        <f>IF($N379=0,0,IF(AND($F379&lt;=EOMONTH(DATE(PlanYear,6,1),0),IF(ISNUMBER($G379),$G379,$F379)&gt;=DATE(PlanYear,6,1)),1,0))</f>
        <v>0</v>
      </c>
      <c r="U379">
        <f>IF($N379=0,0,IF(AND($F379&lt;=EOMONTH(DATE(PlanYear,7,1),0),IF(ISNUMBER($G379),$G379,$F379)&gt;=DATE(PlanYear,7,1)),1,0))</f>
        <v>0</v>
      </c>
      <c r="V379">
        <f>IF($N379=0,0,IF(AND($F379&lt;=EOMONTH(DATE(PlanYear,8,1),0),IF(ISNUMBER($G379),$G379,$F379)&gt;=DATE(PlanYear,8,1)),1,0))</f>
        <v>0</v>
      </c>
      <c r="W379">
        <f>IF($N379=0,0,IF(AND($F379&lt;=EOMONTH(DATE(PlanYear,9,1),0),IF(ISNUMBER($G379),$G379,$F379)&gt;=DATE(PlanYear,9,1)),1,0))</f>
        <v>0</v>
      </c>
      <c r="X379">
        <f>IF($N379=0,0,IF(AND($F379&lt;=EOMONTH(DATE(PlanYear,10,1),0),IF(ISNUMBER($G379),$G379,$F379)&gt;=DATE(PlanYear,10,1)),1,0))</f>
        <v>0</v>
      </c>
      <c r="Y379">
        <f>IF($N379=0,0,IF(AND($F379&lt;=EOMONTH(DATE(PlanYear,11,1),0),IF(ISNUMBER($G379),$G379,$F379)&gt;=DATE(PlanYear,11,1)),1,0))</f>
        <v>0</v>
      </c>
      <c r="Z379">
        <f>IF($N379=0,0,IF(AND($F379&lt;=EOMONTH(DATE(PlanYear,12,1),0),IF(ISNUMBER($G379),$G379,$F379)&gt;=DATE(PlanYear,12,1)),1,0))</f>
        <v>0</v>
      </c>
      <c r="AA379">
        <f>SUM($O379:$Z379)</f>
        <v>0</v>
      </c>
    </row>
    <row r="380" spans="1:27">
      <c r="A380" s="42">
        <f>IF($B380="","","ACT-"&amp;TEXT(ROW()-4,"000"))</f>
        <v>0</v>
      </c>
      <c r="M380" s="43">
        <f>IF(COUNTA($B380:$K380)=0,"",IF($B380="","Missing activity name",IF($C380="","Missing practice",IF(COUNTIF(PracticeNames,$C380)=0,"Practice not in Lists",IF($D380="","Missing motion",IF(NOT(ISNUMBER($F380)),"Missing or invalid start date",IF(AND(ISNUMBER($G380),$G380&lt;$F380),"End date before start",IF(AND($N380=1,$AA380=0),"Outside planning year","OK"))))))))</f>
        <v>0</v>
      </c>
      <c r="N380">
        <f>IF(AND($B380&lt;&gt;"",$C380&lt;&gt;"",$D380&lt;&gt;"",ISNUMBER($F380),COUNTIF(PracticeNames,$C380)&gt;0,COUNTIF(MotionNames,$D380)&gt;0,NOT(AND(ISNUMBER($G380),$G380&lt;$F380))),IF(StatusFilter="All (excl. Cancelled)",IF($H380="Cancelled",0,1),IF(StatusFilter="All",1,IF($H380=StatusFilter,1,0))),0)</f>
        <v>0</v>
      </c>
      <c r="O380">
        <f>IF($N380=0,0,IF(AND($F380&lt;=EOMONTH(DATE(PlanYear,1,1),0),IF(ISNUMBER($G380),$G380,$F380)&gt;=DATE(PlanYear,1,1)),1,0))</f>
        <v>0</v>
      </c>
      <c r="P380">
        <f>IF($N380=0,0,IF(AND($F380&lt;=EOMONTH(DATE(PlanYear,2,1),0),IF(ISNUMBER($G380),$G380,$F380)&gt;=DATE(PlanYear,2,1)),1,0))</f>
        <v>0</v>
      </c>
      <c r="Q380">
        <f>IF($N380=0,0,IF(AND($F380&lt;=EOMONTH(DATE(PlanYear,3,1),0),IF(ISNUMBER($G380),$G380,$F380)&gt;=DATE(PlanYear,3,1)),1,0))</f>
        <v>0</v>
      </c>
      <c r="R380">
        <f>IF($N380=0,0,IF(AND($F380&lt;=EOMONTH(DATE(PlanYear,4,1),0),IF(ISNUMBER($G380),$G380,$F380)&gt;=DATE(PlanYear,4,1)),1,0))</f>
        <v>0</v>
      </c>
      <c r="S380">
        <f>IF($N380=0,0,IF(AND($F380&lt;=EOMONTH(DATE(PlanYear,5,1),0),IF(ISNUMBER($G380),$G380,$F380)&gt;=DATE(PlanYear,5,1)),1,0))</f>
        <v>0</v>
      </c>
      <c r="T380">
        <f>IF($N380=0,0,IF(AND($F380&lt;=EOMONTH(DATE(PlanYear,6,1),0),IF(ISNUMBER($G380),$G380,$F380)&gt;=DATE(PlanYear,6,1)),1,0))</f>
        <v>0</v>
      </c>
      <c r="U380">
        <f>IF($N380=0,0,IF(AND($F380&lt;=EOMONTH(DATE(PlanYear,7,1),0),IF(ISNUMBER($G380),$G380,$F380)&gt;=DATE(PlanYear,7,1)),1,0))</f>
        <v>0</v>
      </c>
      <c r="V380">
        <f>IF($N380=0,0,IF(AND($F380&lt;=EOMONTH(DATE(PlanYear,8,1),0),IF(ISNUMBER($G380),$G380,$F380)&gt;=DATE(PlanYear,8,1)),1,0))</f>
        <v>0</v>
      </c>
      <c r="W380">
        <f>IF($N380=0,0,IF(AND($F380&lt;=EOMONTH(DATE(PlanYear,9,1),0),IF(ISNUMBER($G380),$G380,$F380)&gt;=DATE(PlanYear,9,1)),1,0))</f>
        <v>0</v>
      </c>
      <c r="X380">
        <f>IF($N380=0,0,IF(AND($F380&lt;=EOMONTH(DATE(PlanYear,10,1),0),IF(ISNUMBER($G380),$G380,$F380)&gt;=DATE(PlanYear,10,1)),1,0))</f>
        <v>0</v>
      </c>
      <c r="Y380">
        <f>IF($N380=0,0,IF(AND($F380&lt;=EOMONTH(DATE(PlanYear,11,1),0),IF(ISNUMBER($G380),$G380,$F380)&gt;=DATE(PlanYear,11,1)),1,0))</f>
        <v>0</v>
      </c>
      <c r="Z380">
        <f>IF($N380=0,0,IF(AND($F380&lt;=EOMONTH(DATE(PlanYear,12,1),0),IF(ISNUMBER($G380),$G380,$F380)&gt;=DATE(PlanYear,12,1)),1,0))</f>
        <v>0</v>
      </c>
      <c r="AA380">
        <f>SUM($O380:$Z380)</f>
        <v>0</v>
      </c>
    </row>
    <row r="381" spans="1:27">
      <c r="A381" s="42">
        <f>IF($B381="","","ACT-"&amp;TEXT(ROW()-4,"000"))</f>
        <v>0</v>
      </c>
      <c r="M381" s="43">
        <f>IF(COUNTA($B381:$K381)=0,"",IF($B381="","Missing activity name",IF($C381="","Missing practice",IF(COUNTIF(PracticeNames,$C381)=0,"Practice not in Lists",IF($D381="","Missing motion",IF(NOT(ISNUMBER($F381)),"Missing or invalid start date",IF(AND(ISNUMBER($G381),$G381&lt;$F381),"End date before start",IF(AND($N381=1,$AA381=0),"Outside planning year","OK"))))))))</f>
        <v>0</v>
      </c>
      <c r="N381">
        <f>IF(AND($B381&lt;&gt;"",$C381&lt;&gt;"",$D381&lt;&gt;"",ISNUMBER($F381),COUNTIF(PracticeNames,$C381)&gt;0,COUNTIF(MotionNames,$D381)&gt;0,NOT(AND(ISNUMBER($G381),$G381&lt;$F381))),IF(StatusFilter="All (excl. Cancelled)",IF($H381="Cancelled",0,1),IF(StatusFilter="All",1,IF($H381=StatusFilter,1,0))),0)</f>
        <v>0</v>
      </c>
      <c r="O381">
        <f>IF($N381=0,0,IF(AND($F381&lt;=EOMONTH(DATE(PlanYear,1,1),0),IF(ISNUMBER($G381),$G381,$F381)&gt;=DATE(PlanYear,1,1)),1,0))</f>
        <v>0</v>
      </c>
      <c r="P381">
        <f>IF($N381=0,0,IF(AND($F381&lt;=EOMONTH(DATE(PlanYear,2,1),0),IF(ISNUMBER($G381),$G381,$F381)&gt;=DATE(PlanYear,2,1)),1,0))</f>
        <v>0</v>
      </c>
      <c r="Q381">
        <f>IF($N381=0,0,IF(AND($F381&lt;=EOMONTH(DATE(PlanYear,3,1),0),IF(ISNUMBER($G381),$G381,$F381)&gt;=DATE(PlanYear,3,1)),1,0))</f>
        <v>0</v>
      </c>
      <c r="R381">
        <f>IF($N381=0,0,IF(AND($F381&lt;=EOMONTH(DATE(PlanYear,4,1),0),IF(ISNUMBER($G381),$G381,$F381)&gt;=DATE(PlanYear,4,1)),1,0))</f>
        <v>0</v>
      </c>
      <c r="S381">
        <f>IF($N381=0,0,IF(AND($F381&lt;=EOMONTH(DATE(PlanYear,5,1),0),IF(ISNUMBER($G381),$G381,$F381)&gt;=DATE(PlanYear,5,1)),1,0))</f>
        <v>0</v>
      </c>
      <c r="T381">
        <f>IF($N381=0,0,IF(AND($F381&lt;=EOMONTH(DATE(PlanYear,6,1),0),IF(ISNUMBER($G381),$G381,$F381)&gt;=DATE(PlanYear,6,1)),1,0))</f>
        <v>0</v>
      </c>
      <c r="U381">
        <f>IF($N381=0,0,IF(AND($F381&lt;=EOMONTH(DATE(PlanYear,7,1),0),IF(ISNUMBER($G381),$G381,$F381)&gt;=DATE(PlanYear,7,1)),1,0))</f>
        <v>0</v>
      </c>
      <c r="V381">
        <f>IF($N381=0,0,IF(AND($F381&lt;=EOMONTH(DATE(PlanYear,8,1),0),IF(ISNUMBER($G381),$G381,$F381)&gt;=DATE(PlanYear,8,1)),1,0))</f>
        <v>0</v>
      </c>
      <c r="W381">
        <f>IF($N381=0,0,IF(AND($F381&lt;=EOMONTH(DATE(PlanYear,9,1),0),IF(ISNUMBER($G381),$G381,$F381)&gt;=DATE(PlanYear,9,1)),1,0))</f>
        <v>0</v>
      </c>
      <c r="X381">
        <f>IF($N381=0,0,IF(AND($F381&lt;=EOMONTH(DATE(PlanYear,10,1),0),IF(ISNUMBER($G381),$G381,$F381)&gt;=DATE(PlanYear,10,1)),1,0))</f>
        <v>0</v>
      </c>
      <c r="Y381">
        <f>IF($N381=0,0,IF(AND($F381&lt;=EOMONTH(DATE(PlanYear,11,1),0),IF(ISNUMBER($G381),$G381,$F381)&gt;=DATE(PlanYear,11,1)),1,0))</f>
        <v>0</v>
      </c>
      <c r="Z381">
        <f>IF($N381=0,0,IF(AND($F381&lt;=EOMONTH(DATE(PlanYear,12,1),0),IF(ISNUMBER($G381),$G381,$F381)&gt;=DATE(PlanYear,12,1)),1,0))</f>
        <v>0</v>
      </c>
      <c r="AA381">
        <f>SUM($O381:$Z381)</f>
        <v>0</v>
      </c>
    </row>
    <row r="382" spans="1:27">
      <c r="A382" s="42">
        <f>IF($B382="","","ACT-"&amp;TEXT(ROW()-4,"000"))</f>
        <v>0</v>
      </c>
      <c r="M382" s="43">
        <f>IF(COUNTA($B382:$K382)=0,"",IF($B382="","Missing activity name",IF($C382="","Missing practice",IF(COUNTIF(PracticeNames,$C382)=0,"Practice not in Lists",IF($D382="","Missing motion",IF(NOT(ISNUMBER($F382)),"Missing or invalid start date",IF(AND(ISNUMBER($G382),$G382&lt;$F382),"End date before start",IF(AND($N382=1,$AA382=0),"Outside planning year","OK"))))))))</f>
        <v>0</v>
      </c>
      <c r="N382">
        <f>IF(AND($B382&lt;&gt;"",$C382&lt;&gt;"",$D382&lt;&gt;"",ISNUMBER($F382),COUNTIF(PracticeNames,$C382)&gt;0,COUNTIF(MotionNames,$D382)&gt;0,NOT(AND(ISNUMBER($G382),$G382&lt;$F382))),IF(StatusFilter="All (excl. Cancelled)",IF($H382="Cancelled",0,1),IF(StatusFilter="All",1,IF($H382=StatusFilter,1,0))),0)</f>
        <v>0</v>
      </c>
      <c r="O382">
        <f>IF($N382=0,0,IF(AND($F382&lt;=EOMONTH(DATE(PlanYear,1,1),0),IF(ISNUMBER($G382),$G382,$F382)&gt;=DATE(PlanYear,1,1)),1,0))</f>
        <v>0</v>
      </c>
      <c r="P382">
        <f>IF($N382=0,0,IF(AND($F382&lt;=EOMONTH(DATE(PlanYear,2,1),0),IF(ISNUMBER($G382),$G382,$F382)&gt;=DATE(PlanYear,2,1)),1,0))</f>
        <v>0</v>
      </c>
      <c r="Q382">
        <f>IF($N382=0,0,IF(AND($F382&lt;=EOMONTH(DATE(PlanYear,3,1),0),IF(ISNUMBER($G382),$G382,$F382)&gt;=DATE(PlanYear,3,1)),1,0))</f>
        <v>0</v>
      </c>
      <c r="R382">
        <f>IF($N382=0,0,IF(AND($F382&lt;=EOMONTH(DATE(PlanYear,4,1),0),IF(ISNUMBER($G382),$G382,$F382)&gt;=DATE(PlanYear,4,1)),1,0))</f>
        <v>0</v>
      </c>
      <c r="S382">
        <f>IF($N382=0,0,IF(AND($F382&lt;=EOMONTH(DATE(PlanYear,5,1),0),IF(ISNUMBER($G382),$G382,$F382)&gt;=DATE(PlanYear,5,1)),1,0))</f>
        <v>0</v>
      </c>
      <c r="T382">
        <f>IF($N382=0,0,IF(AND($F382&lt;=EOMONTH(DATE(PlanYear,6,1),0),IF(ISNUMBER($G382),$G382,$F382)&gt;=DATE(PlanYear,6,1)),1,0))</f>
        <v>0</v>
      </c>
      <c r="U382">
        <f>IF($N382=0,0,IF(AND($F382&lt;=EOMONTH(DATE(PlanYear,7,1),0),IF(ISNUMBER($G382),$G382,$F382)&gt;=DATE(PlanYear,7,1)),1,0))</f>
        <v>0</v>
      </c>
      <c r="V382">
        <f>IF($N382=0,0,IF(AND($F382&lt;=EOMONTH(DATE(PlanYear,8,1),0),IF(ISNUMBER($G382),$G382,$F382)&gt;=DATE(PlanYear,8,1)),1,0))</f>
        <v>0</v>
      </c>
      <c r="W382">
        <f>IF($N382=0,0,IF(AND($F382&lt;=EOMONTH(DATE(PlanYear,9,1),0),IF(ISNUMBER($G382),$G382,$F382)&gt;=DATE(PlanYear,9,1)),1,0))</f>
        <v>0</v>
      </c>
      <c r="X382">
        <f>IF($N382=0,0,IF(AND($F382&lt;=EOMONTH(DATE(PlanYear,10,1),0),IF(ISNUMBER($G382),$G382,$F382)&gt;=DATE(PlanYear,10,1)),1,0))</f>
        <v>0</v>
      </c>
      <c r="Y382">
        <f>IF($N382=0,0,IF(AND($F382&lt;=EOMONTH(DATE(PlanYear,11,1),0),IF(ISNUMBER($G382),$G382,$F382)&gt;=DATE(PlanYear,11,1)),1,0))</f>
        <v>0</v>
      </c>
      <c r="Z382">
        <f>IF($N382=0,0,IF(AND($F382&lt;=EOMONTH(DATE(PlanYear,12,1),0),IF(ISNUMBER($G382),$G382,$F382)&gt;=DATE(PlanYear,12,1)),1,0))</f>
        <v>0</v>
      </c>
      <c r="AA382">
        <f>SUM($O382:$Z382)</f>
        <v>0</v>
      </c>
    </row>
    <row r="383" spans="1:27">
      <c r="A383" s="42">
        <f>IF($B383="","","ACT-"&amp;TEXT(ROW()-4,"000"))</f>
        <v>0</v>
      </c>
      <c r="M383" s="43">
        <f>IF(COUNTA($B383:$K383)=0,"",IF($B383="","Missing activity name",IF($C383="","Missing practice",IF(COUNTIF(PracticeNames,$C383)=0,"Practice not in Lists",IF($D383="","Missing motion",IF(NOT(ISNUMBER($F383)),"Missing or invalid start date",IF(AND(ISNUMBER($G383),$G383&lt;$F383),"End date before start",IF(AND($N383=1,$AA383=0),"Outside planning year","OK"))))))))</f>
        <v>0</v>
      </c>
      <c r="N383">
        <f>IF(AND($B383&lt;&gt;"",$C383&lt;&gt;"",$D383&lt;&gt;"",ISNUMBER($F383),COUNTIF(PracticeNames,$C383)&gt;0,COUNTIF(MotionNames,$D383)&gt;0,NOT(AND(ISNUMBER($G383),$G383&lt;$F383))),IF(StatusFilter="All (excl. Cancelled)",IF($H383="Cancelled",0,1),IF(StatusFilter="All",1,IF($H383=StatusFilter,1,0))),0)</f>
        <v>0</v>
      </c>
      <c r="O383">
        <f>IF($N383=0,0,IF(AND($F383&lt;=EOMONTH(DATE(PlanYear,1,1),0),IF(ISNUMBER($G383),$G383,$F383)&gt;=DATE(PlanYear,1,1)),1,0))</f>
        <v>0</v>
      </c>
      <c r="P383">
        <f>IF($N383=0,0,IF(AND($F383&lt;=EOMONTH(DATE(PlanYear,2,1),0),IF(ISNUMBER($G383),$G383,$F383)&gt;=DATE(PlanYear,2,1)),1,0))</f>
        <v>0</v>
      </c>
      <c r="Q383">
        <f>IF($N383=0,0,IF(AND($F383&lt;=EOMONTH(DATE(PlanYear,3,1),0),IF(ISNUMBER($G383),$G383,$F383)&gt;=DATE(PlanYear,3,1)),1,0))</f>
        <v>0</v>
      </c>
      <c r="R383">
        <f>IF($N383=0,0,IF(AND($F383&lt;=EOMONTH(DATE(PlanYear,4,1),0),IF(ISNUMBER($G383),$G383,$F383)&gt;=DATE(PlanYear,4,1)),1,0))</f>
        <v>0</v>
      </c>
      <c r="S383">
        <f>IF($N383=0,0,IF(AND($F383&lt;=EOMONTH(DATE(PlanYear,5,1),0),IF(ISNUMBER($G383),$G383,$F383)&gt;=DATE(PlanYear,5,1)),1,0))</f>
        <v>0</v>
      </c>
      <c r="T383">
        <f>IF($N383=0,0,IF(AND($F383&lt;=EOMONTH(DATE(PlanYear,6,1),0),IF(ISNUMBER($G383),$G383,$F383)&gt;=DATE(PlanYear,6,1)),1,0))</f>
        <v>0</v>
      </c>
      <c r="U383">
        <f>IF($N383=0,0,IF(AND($F383&lt;=EOMONTH(DATE(PlanYear,7,1),0),IF(ISNUMBER($G383),$G383,$F383)&gt;=DATE(PlanYear,7,1)),1,0))</f>
        <v>0</v>
      </c>
      <c r="V383">
        <f>IF($N383=0,0,IF(AND($F383&lt;=EOMONTH(DATE(PlanYear,8,1),0),IF(ISNUMBER($G383),$G383,$F383)&gt;=DATE(PlanYear,8,1)),1,0))</f>
        <v>0</v>
      </c>
      <c r="W383">
        <f>IF($N383=0,0,IF(AND($F383&lt;=EOMONTH(DATE(PlanYear,9,1),0),IF(ISNUMBER($G383),$G383,$F383)&gt;=DATE(PlanYear,9,1)),1,0))</f>
        <v>0</v>
      </c>
      <c r="X383">
        <f>IF($N383=0,0,IF(AND($F383&lt;=EOMONTH(DATE(PlanYear,10,1),0),IF(ISNUMBER($G383),$G383,$F383)&gt;=DATE(PlanYear,10,1)),1,0))</f>
        <v>0</v>
      </c>
      <c r="Y383">
        <f>IF($N383=0,0,IF(AND($F383&lt;=EOMONTH(DATE(PlanYear,11,1),0),IF(ISNUMBER($G383),$G383,$F383)&gt;=DATE(PlanYear,11,1)),1,0))</f>
        <v>0</v>
      </c>
      <c r="Z383">
        <f>IF($N383=0,0,IF(AND($F383&lt;=EOMONTH(DATE(PlanYear,12,1),0),IF(ISNUMBER($G383),$G383,$F383)&gt;=DATE(PlanYear,12,1)),1,0))</f>
        <v>0</v>
      </c>
      <c r="AA383">
        <f>SUM($O383:$Z383)</f>
        <v>0</v>
      </c>
    </row>
    <row r="384" spans="1:27">
      <c r="A384" s="42">
        <f>IF($B384="","","ACT-"&amp;TEXT(ROW()-4,"000"))</f>
        <v>0</v>
      </c>
      <c r="M384" s="43">
        <f>IF(COUNTA($B384:$K384)=0,"",IF($B384="","Missing activity name",IF($C384="","Missing practice",IF(COUNTIF(PracticeNames,$C384)=0,"Practice not in Lists",IF($D384="","Missing motion",IF(NOT(ISNUMBER($F384)),"Missing or invalid start date",IF(AND(ISNUMBER($G384),$G384&lt;$F384),"End date before start",IF(AND($N384=1,$AA384=0),"Outside planning year","OK"))))))))</f>
        <v>0</v>
      </c>
      <c r="N384">
        <f>IF(AND($B384&lt;&gt;"",$C384&lt;&gt;"",$D384&lt;&gt;"",ISNUMBER($F384),COUNTIF(PracticeNames,$C384)&gt;0,COUNTIF(MotionNames,$D384)&gt;0,NOT(AND(ISNUMBER($G384),$G384&lt;$F384))),IF(StatusFilter="All (excl. Cancelled)",IF($H384="Cancelled",0,1),IF(StatusFilter="All",1,IF($H384=StatusFilter,1,0))),0)</f>
        <v>0</v>
      </c>
      <c r="O384">
        <f>IF($N384=0,0,IF(AND($F384&lt;=EOMONTH(DATE(PlanYear,1,1),0),IF(ISNUMBER($G384),$G384,$F384)&gt;=DATE(PlanYear,1,1)),1,0))</f>
        <v>0</v>
      </c>
      <c r="P384">
        <f>IF($N384=0,0,IF(AND($F384&lt;=EOMONTH(DATE(PlanYear,2,1),0),IF(ISNUMBER($G384),$G384,$F384)&gt;=DATE(PlanYear,2,1)),1,0))</f>
        <v>0</v>
      </c>
      <c r="Q384">
        <f>IF($N384=0,0,IF(AND($F384&lt;=EOMONTH(DATE(PlanYear,3,1),0),IF(ISNUMBER($G384),$G384,$F384)&gt;=DATE(PlanYear,3,1)),1,0))</f>
        <v>0</v>
      </c>
      <c r="R384">
        <f>IF($N384=0,0,IF(AND($F384&lt;=EOMONTH(DATE(PlanYear,4,1),0),IF(ISNUMBER($G384),$G384,$F384)&gt;=DATE(PlanYear,4,1)),1,0))</f>
        <v>0</v>
      </c>
      <c r="S384">
        <f>IF($N384=0,0,IF(AND($F384&lt;=EOMONTH(DATE(PlanYear,5,1),0),IF(ISNUMBER($G384),$G384,$F384)&gt;=DATE(PlanYear,5,1)),1,0))</f>
        <v>0</v>
      </c>
      <c r="T384">
        <f>IF($N384=0,0,IF(AND($F384&lt;=EOMONTH(DATE(PlanYear,6,1),0),IF(ISNUMBER($G384),$G384,$F384)&gt;=DATE(PlanYear,6,1)),1,0))</f>
        <v>0</v>
      </c>
      <c r="U384">
        <f>IF($N384=0,0,IF(AND($F384&lt;=EOMONTH(DATE(PlanYear,7,1),0),IF(ISNUMBER($G384),$G384,$F384)&gt;=DATE(PlanYear,7,1)),1,0))</f>
        <v>0</v>
      </c>
      <c r="V384">
        <f>IF($N384=0,0,IF(AND($F384&lt;=EOMONTH(DATE(PlanYear,8,1),0),IF(ISNUMBER($G384),$G384,$F384)&gt;=DATE(PlanYear,8,1)),1,0))</f>
        <v>0</v>
      </c>
      <c r="W384">
        <f>IF($N384=0,0,IF(AND($F384&lt;=EOMONTH(DATE(PlanYear,9,1),0),IF(ISNUMBER($G384),$G384,$F384)&gt;=DATE(PlanYear,9,1)),1,0))</f>
        <v>0</v>
      </c>
      <c r="X384">
        <f>IF($N384=0,0,IF(AND($F384&lt;=EOMONTH(DATE(PlanYear,10,1),0),IF(ISNUMBER($G384),$G384,$F384)&gt;=DATE(PlanYear,10,1)),1,0))</f>
        <v>0</v>
      </c>
      <c r="Y384">
        <f>IF($N384=0,0,IF(AND($F384&lt;=EOMONTH(DATE(PlanYear,11,1),0),IF(ISNUMBER($G384),$G384,$F384)&gt;=DATE(PlanYear,11,1)),1,0))</f>
        <v>0</v>
      </c>
      <c r="Z384">
        <f>IF($N384=0,0,IF(AND($F384&lt;=EOMONTH(DATE(PlanYear,12,1),0),IF(ISNUMBER($G384),$G384,$F384)&gt;=DATE(PlanYear,12,1)),1,0))</f>
        <v>0</v>
      </c>
      <c r="AA384">
        <f>SUM($O384:$Z384)</f>
        <v>0</v>
      </c>
    </row>
    <row r="385" spans="1:27">
      <c r="A385" s="42">
        <f>IF($B385="","","ACT-"&amp;TEXT(ROW()-4,"000"))</f>
        <v>0</v>
      </c>
      <c r="M385" s="43">
        <f>IF(COUNTA($B385:$K385)=0,"",IF($B385="","Missing activity name",IF($C385="","Missing practice",IF(COUNTIF(PracticeNames,$C385)=0,"Practice not in Lists",IF($D385="","Missing motion",IF(NOT(ISNUMBER($F385)),"Missing or invalid start date",IF(AND(ISNUMBER($G385),$G385&lt;$F385),"End date before start",IF(AND($N385=1,$AA385=0),"Outside planning year","OK"))))))))</f>
        <v>0</v>
      </c>
      <c r="N385">
        <f>IF(AND($B385&lt;&gt;"",$C385&lt;&gt;"",$D385&lt;&gt;"",ISNUMBER($F385),COUNTIF(PracticeNames,$C385)&gt;0,COUNTIF(MotionNames,$D385)&gt;0,NOT(AND(ISNUMBER($G385),$G385&lt;$F385))),IF(StatusFilter="All (excl. Cancelled)",IF($H385="Cancelled",0,1),IF(StatusFilter="All",1,IF($H385=StatusFilter,1,0))),0)</f>
        <v>0</v>
      </c>
      <c r="O385">
        <f>IF($N385=0,0,IF(AND($F385&lt;=EOMONTH(DATE(PlanYear,1,1),0),IF(ISNUMBER($G385),$G385,$F385)&gt;=DATE(PlanYear,1,1)),1,0))</f>
        <v>0</v>
      </c>
      <c r="P385">
        <f>IF($N385=0,0,IF(AND($F385&lt;=EOMONTH(DATE(PlanYear,2,1),0),IF(ISNUMBER($G385),$G385,$F385)&gt;=DATE(PlanYear,2,1)),1,0))</f>
        <v>0</v>
      </c>
      <c r="Q385">
        <f>IF($N385=0,0,IF(AND($F385&lt;=EOMONTH(DATE(PlanYear,3,1),0),IF(ISNUMBER($G385),$G385,$F385)&gt;=DATE(PlanYear,3,1)),1,0))</f>
        <v>0</v>
      </c>
      <c r="R385">
        <f>IF($N385=0,0,IF(AND($F385&lt;=EOMONTH(DATE(PlanYear,4,1),0),IF(ISNUMBER($G385),$G385,$F385)&gt;=DATE(PlanYear,4,1)),1,0))</f>
        <v>0</v>
      </c>
      <c r="S385">
        <f>IF($N385=0,0,IF(AND($F385&lt;=EOMONTH(DATE(PlanYear,5,1),0),IF(ISNUMBER($G385),$G385,$F385)&gt;=DATE(PlanYear,5,1)),1,0))</f>
        <v>0</v>
      </c>
      <c r="T385">
        <f>IF($N385=0,0,IF(AND($F385&lt;=EOMONTH(DATE(PlanYear,6,1),0),IF(ISNUMBER($G385),$G385,$F385)&gt;=DATE(PlanYear,6,1)),1,0))</f>
        <v>0</v>
      </c>
      <c r="U385">
        <f>IF($N385=0,0,IF(AND($F385&lt;=EOMONTH(DATE(PlanYear,7,1),0),IF(ISNUMBER($G385),$G385,$F385)&gt;=DATE(PlanYear,7,1)),1,0))</f>
        <v>0</v>
      </c>
      <c r="V385">
        <f>IF($N385=0,0,IF(AND($F385&lt;=EOMONTH(DATE(PlanYear,8,1),0),IF(ISNUMBER($G385),$G385,$F385)&gt;=DATE(PlanYear,8,1)),1,0))</f>
        <v>0</v>
      </c>
      <c r="W385">
        <f>IF($N385=0,0,IF(AND($F385&lt;=EOMONTH(DATE(PlanYear,9,1),0),IF(ISNUMBER($G385),$G385,$F385)&gt;=DATE(PlanYear,9,1)),1,0))</f>
        <v>0</v>
      </c>
      <c r="X385">
        <f>IF($N385=0,0,IF(AND($F385&lt;=EOMONTH(DATE(PlanYear,10,1),0),IF(ISNUMBER($G385),$G385,$F385)&gt;=DATE(PlanYear,10,1)),1,0))</f>
        <v>0</v>
      </c>
      <c r="Y385">
        <f>IF($N385=0,0,IF(AND($F385&lt;=EOMONTH(DATE(PlanYear,11,1),0),IF(ISNUMBER($G385),$G385,$F385)&gt;=DATE(PlanYear,11,1)),1,0))</f>
        <v>0</v>
      </c>
      <c r="Z385">
        <f>IF($N385=0,0,IF(AND($F385&lt;=EOMONTH(DATE(PlanYear,12,1),0),IF(ISNUMBER($G385),$G385,$F385)&gt;=DATE(PlanYear,12,1)),1,0))</f>
        <v>0</v>
      </c>
      <c r="AA385">
        <f>SUM($O385:$Z385)</f>
        <v>0</v>
      </c>
    </row>
    <row r="386" spans="1:27">
      <c r="A386" s="42">
        <f>IF($B386="","","ACT-"&amp;TEXT(ROW()-4,"000"))</f>
        <v>0</v>
      </c>
      <c r="M386" s="43">
        <f>IF(COUNTA($B386:$K386)=0,"",IF($B386="","Missing activity name",IF($C386="","Missing practice",IF(COUNTIF(PracticeNames,$C386)=0,"Practice not in Lists",IF($D386="","Missing motion",IF(NOT(ISNUMBER($F386)),"Missing or invalid start date",IF(AND(ISNUMBER($G386),$G386&lt;$F386),"End date before start",IF(AND($N386=1,$AA386=0),"Outside planning year","OK"))))))))</f>
        <v>0</v>
      </c>
      <c r="N386">
        <f>IF(AND($B386&lt;&gt;"",$C386&lt;&gt;"",$D386&lt;&gt;"",ISNUMBER($F386),COUNTIF(PracticeNames,$C386)&gt;0,COUNTIF(MotionNames,$D386)&gt;0,NOT(AND(ISNUMBER($G386),$G386&lt;$F386))),IF(StatusFilter="All (excl. Cancelled)",IF($H386="Cancelled",0,1),IF(StatusFilter="All",1,IF($H386=StatusFilter,1,0))),0)</f>
        <v>0</v>
      </c>
      <c r="O386">
        <f>IF($N386=0,0,IF(AND($F386&lt;=EOMONTH(DATE(PlanYear,1,1),0),IF(ISNUMBER($G386),$G386,$F386)&gt;=DATE(PlanYear,1,1)),1,0))</f>
        <v>0</v>
      </c>
      <c r="P386">
        <f>IF($N386=0,0,IF(AND($F386&lt;=EOMONTH(DATE(PlanYear,2,1),0),IF(ISNUMBER($G386),$G386,$F386)&gt;=DATE(PlanYear,2,1)),1,0))</f>
        <v>0</v>
      </c>
      <c r="Q386">
        <f>IF($N386=0,0,IF(AND($F386&lt;=EOMONTH(DATE(PlanYear,3,1),0),IF(ISNUMBER($G386),$G386,$F386)&gt;=DATE(PlanYear,3,1)),1,0))</f>
        <v>0</v>
      </c>
      <c r="R386">
        <f>IF($N386=0,0,IF(AND($F386&lt;=EOMONTH(DATE(PlanYear,4,1),0),IF(ISNUMBER($G386),$G386,$F386)&gt;=DATE(PlanYear,4,1)),1,0))</f>
        <v>0</v>
      </c>
      <c r="S386">
        <f>IF($N386=0,0,IF(AND($F386&lt;=EOMONTH(DATE(PlanYear,5,1),0),IF(ISNUMBER($G386),$G386,$F386)&gt;=DATE(PlanYear,5,1)),1,0))</f>
        <v>0</v>
      </c>
      <c r="T386">
        <f>IF($N386=0,0,IF(AND($F386&lt;=EOMONTH(DATE(PlanYear,6,1),0),IF(ISNUMBER($G386),$G386,$F386)&gt;=DATE(PlanYear,6,1)),1,0))</f>
        <v>0</v>
      </c>
      <c r="U386">
        <f>IF($N386=0,0,IF(AND($F386&lt;=EOMONTH(DATE(PlanYear,7,1),0),IF(ISNUMBER($G386),$G386,$F386)&gt;=DATE(PlanYear,7,1)),1,0))</f>
        <v>0</v>
      </c>
      <c r="V386">
        <f>IF($N386=0,0,IF(AND($F386&lt;=EOMONTH(DATE(PlanYear,8,1),0),IF(ISNUMBER($G386),$G386,$F386)&gt;=DATE(PlanYear,8,1)),1,0))</f>
        <v>0</v>
      </c>
      <c r="W386">
        <f>IF($N386=0,0,IF(AND($F386&lt;=EOMONTH(DATE(PlanYear,9,1),0),IF(ISNUMBER($G386),$G386,$F386)&gt;=DATE(PlanYear,9,1)),1,0))</f>
        <v>0</v>
      </c>
      <c r="X386">
        <f>IF($N386=0,0,IF(AND($F386&lt;=EOMONTH(DATE(PlanYear,10,1),0),IF(ISNUMBER($G386),$G386,$F386)&gt;=DATE(PlanYear,10,1)),1,0))</f>
        <v>0</v>
      </c>
      <c r="Y386">
        <f>IF($N386=0,0,IF(AND($F386&lt;=EOMONTH(DATE(PlanYear,11,1),0),IF(ISNUMBER($G386),$G386,$F386)&gt;=DATE(PlanYear,11,1)),1,0))</f>
        <v>0</v>
      </c>
      <c r="Z386">
        <f>IF($N386=0,0,IF(AND($F386&lt;=EOMONTH(DATE(PlanYear,12,1),0),IF(ISNUMBER($G386),$G386,$F386)&gt;=DATE(PlanYear,12,1)),1,0))</f>
        <v>0</v>
      </c>
      <c r="AA386">
        <f>SUM($O386:$Z386)</f>
        <v>0</v>
      </c>
    </row>
    <row r="387" spans="1:27">
      <c r="A387" s="42">
        <f>IF($B387="","","ACT-"&amp;TEXT(ROW()-4,"000"))</f>
        <v>0</v>
      </c>
      <c r="M387" s="43">
        <f>IF(COUNTA($B387:$K387)=0,"",IF($B387="","Missing activity name",IF($C387="","Missing practice",IF(COUNTIF(PracticeNames,$C387)=0,"Practice not in Lists",IF($D387="","Missing motion",IF(NOT(ISNUMBER($F387)),"Missing or invalid start date",IF(AND(ISNUMBER($G387),$G387&lt;$F387),"End date before start",IF(AND($N387=1,$AA387=0),"Outside planning year","OK"))))))))</f>
        <v>0</v>
      </c>
      <c r="N387">
        <f>IF(AND($B387&lt;&gt;"",$C387&lt;&gt;"",$D387&lt;&gt;"",ISNUMBER($F387),COUNTIF(PracticeNames,$C387)&gt;0,COUNTIF(MotionNames,$D387)&gt;0,NOT(AND(ISNUMBER($G387),$G387&lt;$F387))),IF(StatusFilter="All (excl. Cancelled)",IF($H387="Cancelled",0,1),IF(StatusFilter="All",1,IF($H387=StatusFilter,1,0))),0)</f>
        <v>0</v>
      </c>
      <c r="O387">
        <f>IF($N387=0,0,IF(AND($F387&lt;=EOMONTH(DATE(PlanYear,1,1),0),IF(ISNUMBER($G387),$G387,$F387)&gt;=DATE(PlanYear,1,1)),1,0))</f>
        <v>0</v>
      </c>
      <c r="P387">
        <f>IF($N387=0,0,IF(AND($F387&lt;=EOMONTH(DATE(PlanYear,2,1),0),IF(ISNUMBER($G387),$G387,$F387)&gt;=DATE(PlanYear,2,1)),1,0))</f>
        <v>0</v>
      </c>
      <c r="Q387">
        <f>IF($N387=0,0,IF(AND($F387&lt;=EOMONTH(DATE(PlanYear,3,1),0),IF(ISNUMBER($G387),$G387,$F387)&gt;=DATE(PlanYear,3,1)),1,0))</f>
        <v>0</v>
      </c>
      <c r="R387">
        <f>IF($N387=0,0,IF(AND($F387&lt;=EOMONTH(DATE(PlanYear,4,1),0),IF(ISNUMBER($G387),$G387,$F387)&gt;=DATE(PlanYear,4,1)),1,0))</f>
        <v>0</v>
      </c>
      <c r="S387">
        <f>IF($N387=0,0,IF(AND($F387&lt;=EOMONTH(DATE(PlanYear,5,1),0),IF(ISNUMBER($G387),$G387,$F387)&gt;=DATE(PlanYear,5,1)),1,0))</f>
        <v>0</v>
      </c>
      <c r="T387">
        <f>IF($N387=0,0,IF(AND($F387&lt;=EOMONTH(DATE(PlanYear,6,1),0),IF(ISNUMBER($G387),$G387,$F387)&gt;=DATE(PlanYear,6,1)),1,0))</f>
        <v>0</v>
      </c>
      <c r="U387">
        <f>IF($N387=0,0,IF(AND($F387&lt;=EOMONTH(DATE(PlanYear,7,1),0),IF(ISNUMBER($G387),$G387,$F387)&gt;=DATE(PlanYear,7,1)),1,0))</f>
        <v>0</v>
      </c>
      <c r="V387">
        <f>IF($N387=0,0,IF(AND($F387&lt;=EOMONTH(DATE(PlanYear,8,1),0),IF(ISNUMBER($G387),$G387,$F387)&gt;=DATE(PlanYear,8,1)),1,0))</f>
        <v>0</v>
      </c>
      <c r="W387">
        <f>IF($N387=0,0,IF(AND($F387&lt;=EOMONTH(DATE(PlanYear,9,1),0),IF(ISNUMBER($G387),$G387,$F387)&gt;=DATE(PlanYear,9,1)),1,0))</f>
        <v>0</v>
      </c>
      <c r="X387">
        <f>IF($N387=0,0,IF(AND($F387&lt;=EOMONTH(DATE(PlanYear,10,1),0),IF(ISNUMBER($G387),$G387,$F387)&gt;=DATE(PlanYear,10,1)),1,0))</f>
        <v>0</v>
      </c>
      <c r="Y387">
        <f>IF($N387=0,0,IF(AND($F387&lt;=EOMONTH(DATE(PlanYear,11,1),0),IF(ISNUMBER($G387),$G387,$F387)&gt;=DATE(PlanYear,11,1)),1,0))</f>
        <v>0</v>
      </c>
      <c r="Z387">
        <f>IF($N387=0,0,IF(AND($F387&lt;=EOMONTH(DATE(PlanYear,12,1),0),IF(ISNUMBER($G387),$G387,$F387)&gt;=DATE(PlanYear,12,1)),1,0))</f>
        <v>0</v>
      </c>
      <c r="AA387">
        <f>SUM($O387:$Z387)</f>
        <v>0</v>
      </c>
    </row>
    <row r="388" spans="1:27">
      <c r="A388" s="42">
        <f>IF($B388="","","ACT-"&amp;TEXT(ROW()-4,"000"))</f>
        <v>0</v>
      </c>
      <c r="M388" s="43">
        <f>IF(COUNTA($B388:$K388)=0,"",IF($B388="","Missing activity name",IF($C388="","Missing practice",IF(COUNTIF(PracticeNames,$C388)=0,"Practice not in Lists",IF($D388="","Missing motion",IF(NOT(ISNUMBER($F388)),"Missing or invalid start date",IF(AND(ISNUMBER($G388),$G388&lt;$F388),"End date before start",IF(AND($N388=1,$AA388=0),"Outside planning year","OK"))))))))</f>
        <v>0</v>
      </c>
      <c r="N388">
        <f>IF(AND($B388&lt;&gt;"",$C388&lt;&gt;"",$D388&lt;&gt;"",ISNUMBER($F388),COUNTIF(PracticeNames,$C388)&gt;0,COUNTIF(MotionNames,$D388)&gt;0,NOT(AND(ISNUMBER($G388),$G388&lt;$F388))),IF(StatusFilter="All (excl. Cancelled)",IF($H388="Cancelled",0,1),IF(StatusFilter="All",1,IF($H388=StatusFilter,1,0))),0)</f>
        <v>0</v>
      </c>
      <c r="O388">
        <f>IF($N388=0,0,IF(AND($F388&lt;=EOMONTH(DATE(PlanYear,1,1),0),IF(ISNUMBER($G388),$G388,$F388)&gt;=DATE(PlanYear,1,1)),1,0))</f>
        <v>0</v>
      </c>
      <c r="P388">
        <f>IF($N388=0,0,IF(AND($F388&lt;=EOMONTH(DATE(PlanYear,2,1),0),IF(ISNUMBER($G388),$G388,$F388)&gt;=DATE(PlanYear,2,1)),1,0))</f>
        <v>0</v>
      </c>
      <c r="Q388">
        <f>IF($N388=0,0,IF(AND($F388&lt;=EOMONTH(DATE(PlanYear,3,1),0),IF(ISNUMBER($G388),$G388,$F388)&gt;=DATE(PlanYear,3,1)),1,0))</f>
        <v>0</v>
      </c>
      <c r="R388">
        <f>IF($N388=0,0,IF(AND($F388&lt;=EOMONTH(DATE(PlanYear,4,1),0),IF(ISNUMBER($G388),$G388,$F388)&gt;=DATE(PlanYear,4,1)),1,0))</f>
        <v>0</v>
      </c>
      <c r="S388">
        <f>IF($N388=0,0,IF(AND($F388&lt;=EOMONTH(DATE(PlanYear,5,1),0),IF(ISNUMBER($G388),$G388,$F388)&gt;=DATE(PlanYear,5,1)),1,0))</f>
        <v>0</v>
      </c>
      <c r="T388">
        <f>IF($N388=0,0,IF(AND($F388&lt;=EOMONTH(DATE(PlanYear,6,1),0),IF(ISNUMBER($G388),$G388,$F388)&gt;=DATE(PlanYear,6,1)),1,0))</f>
        <v>0</v>
      </c>
      <c r="U388">
        <f>IF($N388=0,0,IF(AND($F388&lt;=EOMONTH(DATE(PlanYear,7,1),0),IF(ISNUMBER($G388),$G388,$F388)&gt;=DATE(PlanYear,7,1)),1,0))</f>
        <v>0</v>
      </c>
      <c r="V388">
        <f>IF($N388=0,0,IF(AND($F388&lt;=EOMONTH(DATE(PlanYear,8,1),0),IF(ISNUMBER($G388),$G388,$F388)&gt;=DATE(PlanYear,8,1)),1,0))</f>
        <v>0</v>
      </c>
      <c r="W388">
        <f>IF($N388=0,0,IF(AND($F388&lt;=EOMONTH(DATE(PlanYear,9,1),0),IF(ISNUMBER($G388),$G388,$F388)&gt;=DATE(PlanYear,9,1)),1,0))</f>
        <v>0</v>
      </c>
      <c r="X388">
        <f>IF($N388=0,0,IF(AND($F388&lt;=EOMONTH(DATE(PlanYear,10,1),0),IF(ISNUMBER($G388),$G388,$F388)&gt;=DATE(PlanYear,10,1)),1,0))</f>
        <v>0</v>
      </c>
      <c r="Y388">
        <f>IF($N388=0,0,IF(AND($F388&lt;=EOMONTH(DATE(PlanYear,11,1),0),IF(ISNUMBER($G388),$G388,$F388)&gt;=DATE(PlanYear,11,1)),1,0))</f>
        <v>0</v>
      </c>
      <c r="Z388">
        <f>IF($N388=0,0,IF(AND($F388&lt;=EOMONTH(DATE(PlanYear,12,1),0),IF(ISNUMBER($G388),$G388,$F388)&gt;=DATE(PlanYear,12,1)),1,0))</f>
        <v>0</v>
      </c>
      <c r="AA388">
        <f>SUM($O388:$Z388)</f>
        <v>0</v>
      </c>
    </row>
    <row r="389" spans="1:27">
      <c r="A389" s="42">
        <f>IF($B389="","","ACT-"&amp;TEXT(ROW()-4,"000"))</f>
        <v>0</v>
      </c>
      <c r="M389" s="43">
        <f>IF(COUNTA($B389:$K389)=0,"",IF($B389="","Missing activity name",IF($C389="","Missing practice",IF(COUNTIF(PracticeNames,$C389)=0,"Practice not in Lists",IF($D389="","Missing motion",IF(NOT(ISNUMBER($F389)),"Missing or invalid start date",IF(AND(ISNUMBER($G389),$G389&lt;$F389),"End date before start",IF(AND($N389=1,$AA389=0),"Outside planning year","OK"))))))))</f>
        <v>0</v>
      </c>
      <c r="N389">
        <f>IF(AND($B389&lt;&gt;"",$C389&lt;&gt;"",$D389&lt;&gt;"",ISNUMBER($F389),COUNTIF(PracticeNames,$C389)&gt;0,COUNTIF(MotionNames,$D389)&gt;0,NOT(AND(ISNUMBER($G389),$G389&lt;$F389))),IF(StatusFilter="All (excl. Cancelled)",IF($H389="Cancelled",0,1),IF(StatusFilter="All",1,IF($H389=StatusFilter,1,0))),0)</f>
        <v>0</v>
      </c>
      <c r="O389">
        <f>IF($N389=0,0,IF(AND($F389&lt;=EOMONTH(DATE(PlanYear,1,1),0),IF(ISNUMBER($G389),$G389,$F389)&gt;=DATE(PlanYear,1,1)),1,0))</f>
        <v>0</v>
      </c>
      <c r="P389">
        <f>IF($N389=0,0,IF(AND($F389&lt;=EOMONTH(DATE(PlanYear,2,1),0),IF(ISNUMBER($G389),$G389,$F389)&gt;=DATE(PlanYear,2,1)),1,0))</f>
        <v>0</v>
      </c>
      <c r="Q389">
        <f>IF($N389=0,0,IF(AND($F389&lt;=EOMONTH(DATE(PlanYear,3,1),0),IF(ISNUMBER($G389),$G389,$F389)&gt;=DATE(PlanYear,3,1)),1,0))</f>
        <v>0</v>
      </c>
      <c r="R389">
        <f>IF($N389=0,0,IF(AND($F389&lt;=EOMONTH(DATE(PlanYear,4,1),0),IF(ISNUMBER($G389),$G389,$F389)&gt;=DATE(PlanYear,4,1)),1,0))</f>
        <v>0</v>
      </c>
      <c r="S389">
        <f>IF($N389=0,0,IF(AND($F389&lt;=EOMONTH(DATE(PlanYear,5,1),0),IF(ISNUMBER($G389),$G389,$F389)&gt;=DATE(PlanYear,5,1)),1,0))</f>
        <v>0</v>
      </c>
      <c r="T389">
        <f>IF($N389=0,0,IF(AND($F389&lt;=EOMONTH(DATE(PlanYear,6,1),0),IF(ISNUMBER($G389),$G389,$F389)&gt;=DATE(PlanYear,6,1)),1,0))</f>
        <v>0</v>
      </c>
      <c r="U389">
        <f>IF($N389=0,0,IF(AND($F389&lt;=EOMONTH(DATE(PlanYear,7,1),0),IF(ISNUMBER($G389),$G389,$F389)&gt;=DATE(PlanYear,7,1)),1,0))</f>
        <v>0</v>
      </c>
      <c r="V389">
        <f>IF($N389=0,0,IF(AND($F389&lt;=EOMONTH(DATE(PlanYear,8,1),0),IF(ISNUMBER($G389),$G389,$F389)&gt;=DATE(PlanYear,8,1)),1,0))</f>
        <v>0</v>
      </c>
      <c r="W389">
        <f>IF($N389=0,0,IF(AND($F389&lt;=EOMONTH(DATE(PlanYear,9,1),0),IF(ISNUMBER($G389),$G389,$F389)&gt;=DATE(PlanYear,9,1)),1,0))</f>
        <v>0</v>
      </c>
      <c r="X389">
        <f>IF($N389=0,0,IF(AND($F389&lt;=EOMONTH(DATE(PlanYear,10,1),0),IF(ISNUMBER($G389),$G389,$F389)&gt;=DATE(PlanYear,10,1)),1,0))</f>
        <v>0</v>
      </c>
      <c r="Y389">
        <f>IF($N389=0,0,IF(AND($F389&lt;=EOMONTH(DATE(PlanYear,11,1),0),IF(ISNUMBER($G389),$G389,$F389)&gt;=DATE(PlanYear,11,1)),1,0))</f>
        <v>0</v>
      </c>
      <c r="Z389">
        <f>IF($N389=0,0,IF(AND($F389&lt;=EOMONTH(DATE(PlanYear,12,1),0),IF(ISNUMBER($G389),$G389,$F389)&gt;=DATE(PlanYear,12,1)),1,0))</f>
        <v>0</v>
      </c>
      <c r="AA389">
        <f>SUM($O389:$Z389)</f>
        <v>0</v>
      </c>
    </row>
    <row r="390" spans="1:27">
      <c r="A390" s="42">
        <f>IF($B390="","","ACT-"&amp;TEXT(ROW()-4,"000"))</f>
        <v>0</v>
      </c>
      <c r="M390" s="43">
        <f>IF(COUNTA($B390:$K390)=0,"",IF($B390="","Missing activity name",IF($C390="","Missing practice",IF(COUNTIF(PracticeNames,$C390)=0,"Practice not in Lists",IF($D390="","Missing motion",IF(NOT(ISNUMBER($F390)),"Missing or invalid start date",IF(AND(ISNUMBER($G390),$G390&lt;$F390),"End date before start",IF(AND($N390=1,$AA390=0),"Outside planning year","OK"))))))))</f>
        <v>0</v>
      </c>
      <c r="N390">
        <f>IF(AND($B390&lt;&gt;"",$C390&lt;&gt;"",$D390&lt;&gt;"",ISNUMBER($F390),COUNTIF(PracticeNames,$C390)&gt;0,COUNTIF(MotionNames,$D390)&gt;0,NOT(AND(ISNUMBER($G390),$G390&lt;$F390))),IF(StatusFilter="All (excl. Cancelled)",IF($H390="Cancelled",0,1),IF(StatusFilter="All",1,IF($H390=StatusFilter,1,0))),0)</f>
        <v>0</v>
      </c>
      <c r="O390">
        <f>IF($N390=0,0,IF(AND($F390&lt;=EOMONTH(DATE(PlanYear,1,1),0),IF(ISNUMBER($G390),$G390,$F390)&gt;=DATE(PlanYear,1,1)),1,0))</f>
        <v>0</v>
      </c>
      <c r="P390">
        <f>IF($N390=0,0,IF(AND($F390&lt;=EOMONTH(DATE(PlanYear,2,1),0),IF(ISNUMBER($G390),$G390,$F390)&gt;=DATE(PlanYear,2,1)),1,0))</f>
        <v>0</v>
      </c>
      <c r="Q390">
        <f>IF($N390=0,0,IF(AND($F390&lt;=EOMONTH(DATE(PlanYear,3,1),0),IF(ISNUMBER($G390),$G390,$F390)&gt;=DATE(PlanYear,3,1)),1,0))</f>
        <v>0</v>
      </c>
      <c r="R390">
        <f>IF($N390=0,0,IF(AND($F390&lt;=EOMONTH(DATE(PlanYear,4,1),0),IF(ISNUMBER($G390),$G390,$F390)&gt;=DATE(PlanYear,4,1)),1,0))</f>
        <v>0</v>
      </c>
      <c r="S390">
        <f>IF($N390=0,0,IF(AND($F390&lt;=EOMONTH(DATE(PlanYear,5,1),0),IF(ISNUMBER($G390),$G390,$F390)&gt;=DATE(PlanYear,5,1)),1,0))</f>
        <v>0</v>
      </c>
      <c r="T390">
        <f>IF($N390=0,0,IF(AND($F390&lt;=EOMONTH(DATE(PlanYear,6,1),0),IF(ISNUMBER($G390),$G390,$F390)&gt;=DATE(PlanYear,6,1)),1,0))</f>
        <v>0</v>
      </c>
      <c r="U390">
        <f>IF($N390=0,0,IF(AND($F390&lt;=EOMONTH(DATE(PlanYear,7,1),0),IF(ISNUMBER($G390),$G390,$F390)&gt;=DATE(PlanYear,7,1)),1,0))</f>
        <v>0</v>
      </c>
      <c r="V390">
        <f>IF($N390=0,0,IF(AND($F390&lt;=EOMONTH(DATE(PlanYear,8,1),0),IF(ISNUMBER($G390),$G390,$F390)&gt;=DATE(PlanYear,8,1)),1,0))</f>
        <v>0</v>
      </c>
      <c r="W390">
        <f>IF($N390=0,0,IF(AND($F390&lt;=EOMONTH(DATE(PlanYear,9,1),0),IF(ISNUMBER($G390),$G390,$F390)&gt;=DATE(PlanYear,9,1)),1,0))</f>
        <v>0</v>
      </c>
      <c r="X390">
        <f>IF($N390=0,0,IF(AND($F390&lt;=EOMONTH(DATE(PlanYear,10,1),0),IF(ISNUMBER($G390),$G390,$F390)&gt;=DATE(PlanYear,10,1)),1,0))</f>
        <v>0</v>
      </c>
      <c r="Y390">
        <f>IF($N390=0,0,IF(AND($F390&lt;=EOMONTH(DATE(PlanYear,11,1),0),IF(ISNUMBER($G390),$G390,$F390)&gt;=DATE(PlanYear,11,1)),1,0))</f>
        <v>0</v>
      </c>
      <c r="Z390">
        <f>IF($N390=0,0,IF(AND($F390&lt;=EOMONTH(DATE(PlanYear,12,1),0),IF(ISNUMBER($G390),$G390,$F390)&gt;=DATE(PlanYear,12,1)),1,0))</f>
        <v>0</v>
      </c>
      <c r="AA390">
        <f>SUM($O390:$Z390)</f>
        <v>0</v>
      </c>
    </row>
    <row r="391" spans="1:27">
      <c r="A391" s="42">
        <f>IF($B391="","","ACT-"&amp;TEXT(ROW()-4,"000"))</f>
        <v>0</v>
      </c>
      <c r="M391" s="43">
        <f>IF(COUNTA($B391:$K391)=0,"",IF($B391="","Missing activity name",IF($C391="","Missing practice",IF(COUNTIF(PracticeNames,$C391)=0,"Practice not in Lists",IF($D391="","Missing motion",IF(NOT(ISNUMBER($F391)),"Missing or invalid start date",IF(AND(ISNUMBER($G391),$G391&lt;$F391),"End date before start",IF(AND($N391=1,$AA391=0),"Outside planning year","OK"))))))))</f>
        <v>0</v>
      </c>
      <c r="N391">
        <f>IF(AND($B391&lt;&gt;"",$C391&lt;&gt;"",$D391&lt;&gt;"",ISNUMBER($F391),COUNTIF(PracticeNames,$C391)&gt;0,COUNTIF(MotionNames,$D391)&gt;0,NOT(AND(ISNUMBER($G391),$G391&lt;$F391))),IF(StatusFilter="All (excl. Cancelled)",IF($H391="Cancelled",0,1),IF(StatusFilter="All",1,IF($H391=StatusFilter,1,0))),0)</f>
        <v>0</v>
      </c>
      <c r="O391">
        <f>IF($N391=0,0,IF(AND($F391&lt;=EOMONTH(DATE(PlanYear,1,1),0),IF(ISNUMBER($G391),$G391,$F391)&gt;=DATE(PlanYear,1,1)),1,0))</f>
        <v>0</v>
      </c>
      <c r="P391">
        <f>IF($N391=0,0,IF(AND($F391&lt;=EOMONTH(DATE(PlanYear,2,1),0),IF(ISNUMBER($G391),$G391,$F391)&gt;=DATE(PlanYear,2,1)),1,0))</f>
        <v>0</v>
      </c>
      <c r="Q391">
        <f>IF($N391=0,0,IF(AND($F391&lt;=EOMONTH(DATE(PlanYear,3,1),0),IF(ISNUMBER($G391),$G391,$F391)&gt;=DATE(PlanYear,3,1)),1,0))</f>
        <v>0</v>
      </c>
      <c r="R391">
        <f>IF($N391=0,0,IF(AND($F391&lt;=EOMONTH(DATE(PlanYear,4,1),0),IF(ISNUMBER($G391),$G391,$F391)&gt;=DATE(PlanYear,4,1)),1,0))</f>
        <v>0</v>
      </c>
      <c r="S391">
        <f>IF($N391=0,0,IF(AND($F391&lt;=EOMONTH(DATE(PlanYear,5,1),0),IF(ISNUMBER($G391),$G391,$F391)&gt;=DATE(PlanYear,5,1)),1,0))</f>
        <v>0</v>
      </c>
      <c r="T391">
        <f>IF($N391=0,0,IF(AND($F391&lt;=EOMONTH(DATE(PlanYear,6,1),0),IF(ISNUMBER($G391),$G391,$F391)&gt;=DATE(PlanYear,6,1)),1,0))</f>
        <v>0</v>
      </c>
      <c r="U391">
        <f>IF($N391=0,0,IF(AND($F391&lt;=EOMONTH(DATE(PlanYear,7,1),0),IF(ISNUMBER($G391),$G391,$F391)&gt;=DATE(PlanYear,7,1)),1,0))</f>
        <v>0</v>
      </c>
      <c r="V391">
        <f>IF($N391=0,0,IF(AND($F391&lt;=EOMONTH(DATE(PlanYear,8,1),0),IF(ISNUMBER($G391),$G391,$F391)&gt;=DATE(PlanYear,8,1)),1,0))</f>
        <v>0</v>
      </c>
      <c r="W391">
        <f>IF($N391=0,0,IF(AND($F391&lt;=EOMONTH(DATE(PlanYear,9,1),0),IF(ISNUMBER($G391),$G391,$F391)&gt;=DATE(PlanYear,9,1)),1,0))</f>
        <v>0</v>
      </c>
      <c r="X391">
        <f>IF($N391=0,0,IF(AND($F391&lt;=EOMONTH(DATE(PlanYear,10,1),0),IF(ISNUMBER($G391),$G391,$F391)&gt;=DATE(PlanYear,10,1)),1,0))</f>
        <v>0</v>
      </c>
      <c r="Y391">
        <f>IF($N391=0,0,IF(AND($F391&lt;=EOMONTH(DATE(PlanYear,11,1),0),IF(ISNUMBER($G391),$G391,$F391)&gt;=DATE(PlanYear,11,1)),1,0))</f>
        <v>0</v>
      </c>
      <c r="Z391">
        <f>IF($N391=0,0,IF(AND($F391&lt;=EOMONTH(DATE(PlanYear,12,1),0),IF(ISNUMBER($G391),$G391,$F391)&gt;=DATE(PlanYear,12,1)),1,0))</f>
        <v>0</v>
      </c>
      <c r="AA391">
        <f>SUM($O391:$Z391)</f>
        <v>0</v>
      </c>
    </row>
    <row r="392" spans="1:27">
      <c r="A392" s="42">
        <f>IF($B392="","","ACT-"&amp;TEXT(ROW()-4,"000"))</f>
        <v>0</v>
      </c>
      <c r="M392" s="43">
        <f>IF(COUNTA($B392:$K392)=0,"",IF($B392="","Missing activity name",IF($C392="","Missing practice",IF(COUNTIF(PracticeNames,$C392)=0,"Practice not in Lists",IF($D392="","Missing motion",IF(NOT(ISNUMBER($F392)),"Missing or invalid start date",IF(AND(ISNUMBER($G392),$G392&lt;$F392),"End date before start",IF(AND($N392=1,$AA392=0),"Outside planning year","OK"))))))))</f>
        <v>0</v>
      </c>
      <c r="N392">
        <f>IF(AND($B392&lt;&gt;"",$C392&lt;&gt;"",$D392&lt;&gt;"",ISNUMBER($F392),COUNTIF(PracticeNames,$C392)&gt;0,COUNTIF(MotionNames,$D392)&gt;0,NOT(AND(ISNUMBER($G392),$G392&lt;$F392))),IF(StatusFilter="All (excl. Cancelled)",IF($H392="Cancelled",0,1),IF(StatusFilter="All",1,IF($H392=StatusFilter,1,0))),0)</f>
        <v>0</v>
      </c>
      <c r="O392">
        <f>IF($N392=0,0,IF(AND($F392&lt;=EOMONTH(DATE(PlanYear,1,1),0),IF(ISNUMBER($G392),$G392,$F392)&gt;=DATE(PlanYear,1,1)),1,0))</f>
        <v>0</v>
      </c>
      <c r="P392">
        <f>IF($N392=0,0,IF(AND($F392&lt;=EOMONTH(DATE(PlanYear,2,1),0),IF(ISNUMBER($G392),$G392,$F392)&gt;=DATE(PlanYear,2,1)),1,0))</f>
        <v>0</v>
      </c>
      <c r="Q392">
        <f>IF($N392=0,0,IF(AND($F392&lt;=EOMONTH(DATE(PlanYear,3,1),0),IF(ISNUMBER($G392),$G392,$F392)&gt;=DATE(PlanYear,3,1)),1,0))</f>
        <v>0</v>
      </c>
      <c r="R392">
        <f>IF($N392=0,0,IF(AND($F392&lt;=EOMONTH(DATE(PlanYear,4,1),0),IF(ISNUMBER($G392),$G392,$F392)&gt;=DATE(PlanYear,4,1)),1,0))</f>
        <v>0</v>
      </c>
      <c r="S392">
        <f>IF($N392=0,0,IF(AND($F392&lt;=EOMONTH(DATE(PlanYear,5,1),0),IF(ISNUMBER($G392),$G392,$F392)&gt;=DATE(PlanYear,5,1)),1,0))</f>
        <v>0</v>
      </c>
      <c r="T392">
        <f>IF($N392=0,0,IF(AND($F392&lt;=EOMONTH(DATE(PlanYear,6,1),0),IF(ISNUMBER($G392),$G392,$F392)&gt;=DATE(PlanYear,6,1)),1,0))</f>
        <v>0</v>
      </c>
      <c r="U392">
        <f>IF($N392=0,0,IF(AND($F392&lt;=EOMONTH(DATE(PlanYear,7,1),0),IF(ISNUMBER($G392),$G392,$F392)&gt;=DATE(PlanYear,7,1)),1,0))</f>
        <v>0</v>
      </c>
      <c r="V392">
        <f>IF($N392=0,0,IF(AND($F392&lt;=EOMONTH(DATE(PlanYear,8,1),0),IF(ISNUMBER($G392),$G392,$F392)&gt;=DATE(PlanYear,8,1)),1,0))</f>
        <v>0</v>
      </c>
      <c r="W392">
        <f>IF($N392=0,0,IF(AND($F392&lt;=EOMONTH(DATE(PlanYear,9,1),0),IF(ISNUMBER($G392),$G392,$F392)&gt;=DATE(PlanYear,9,1)),1,0))</f>
        <v>0</v>
      </c>
      <c r="X392">
        <f>IF($N392=0,0,IF(AND($F392&lt;=EOMONTH(DATE(PlanYear,10,1),0),IF(ISNUMBER($G392),$G392,$F392)&gt;=DATE(PlanYear,10,1)),1,0))</f>
        <v>0</v>
      </c>
      <c r="Y392">
        <f>IF($N392=0,0,IF(AND($F392&lt;=EOMONTH(DATE(PlanYear,11,1),0),IF(ISNUMBER($G392),$G392,$F392)&gt;=DATE(PlanYear,11,1)),1,0))</f>
        <v>0</v>
      </c>
      <c r="Z392">
        <f>IF($N392=0,0,IF(AND($F392&lt;=EOMONTH(DATE(PlanYear,12,1),0),IF(ISNUMBER($G392),$G392,$F392)&gt;=DATE(PlanYear,12,1)),1,0))</f>
        <v>0</v>
      </c>
      <c r="AA392">
        <f>SUM($O392:$Z392)</f>
        <v>0</v>
      </c>
    </row>
    <row r="393" spans="1:27">
      <c r="A393" s="42">
        <f>IF($B393="","","ACT-"&amp;TEXT(ROW()-4,"000"))</f>
        <v>0</v>
      </c>
      <c r="M393" s="43">
        <f>IF(COUNTA($B393:$K393)=0,"",IF($B393="","Missing activity name",IF($C393="","Missing practice",IF(COUNTIF(PracticeNames,$C393)=0,"Practice not in Lists",IF($D393="","Missing motion",IF(NOT(ISNUMBER($F393)),"Missing or invalid start date",IF(AND(ISNUMBER($G393),$G393&lt;$F393),"End date before start",IF(AND($N393=1,$AA393=0),"Outside planning year","OK"))))))))</f>
        <v>0</v>
      </c>
      <c r="N393">
        <f>IF(AND($B393&lt;&gt;"",$C393&lt;&gt;"",$D393&lt;&gt;"",ISNUMBER($F393),COUNTIF(PracticeNames,$C393)&gt;0,COUNTIF(MotionNames,$D393)&gt;0,NOT(AND(ISNUMBER($G393),$G393&lt;$F393))),IF(StatusFilter="All (excl. Cancelled)",IF($H393="Cancelled",0,1),IF(StatusFilter="All",1,IF($H393=StatusFilter,1,0))),0)</f>
        <v>0</v>
      </c>
      <c r="O393">
        <f>IF($N393=0,0,IF(AND($F393&lt;=EOMONTH(DATE(PlanYear,1,1),0),IF(ISNUMBER($G393),$G393,$F393)&gt;=DATE(PlanYear,1,1)),1,0))</f>
        <v>0</v>
      </c>
      <c r="P393">
        <f>IF($N393=0,0,IF(AND($F393&lt;=EOMONTH(DATE(PlanYear,2,1),0),IF(ISNUMBER($G393),$G393,$F393)&gt;=DATE(PlanYear,2,1)),1,0))</f>
        <v>0</v>
      </c>
      <c r="Q393">
        <f>IF($N393=0,0,IF(AND($F393&lt;=EOMONTH(DATE(PlanYear,3,1),0),IF(ISNUMBER($G393),$G393,$F393)&gt;=DATE(PlanYear,3,1)),1,0))</f>
        <v>0</v>
      </c>
      <c r="R393">
        <f>IF($N393=0,0,IF(AND($F393&lt;=EOMONTH(DATE(PlanYear,4,1),0),IF(ISNUMBER($G393),$G393,$F393)&gt;=DATE(PlanYear,4,1)),1,0))</f>
        <v>0</v>
      </c>
      <c r="S393">
        <f>IF($N393=0,0,IF(AND($F393&lt;=EOMONTH(DATE(PlanYear,5,1),0),IF(ISNUMBER($G393),$G393,$F393)&gt;=DATE(PlanYear,5,1)),1,0))</f>
        <v>0</v>
      </c>
      <c r="T393">
        <f>IF($N393=0,0,IF(AND($F393&lt;=EOMONTH(DATE(PlanYear,6,1),0),IF(ISNUMBER($G393),$G393,$F393)&gt;=DATE(PlanYear,6,1)),1,0))</f>
        <v>0</v>
      </c>
      <c r="U393">
        <f>IF($N393=0,0,IF(AND($F393&lt;=EOMONTH(DATE(PlanYear,7,1),0),IF(ISNUMBER($G393),$G393,$F393)&gt;=DATE(PlanYear,7,1)),1,0))</f>
        <v>0</v>
      </c>
      <c r="V393">
        <f>IF($N393=0,0,IF(AND($F393&lt;=EOMONTH(DATE(PlanYear,8,1),0),IF(ISNUMBER($G393),$G393,$F393)&gt;=DATE(PlanYear,8,1)),1,0))</f>
        <v>0</v>
      </c>
      <c r="W393">
        <f>IF($N393=0,0,IF(AND($F393&lt;=EOMONTH(DATE(PlanYear,9,1),0),IF(ISNUMBER($G393),$G393,$F393)&gt;=DATE(PlanYear,9,1)),1,0))</f>
        <v>0</v>
      </c>
      <c r="X393">
        <f>IF($N393=0,0,IF(AND($F393&lt;=EOMONTH(DATE(PlanYear,10,1),0),IF(ISNUMBER($G393),$G393,$F393)&gt;=DATE(PlanYear,10,1)),1,0))</f>
        <v>0</v>
      </c>
      <c r="Y393">
        <f>IF($N393=0,0,IF(AND($F393&lt;=EOMONTH(DATE(PlanYear,11,1),0),IF(ISNUMBER($G393),$G393,$F393)&gt;=DATE(PlanYear,11,1)),1,0))</f>
        <v>0</v>
      </c>
      <c r="Z393">
        <f>IF($N393=0,0,IF(AND($F393&lt;=EOMONTH(DATE(PlanYear,12,1),0),IF(ISNUMBER($G393),$G393,$F393)&gt;=DATE(PlanYear,12,1)),1,0))</f>
        <v>0</v>
      </c>
      <c r="AA393">
        <f>SUM($O393:$Z393)</f>
        <v>0</v>
      </c>
    </row>
    <row r="394" spans="1:27">
      <c r="A394" s="42">
        <f>IF($B394="","","ACT-"&amp;TEXT(ROW()-4,"000"))</f>
        <v>0</v>
      </c>
      <c r="M394" s="43">
        <f>IF(COUNTA($B394:$K394)=0,"",IF($B394="","Missing activity name",IF($C394="","Missing practice",IF(COUNTIF(PracticeNames,$C394)=0,"Practice not in Lists",IF($D394="","Missing motion",IF(NOT(ISNUMBER($F394)),"Missing or invalid start date",IF(AND(ISNUMBER($G394),$G394&lt;$F394),"End date before start",IF(AND($N394=1,$AA394=0),"Outside planning year","OK"))))))))</f>
        <v>0</v>
      </c>
      <c r="N394">
        <f>IF(AND($B394&lt;&gt;"",$C394&lt;&gt;"",$D394&lt;&gt;"",ISNUMBER($F394),COUNTIF(PracticeNames,$C394)&gt;0,COUNTIF(MotionNames,$D394)&gt;0,NOT(AND(ISNUMBER($G394),$G394&lt;$F394))),IF(StatusFilter="All (excl. Cancelled)",IF($H394="Cancelled",0,1),IF(StatusFilter="All",1,IF($H394=StatusFilter,1,0))),0)</f>
        <v>0</v>
      </c>
      <c r="O394">
        <f>IF($N394=0,0,IF(AND($F394&lt;=EOMONTH(DATE(PlanYear,1,1),0),IF(ISNUMBER($G394),$G394,$F394)&gt;=DATE(PlanYear,1,1)),1,0))</f>
        <v>0</v>
      </c>
      <c r="P394">
        <f>IF($N394=0,0,IF(AND($F394&lt;=EOMONTH(DATE(PlanYear,2,1),0),IF(ISNUMBER($G394),$G394,$F394)&gt;=DATE(PlanYear,2,1)),1,0))</f>
        <v>0</v>
      </c>
      <c r="Q394">
        <f>IF($N394=0,0,IF(AND($F394&lt;=EOMONTH(DATE(PlanYear,3,1),0),IF(ISNUMBER($G394),$G394,$F394)&gt;=DATE(PlanYear,3,1)),1,0))</f>
        <v>0</v>
      </c>
      <c r="R394">
        <f>IF($N394=0,0,IF(AND($F394&lt;=EOMONTH(DATE(PlanYear,4,1),0),IF(ISNUMBER($G394),$G394,$F394)&gt;=DATE(PlanYear,4,1)),1,0))</f>
        <v>0</v>
      </c>
      <c r="S394">
        <f>IF($N394=0,0,IF(AND($F394&lt;=EOMONTH(DATE(PlanYear,5,1),0),IF(ISNUMBER($G394),$G394,$F394)&gt;=DATE(PlanYear,5,1)),1,0))</f>
        <v>0</v>
      </c>
      <c r="T394">
        <f>IF($N394=0,0,IF(AND($F394&lt;=EOMONTH(DATE(PlanYear,6,1),0),IF(ISNUMBER($G394),$G394,$F394)&gt;=DATE(PlanYear,6,1)),1,0))</f>
        <v>0</v>
      </c>
      <c r="U394">
        <f>IF($N394=0,0,IF(AND($F394&lt;=EOMONTH(DATE(PlanYear,7,1),0),IF(ISNUMBER($G394),$G394,$F394)&gt;=DATE(PlanYear,7,1)),1,0))</f>
        <v>0</v>
      </c>
      <c r="V394">
        <f>IF($N394=0,0,IF(AND($F394&lt;=EOMONTH(DATE(PlanYear,8,1),0),IF(ISNUMBER($G394),$G394,$F394)&gt;=DATE(PlanYear,8,1)),1,0))</f>
        <v>0</v>
      </c>
      <c r="W394">
        <f>IF($N394=0,0,IF(AND($F394&lt;=EOMONTH(DATE(PlanYear,9,1),0),IF(ISNUMBER($G394),$G394,$F394)&gt;=DATE(PlanYear,9,1)),1,0))</f>
        <v>0</v>
      </c>
      <c r="X394">
        <f>IF($N394=0,0,IF(AND($F394&lt;=EOMONTH(DATE(PlanYear,10,1),0),IF(ISNUMBER($G394),$G394,$F394)&gt;=DATE(PlanYear,10,1)),1,0))</f>
        <v>0</v>
      </c>
      <c r="Y394">
        <f>IF($N394=0,0,IF(AND($F394&lt;=EOMONTH(DATE(PlanYear,11,1),0),IF(ISNUMBER($G394),$G394,$F394)&gt;=DATE(PlanYear,11,1)),1,0))</f>
        <v>0</v>
      </c>
      <c r="Z394">
        <f>IF($N394=0,0,IF(AND($F394&lt;=EOMONTH(DATE(PlanYear,12,1),0),IF(ISNUMBER($G394),$G394,$F394)&gt;=DATE(PlanYear,12,1)),1,0))</f>
        <v>0</v>
      </c>
      <c r="AA394">
        <f>SUM($O394:$Z394)</f>
        <v>0</v>
      </c>
    </row>
    <row r="395" spans="1:27">
      <c r="A395" s="42">
        <f>IF($B395="","","ACT-"&amp;TEXT(ROW()-4,"000"))</f>
        <v>0</v>
      </c>
      <c r="M395" s="43">
        <f>IF(COUNTA($B395:$K395)=0,"",IF($B395="","Missing activity name",IF($C395="","Missing practice",IF(COUNTIF(PracticeNames,$C395)=0,"Practice not in Lists",IF($D395="","Missing motion",IF(NOT(ISNUMBER($F395)),"Missing or invalid start date",IF(AND(ISNUMBER($G395),$G395&lt;$F395),"End date before start",IF(AND($N395=1,$AA395=0),"Outside planning year","OK"))))))))</f>
        <v>0</v>
      </c>
      <c r="N395">
        <f>IF(AND($B395&lt;&gt;"",$C395&lt;&gt;"",$D395&lt;&gt;"",ISNUMBER($F395),COUNTIF(PracticeNames,$C395)&gt;0,COUNTIF(MotionNames,$D395)&gt;0,NOT(AND(ISNUMBER($G395),$G395&lt;$F395))),IF(StatusFilter="All (excl. Cancelled)",IF($H395="Cancelled",0,1),IF(StatusFilter="All",1,IF($H395=StatusFilter,1,0))),0)</f>
        <v>0</v>
      </c>
      <c r="O395">
        <f>IF($N395=0,0,IF(AND($F395&lt;=EOMONTH(DATE(PlanYear,1,1),0),IF(ISNUMBER($G395),$G395,$F395)&gt;=DATE(PlanYear,1,1)),1,0))</f>
        <v>0</v>
      </c>
      <c r="P395">
        <f>IF($N395=0,0,IF(AND($F395&lt;=EOMONTH(DATE(PlanYear,2,1),0),IF(ISNUMBER($G395),$G395,$F395)&gt;=DATE(PlanYear,2,1)),1,0))</f>
        <v>0</v>
      </c>
      <c r="Q395">
        <f>IF($N395=0,0,IF(AND($F395&lt;=EOMONTH(DATE(PlanYear,3,1),0),IF(ISNUMBER($G395),$G395,$F395)&gt;=DATE(PlanYear,3,1)),1,0))</f>
        <v>0</v>
      </c>
      <c r="R395">
        <f>IF($N395=0,0,IF(AND($F395&lt;=EOMONTH(DATE(PlanYear,4,1),0),IF(ISNUMBER($G395),$G395,$F395)&gt;=DATE(PlanYear,4,1)),1,0))</f>
        <v>0</v>
      </c>
      <c r="S395">
        <f>IF($N395=0,0,IF(AND($F395&lt;=EOMONTH(DATE(PlanYear,5,1),0),IF(ISNUMBER($G395),$G395,$F395)&gt;=DATE(PlanYear,5,1)),1,0))</f>
        <v>0</v>
      </c>
      <c r="T395">
        <f>IF($N395=0,0,IF(AND($F395&lt;=EOMONTH(DATE(PlanYear,6,1),0),IF(ISNUMBER($G395),$G395,$F395)&gt;=DATE(PlanYear,6,1)),1,0))</f>
        <v>0</v>
      </c>
      <c r="U395">
        <f>IF($N395=0,0,IF(AND($F395&lt;=EOMONTH(DATE(PlanYear,7,1),0),IF(ISNUMBER($G395),$G395,$F395)&gt;=DATE(PlanYear,7,1)),1,0))</f>
        <v>0</v>
      </c>
      <c r="V395">
        <f>IF($N395=0,0,IF(AND($F395&lt;=EOMONTH(DATE(PlanYear,8,1),0),IF(ISNUMBER($G395),$G395,$F395)&gt;=DATE(PlanYear,8,1)),1,0))</f>
        <v>0</v>
      </c>
      <c r="W395">
        <f>IF($N395=0,0,IF(AND($F395&lt;=EOMONTH(DATE(PlanYear,9,1),0),IF(ISNUMBER($G395),$G395,$F395)&gt;=DATE(PlanYear,9,1)),1,0))</f>
        <v>0</v>
      </c>
      <c r="X395">
        <f>IF($N395=0,0,IF(AND($F395&lt;=EOMONTH(DATE(PlanYear,10,1),0),IF(ISNUMBER($G395),$G395,$F395)&gt;=DATE(PlanYear,10,1)),1,0))</f>
        <v>0</v>
      </c>
      <c r="Y395">
        <f>IF($N395=0,0,IF(AND($F395&lt;=EOMONTH(DATE(PlanYear,11,1),0),IF(ISNUMBER($G395),$G395,$F395)&gt;=DATE(PlanYear,11,1)),1,0))</f>
        <v>0</v>
      </c>
      <c r="Z395">
        <f>IF($N395=0,0,IF(AND($F395&lt;=EOMONTH(DATE(PlanYear,12,1),0),IF(ISNUMBER($G395),$G395,$F395)&gt;=DATE(PlanYear,12,1)),1,0))</f>
        <v>0</v>
      </c>
      <c r="AA395">
        <f>SUM($O395:$Z395)</f>
        <v>0</v>
      </c>
    </row>
    <row r="396" spans="1:27">
      <c r="A396" s="42">
        <f>IF($B396="","","ACT-"&amp;TEXT(ROW()-4,"000"))</f>
        <v>0</v>
      </c>
      <c r="M396" s="43">
        <f>IF(COUNTA($B396:$K396)=0,"",IF($B396="","Missing activity name",IF($C396="","Missing practice",IF(COUNTIF(PracticeNames,$C396)=0,"Practice not in Lists",IF($D396="","Missing motion",IF(NOT(ISNUMBER($F396)),"Missing or invalid start date",IF(AND(ISNUMBER($G396),$G396&lt;$F396),"End date before start",IF(AND($N396=1,$AA396=0),"Outside planning year","OK"))))))))</f>
        <v>0</v>
      </c>
      <c r="N396">
        <f>IF(AND($B396&lt;&gt;"",$C396&lt;&gt;"",$D396&lt;&gt;"",ISNUMBER($F396),COUNTIF(PracticeNames,$C396)&gt;0,COUNTIF(MotionNames,$D396)&gt;0,NOT(AND(ISNUMBER($G396),$G396&lt;$F396))),IF(StatusFilter="All (excl. Cancelled)",IF($H396="Cancelled",0,1),IF(StatusFilter="All",1,IF($H396=StatusFilter,1,0))),0)</f>
        <v>0</v>
      </c>
      <c r="O396">
        <f>IF($N396=0,0,IF(AND($F396&lt;=EOMONTH(DATE(PlanYear,1,1),0),IF(ISNUMBER($G396),$G396,$F396)&gt;=DATE(PlanYear,1,1)),1,0))</f>
        <v>0</v>
      </c>
      <c r="P396">
        <f>IF($N396=0,0,IF(AND($F396&lt;=EOMONTH(DATE(PlanYear,2,1),0),IF(ISNUMBER($G396),$G396,$F396)&gt;=DATE(PlanYear,2,1)),1,0))</f>
        <v>0</v>
      </c>
      <c r="Q396">
        <f>IF($N396=0,0,IF(AND($F396&lt;=EOMONTH(DATE(PlanYear,3,1),0),IF(ISNUMBER($G396),$G396,$F396)&gt;=DATE(PlanYear,3,1)),1,0))</f>
        <v>0</v>
      </c>
      <c r="R396">
        <f>IF($N396=0,0,IF(AND($F396&lt;=EOMONTH(DATE(PlanYear,4,1),0),IF(ISNUMBER($G396),$G396,$F396)&gt;=DATE(PlanYear,4,1)),1,0))</f>
        <v>0</v>
      </c>
      <c r="S396">
        <f>IF($N396=0,0,IF(AND($F396&lt;=EOMONTH(DATE(PlanYear,5,1),0),IF(ISNUMBER($G396),$G396,$F396)&gt;=DATE(PlanYear,5,1)),1,0))</f>
        <v>0</v>
      </c>
      <c r="T396">
        <f>IF($N396=0,0,IF(AND($F396&lt;=EOMONTH(DATE(PlanYear,6,1),0),IF(ISNUMBER($G396),$G396,$F396)&gt;=DATE(PlanYear,6,1)),1,0))</f>
        <v>0</v>
      </c>
      <c r="U396">
        <f>IF($N396=0,0,IF(AND($F396&lt;=EOMONTH(DATE(PlanYear,7,1),0),IF(ISNUMBER($G396),$G396,$F396)&gt;=DATE(PlanYear,7,1)),1,0))</f>
        <v>0</v>
      </c>
      <c r="V396">
        <f>IF($N396=0,0,IF(AND($F396&lt;=EOMONTH(DATE(PlanYear,8,1),0),IF(ISNUMBER($G396),$G396,$F396)&gt;=DATE(PlanYear,8,1)),1,0))</f>
        <v>0</v>
      </c>
      <c r="W396">
        <f>IF($N396=0,0,IF(AND($F396&lt;=EOMONTH(DATE(PlanYear,9,1),0),IF(ISNUMBER($G396),$G396,$F396)&gt;=DATE(PlanYear,9,1)),1,0))</f>
        <v>0</v>
      </c>
      <c r="X396">
        <f>IF($N396=0,0,IF(AND($F396&lt;=EOMONTH(DATE(PlanYear,10,1),0),IF(ISNUMBER($G396),$G396,$F396)&gt;=DATE(PlanYear,10,1)),1,0))</f>
        <v>0</v>
      </c>
      <c r="Y396">
        <f>IF($N396=0,0,IF(AND($F396&lt;=EOMONTH(DATE(PlanYear,11,1),0),IF(ISNUMBER($G396),$G396,$F396)&gt;=DATE(PlanYear,11,1)),1,0))</f>
        <v>0</v>
      </c>
      <c r="Z396">
        <f>IF($N396=0,0,IF(AND($F396&lt;=EOMONTH(DATE(PlanYear,12,1),0),IF(ISNUMBER($G396),$G396,$F396)&gt;=DATE(PlanYear,12,1)),1,0))</f>
        <v>0</v>
      </c>
      <c r="AA396">
        <f>SUM($O396:$Z396)</f>
        <v>0</v>
      </c>
    </row>
    <row r="397" spans="1:27">
      <c r="A397" s="42">
        <f>IF($B397="","","ACT-"&amp;TEXT(ROW()-4,"000"))</f>
        <v>0</v>
      </c>
      <c r="M397" s="43">
        <f>IF(COUNTA($B397:$K397)=0,"",IF($B397="","Missing activity name",IF($C397="","Missing practice",IF(COUNTIF(PracticeNames,$C397)=0,"Practice not in Lists",IF($D397="","Missing motion",IF(NOT(ISNUMBER($F397)),"Missing or invalid start date",IF(AND(ISNUMBER($G397),$G397&lt;$F397),"End date before start",IF(AND($N397=1,$AA397=0),"Outside planning year","OK"))))))))</f>
        <v>0</v>
      </c>
      <c r="N397">
        <f>IF(AND($B397&lt;&gt;"",$C397&lt;&gt;"",$D397&lt;&gt;"",ISNUMBER($F397),COUNTIF(PracticeNames,$C397)&gt;0,COUNTIF(MotionNames,$D397)&gt;0,NOT(AND(ISNUMBER($G397),$G397&lt;$F397))),IF(StatusFilter="All (excl. Cancelled)",IF($H397="Cancelled",0,1),IF(StatusFilter="All",1,IF($H397=StatusFilter,1,0))),0)</f>
        <v>0</v>
      </c>
      <c r="O397">
        <f>IF($N397=0,0,IF(AND($F397&lt;=EOMONTH(DATE(PlanYear,1,1),0),IF(ISNUMBER($G397),$G397,$F397)&gt;=DATE(PlanYear,1,1)),1,0))</f>
        <v>0</v>
      </c>
      <c r="P397">
        <f>IF($N397=0,0,IF(AND($F397&lt;=EOMONTH(DATE(PlanYear,2,1),0),IF(ISNUMBER($G397),$G397,$F397)&gt;=DATE(PlanYear,2,1)),1,0))</f>
        <v>0</v>
      </c>
      <c r="Q397">
        <f>IF($N397=0,0,IF(AND($F397&lt;=EOMONTH(DATE(PlanYear,3,1),0),IF(ISNUMBER($G397),$G397,$F397)&gt;=DATE(PlanYear,3,1)),1,0))</f>
        <v>0</v>
      </c>
      <c r="R397">
        <f>IF($N397=0,0,IF(AND($F397&lt;=EOMONTH(DATE(PlanYear,4,1),0),IF(ISNUMBER($G397),$G397,$F397)&gt;=DATE(PlanYear,4,1)),1,0))</f>
        <v>0</v>
      </c>
      <c r="S397">
        <f>IF($N397=0,0,IF(AND($F397&lt;=EOMONTH(DATE(PlanYear,5,1),0),IF(ISNUMBER($G397),$G397,$F397)&gt;=DATE(PlanYear,5,1)),1,0))</f>
        <v>0</v>
      </c>
      <c r="T397">
        <f>IF($N397=0,0,IF(AND($F397&lt;=EOMONTH(DATE(PlanYear,6,1),0),IF(ISNUMBER($G397),$G397,$F397)&gt;=DATE(PlanYear,6,1)),1,0))</f>
        <v>0</v>
      </c>
      <c r="U397">
        <f>IF($N397=0,0,IF(AND($F397&lt;=EOMONTH(DATE(PlanYear,7,1),0),IF(ISNUMBER($G397),$G397,$F397)&gt;=DATE(PlanYear,7,1)),1,0))</f>
        <v>0</v>
      </c>
      <c r="V397">
        <f>IF($N397=0,0,IF(AND($F397&lt;=EOMONTH(DATE(PlanYear,8,1),0),IF(ISNUMBER($G397),$G397,$F397)&gt;=DATE(PlanYear,8,1)),1,0))</f>
        <v>0</v>
      </c>
      <c r="W397">
        <f>IF($N397=0,0,IF(AND($F397&lt;=EOMONTH(DATE(PlanYear,9,1),0),IF(ISNUMBER($G397),$G397,$F397)&gt;=DATE(PlanYear,9,1)),1,0))</f>
        <v>0</v>
      </c>
      <c r="X397">
        <f>IF($N397=0,0,IF(AND($F397&lt;=EOMONTH(DATE(PlanYear,10,1),0),IF(ISNUMBER($G397),$G397,$F397)&gt;=DATE(PlanYear,10,1)),1,0))</f>
        <v>0</v>
      </c>
      <c r="Y397">
        <f>IF($N397=0,0,IF(AND($F397&lt;=EOMONTH(DATE(PlanYear,11,1),0),IF(ISNUMBER($G397),$G397,$F397)&gt;=DATE(PlanYear,11,1)),1,0))</f>
        <v>0</v>
      </c>
      <c r="Z397">
        <f>IF($N397=0,0,IF(AND($F397&lt;=EOMONTH(DATE(PlanYear,12,1),0),IF(ISNUMBER($G397),$G397,$F397)&gt;=DATE(PlanYear,12,1)),1,0))</f>
        <v>0</v>
      </c>
      <c r="AA397">
        <f>SUM($O397:$Z397)</f>
        <v>0</v>
      </c>
    </row>
    <row r="398" spans="1:27">
      <c r="A398" s="42">
        <f>IF($B398="","","ACT-"&amp;TEXT(ROW()-4,"000"))</f>
        <v>0</v>
      </c>
      <c r="M398" s="43">
        <f>IF(COUNTA($B398:$K398)=0,"",IF($B398="","Missing activity name",IF($C398="","Missing practice",IF(COUNTIF(PracticeNames,$C398)=0,"Practice not in Lists",IF($D398="","Missing motion",IF(NOT(ISNUMBER($F398)),"Missing or invalid start date",IF(AND(ISNUMBER($G398),$G398&lt;$F398),"End date before start",IF(AND($N398=1,$AA398=0),"Outside planning year","OK"))))))))</f>
        <v>0</v>
      </c>
      <c r="N398">
        <f>IF(AND($B398&lt;&gt;"",$C398&lt;&gt;"",$D398&lt;&gt;"",ISNUMBER($F398),COUNTIF(PracticeNames,$C398)&gt;0,COUNTIF(MotionNames,$D398)&gt;0,NOT(AND(ISNUMBER($G398),$G398&lt;$F398))),IF(StatusFilter="All (excl. Cancelled)",IF($H398="Cancelled",0,1),IF(StatusFilter="All",1,IF($H398=StatusFilter,1,0))),0)</f>
        <v>0</v>
      </c>
      <c r="O398">
        <f>IF($N398=0,0,IF(AND($F398&lt;=EOMONTH(DATE(PlanYear,1,1),0),IF(ISNUMBER($G398),$G398,$F398)&gt;=DATE(PlanYear,1,1)),1,0))</f>
        <v>0</v>
      </c>
      <c r="P398">
        <f>IF($N398=0,0,IF(AND($F398&lt;=EOMONTH(DATE(PlanYear,2,1),0),IF(ISNUMBER($G398),$G398,$F398)&gt;=DATE(PlanYear,2,1)),1,0))</f>
        <v>0</v>
      </c>
      <c r="Q398">
        <f>IF($N398=0,0,IF(AND($F398&lt;=EOMONTH(DATE(PlanYear,3,1),0),IF(ISNUMBER($G398),$G398,$F398)&gt;=DATE(PlanYear,3,1)),1,0))</f>
        <v>0</v>
      </c>
      <c r="R398">
        <f>IF($N398=0,0,IF(AND($F398&lt;=EOMONTH(DATE(PlanYear,4,1),0),IF(ISNUMBER($G398),$G398,$F398)&gt;=DATE(PlanYear,4,1)),1,0))</f>
        <v>0</v>
      </c>
      <c r="S398">
        <f>IF($N398=0,0,IF(AND($F398&lt;=EOMONTH(DATE(PlanYear,5,1),0),IF(ISNUMBER($G398),$G398,$F398)&gt;=DATE(PlanYear,5,1)),1,0))</f>
        <v>0</v>
      </c>
      <c r="T398">
        <f>IF($N398=0,0,IF(AND($F398&lt;=EOMONTH(DATE(PlanYear,6,1),0),IF(ISNUMBER($G398),$G398,$F398)&gt;=DATE(PlanYear,6,1)),1,0))</f>
        <v>0</v>
      </c>
      <c r="U398">
        <f>IF($N398=0,0,IF(AND($F398&lt;=EOMONTH(DATE(PlanYear,7,1),0),IF(ISNUMBER($G398),$G398,$F398)&gt;=DATE(PlanYear,7,1)),1,0))</f>
        <v>0</v>
      </c>
      <c r="V398">
        <f>IF($N398=0,0,IF(AND($F398&lt;=EOMONTH(DATE(PlanYear,8,1),0),IF(ISNUMBER($G398),$G398,$F398)&gt;=DATE(PlanYear,8,1)),1,0))</f>
        <v>0</v>
      </c>
      <c r="W398">
        <f>IF($N398=0,0,IF(AND($F398&lt;=EOMONTH(DATE(PlanYear,9,1),0),IF(ISNUMBER($G398),$G398,$F398)&gt;=DATE(PlanYear,9,1)),1,0))</f>
        <v>0</v>
      </c>
      <c r="X398">
        <f>IF($N398=0,0,IF(AND($F398&lt;=EOMONTH(DATE(PlanYear,10,1),0),IF(ISNUMBER($G398),$G398,$F398)&gt;=DATE(PlanYear,10,1)),1,0))</f>
        <v>0</v>
      </c>
      <c r="Y398">
        <f>IF($N398=0,0,IF(AND($F398&lt;=EOMONTH(DATE(PlanYear,11,1),0),IF(ISNUMBER($G398),$G398,$F398)&gt;=DATE(PlanYear,11,1)),1,0))</f>
        <v>0</v>
      </c>
      <c r="Z398">
        <f>IF($N398=0,0,IF(AND($F398&lt;=EOMONTH(DATE(PlanYear,12,1),0),IF(ISNUMBER($G398),$G398,$F398)&gt;=DATE(PlanYear,12,1)),1,0))</f>
        <v>0</v>
      </c>
      <c r="AA398">
        <f>SUM($O398:$Z398)</f>
        <v>0</v>
      </c>
    </row>
    <row r="399" spans="1:27">
      <c r="A399" s="42">
        <f>IF($B399="","","ACT-"&amp;TEXT(ROW()-4,"000"))</f>
        <v>0</v>
      </c>
      <c r="M399" s="43">
        <f>IF(COUNTA($B399:$K399)=0,"",IF($B399="","Missing activity name",IF($C399="","Missing practice",IF(COUNTIF(PracticeNames,$C399)=0,"Practice not in Lists",IF($D399="","Missing motion",IF(NOT(ISNUMBER($F399)),"Missing or invalid start date",IF(AND(ISNUMBER($G399),$G399&lt;$F399),"End date before start",IF(AND($N399=1,$AA399=0),"Outside planning year","OK"))))))))</f>
        <v>0</v>
      </c>
      <c r="N399">
        <f>IF(AND($B399&lt;&gt;"",$C399&lt;&gt;"",$D399&lt;&gt;"",ISNUMBER($F399),COUNTIF(PracticeNames,$C399)&gt;0,COUNTIF(MotionNames,$D399)&gt;0,NOT(AND(ISNUMBER($G399),$G399&lt;$F399))),IF(StatusFilter="All (excl. Cancelled)",IF($H399="Cancelled",0,1),IF(StatusFilter="All",1,IF($H399=StatusFilter,1,0))),0)</f>
        <v>0</v>
      </c>
      <c r="O399">
        <f>IF($N399=0,0,IF(AND($F399&lt;=EOMONTH(DATE(PlanYear,1,1),0),IF(ISNUMBER($G399),$G399,$F399)&gt;=DATE(PlanYear,1,1)),1,0))</f>
        <v>0</v>
      </c>
      <c r="P399">
        <f>IF($N399=0,0,IF(AND($F399&lt;=EOMONTH(DATE(PlanYear,2,1),0),IF(ISNUMBER($G399),$G399,$F399)&gt;=DATE(PlanYear,2,1)),1,0))</f>
        <v>0</v>
      </c>
      <c r="Q399">
        <f>IF($N399=0,0,IF(AND($F399&lt;=EOMONTH(DATE(PlanYear,3,1),0),IF(ISNUMBER($G399),$G399,$F399)&gt;=DATE(PlanYear,3,1)),1,0))</f>
        <v>0</v>
      </c>
      <c r="R399">
        <f>IF($N399=0,0,IF(AND($F399&lt;=EOMONTH(DATE(PlanYear,4,1),0),IF(ISNUMBER($G399),$G399,$F399)&gt;=DATE(PlanYear,4,1)),1,0))</f>
        <v>0</v>
      </c>
      <c r="S399">
        <f>IF($N399=0,0,IF(AND($F399&lt;=EOMONTH(DATE(PlanYear,5,1),0),IF(ISNUMBER($G399),$G399,$F399)&gt;=DATE(PlanYear,5,1)),1,0))</f>
        <v>0</v>
      </c>
      <c r="T399">
        <f>IF($N399=0,0,IF(AND($F399&lt;=EOMONTH(DATE(PlanYear,6,1),0),IF(ISNUMBER($G399),$G399,$F399)&gt;=DATE(PlanYear,6,1)),1,0))</f>
        <v>0</v>
      </c>
      <c r="U399">
        <f>IF($N399=0,0,IF(AND($F399&lt;=EOMONTH(DATE(PlanYear,7,1),0),IF(ISNUMBER($G399),$G399,$F399)&gt;=DATE(PlanYear,7,1)),1,0))</f>
        <v>0</v>
      </c>
      <c r="V399">
        <f>IF($N399=0,0,IF(AND($F399&lt;=EOMONTH(DATE(PlanYear,8,1),0),IF(ISNUMBER($G399),$G399,$F399)&gt;=DATE(PlanYear,8,1)),1,0))</f>
        <v>0</v>
      </c>
      <c r="W399">
        <f>IF($N399=0,0,IF(AND($F399&lt;=EOMONTH(DATE(PlanYear,9,1),0),IF(ISNUMBER($G399),$G399,$F399)&gt;=DATE(PlanYear,9,1)),1,0))</f>
        <v>0</v>
      </c>
      <c r="X399">
        <f>IF($N399=0,0,IF(AND($F399&lt;=EOMONTH(DATE(PlanYear,10,1),0),IF(ISNUMBER($G399),$G399,$F399)&gt;=DATE(PlanYear,10,1)),1,0))</f>
        <v>0</v>
      </c>
      <c r="Y399">
        <f>IF($N399=0,0,IF(AND($F399&lt;=EOMONTH(DATE(PlanYear,11,1),0),IF(ISNUMBER($G399),$G399,$F399)&gt;=DATE(PlanYear,11,1)),1,0))</f>
        <v>0</v>
      </c>
      <c r="Z399">
        <f>IF($N399=0,0,IF(AND($F399&lt;=EOMONTH(DATE(PlanYear,12,1),0),IF(ISNUMBER($G399),$G399,$F399)&gt;=DATE(PlanYear,12,1)),1,0))</f>
        <v>0</v>
      </c>
      <c r="AA399">
        <f>SUM($O399:$Z399)</f>
        <v>0</v>
      </c>
    </row>
    <row r="400" spans="1:27">
      <c r="A400" s="42">
        <f>IF($B400="","","ACT-"&amp;TEXT(ROW()-4,"000"))</f>
        <v>0</v>
      </c>
      <c r="M400" s="43">
        <f>IF(COUNTA($B400:$K400)=0,"",IF($B400="","Missing activity name",IF($C400="","Missing practice",IF(COUNTIF(PracticeNames,$C400)=0,"Practice not in Lists",IF($D400="","Missing motion",IF(NOT(ISNUMBER($F400)),"Missing or invalid start date",IF(AND(ISNUMBER($G400),$G400&lt;$F400),"End date before start",IF(AND($N400=1,$AA400=0),"Outside planning year","OK"))))))))</f>
        <v>0</v>
      </c>
      <c r="N400">
        <f>IF(AND($B400&lt;&gt;"",$C400&lt;&gt;"",$D400&lt;&gt;"",ISNUMBER($F400),COUNTIF(PracticeNames,$C400)&gt;0,COUNTIF(MotionNames,$D400)&gt;0,NOT(AND(ISNUMBER($G400),$G400&lt;$F400))),IF(StatusFilter="All (excl. Cancelled)",IF($H400="Cancelled",0,1),IF(StatusFilter="All",1,IF($H400=StatusFilter,1,0))),0)</f>
        <v>0</v>
      </c>
      <c r="O400">
        <f>IF($N400=0,0,IF(AND($F400&lt;=EOMONTH(DATE(PlanYear,1,1),0),IF(ISNUMBER($G400),$G400,$F400)&gt;=DATE(PlanYear,1,1)),1,0))</f>
        <v>0</v>
      </c>
      <c r="P400">
        <f>IF($N400=0,0,IF(AND($F400&lt;=EOMONTH(DATE(PlanYear,2,1),0),IF(ISNUMBER($G400),$G400,$F400)&gt;=DATE(PlanYear,2,1)),1,0))</f>
        <v>0</v>
      </c>
      <c r="Q400">
        <f>IF($N400=0,0,IF(AND($F400&lt;=EOMONTH(DATE(PlanYear,3,1),0),IF(ISNUMBER($G400),$G400,$F400)&gt;=DATE(PlanYear,3,1)),1,0))</f>
        <v>0</v>
      </c>
      <c r="R400">
        <f>IF($N400=0,0,IF(AND($F400&lt;=EOMONTH(DATE(PlanYear,4,1),0),IF(ISNUMBER($G400),$G400,$F400)&gt;=DATE(PlanYear,4,1)),1,0))</f>
        <v>0</v>
      </c>
      <c r="S400">
        <f>IF($N400=0,0,IF(AND($F400&lt;=EOMONTH(DATE(PlanYear,5,1),0),IF(ISNUMBER($G400),$G400,$F400)&gt;=DATE(PlanYear,5,1)),1,0))</f>
        <v>0</v>
      </c>
      <c r="T400">
        <f>IF($N400=0,0,IF(AND($F400&lt;=EOMONTH(DATE(PlanYear,6,1),0),IF(ISNUMBER($G400),$G400,$F400)&gt;=DATE(PlanYear,6,1)),1,0))</f>
        <v>0</v>
      </c>
      <c r="U400">
        <f>IF($N400=0,0,IF(AND($F400&lt;=EOMONTH(DATE(PlanYear,7,1),0),IF(ISNUMBER($G400),$G400,$F400)&gt;=DATE(PlanYear,7,1)),1,0))</f>
        <v>0</v>
      </c>
      <c r="V400">
        <f>IF($N400=0,0,IF(AND($F400&lt;=EOMONTH(DATE(PlanYear,8,1),0),IF(ISNUMBER($G400),$G400,$F400)&gt;=DATE(PlanYear,8,1)),1,0))</f>
        <v>0</v>
      </c>
      <c r="W400">
        <f>IF($N400=0,0,IF(AND($F400&lt;=EOMONTH(DATE(PlanYear,9,1),0),IF(ISNUMBER($G400),$G400,$F400)&gt;=DATE(PlanYear,9,1)),1,0))</f>
        <v>0</v>
      </c>
      <c r="X400">
        <f>IF($N400=0,0,IF(AND($F400&lt;=EOMONTH(DATE(PlanYear,10,1),0),IF(ISNUMBER($G400),$G400,$F400)&gt;=DATE(PlanYear,10,1)),1,0))</f>
        <v>0</v>
      </c>
      <c r="Y400">
        <f>IF($N400=0,0,IF(AND($F400&lt;=EOMONTH(DATE(PlanYear,11,1),0),IF(ISNUMBER($G400),$G400,$F400)&gt;=DATE(PlanYear,11,1)),1,0))</f>
        <v>0</v>
      </c>
      <c r="Z400">
        <f>IF($N400=0,0,IF(AND($F400&lt;=EOMONTH(DATE(PlanYear,12,1),0),IF(ISNUMBER($G400),$G400,$F400)&gt;=DATE(PlanYear,12,1)),1,0))</f>
        <v>0</v>
      </c>
      <c r="AA400">
        <f>SUM($O400:$Z400)</f>
        <v>0</v>
      </c>
    </row>
    <row r="401" spans="1:27">
      <c r="A401" s="42">
        <f>IF($B401="","","ACT-"&amp;TEXT(ROW()-4,"000"))</f>
        <v>0</v>
      </c>
      <c r="M401" s="43">
        <f>IF(COUNTA($B401:$K401)=0,"",IF($B401="","Missing activity name",IF($C401="","Missing practice",IF(COUNTIF(PracticeNames,$C401)=0,"Practice not in Lists",IF($D401="","Missing motion",IF(NOT(ISNUMBER($F401)),"Missing or invalid start date",IF(AND(ISNUMBER($G401),$G401&lt;$F401),"End date before start",IF(AND($N401=1,$AA401=0),"Outside planning year","OK"))))))))</f>
        <v>0</v>
      </c>
      <c r="N401">
        <f>IF(AND($B401&lt;&gt;"",$C401&lt;&gt;"",$D401&lt;&gt;"",ISNUMBER($F401),COUNTIF(PracticeNames,$C401)&gt;0,COUNTIF(MotionNames,$D401)&gt;0,NOT(AND(ISNUMBER($G401),$G401&lt;$F401))),IF(StatusFilter="All (excl. Cancelled)",IF($H401="Cancelled",0,1),IF(StatusFilter="All",1,IF($H401=StatusFilter,1,0))),0)</f>
        <v>0</v>
      </c>
      <c r="O401">
        <f>IF($N401=0,0,IF(AND($F401&lt;=EOMONTH(DATE(PlanYear,1,1),0),IF(ISNUMBER($G401),$G401,$F401)&gt;=DATE(PlanYear,1,1)),1,0))</f>
        <v>0</v>
      </c>
      <c r="P401">
        <f>IF($N401=0,0,IF(AND($F401&lt;=EOMONTH(DATE(PlanYear,2,1),0),IF(ISNUMBER($G401),$G401,$F401)&gt;=DATE(PlanYear,2,1)),1,0))</f>
        <v>0</v>
      </c>
      <c r="Q401">
        <f>IF($N401=0,0,IF(AND($F401&lt;=EOMONTH(DATE(PlanYear,3,1),0),IF(ISNUMBER($G401),$G401,$F401)&gt;=DATE(PlanYear,3,1)),1,0))</f>
        <v>0</v>
      </c>
      <c r="R401">
        <f>IF($N401=0,0,IF(AND($F401&lt;=EOMONTH(DATE(PlanYear,4,1),0),IF(ISNUMBER($G401),$G401,$F401)&gt;=DATE(PlanYear,4,1)),1,0))</f>
        <v>0</v>
      </c>
      <c r="S401">
        <f>IF($N401=0,0,IF(AND($F401&lt;=EOMONTH(DATE(PlanYear,5,1),0),IF(ISNUMBER($G401),$G401,$F401)&gt;=DATE(PlanYear,5,1)),1,0))</f>
        <v>0</v>
      </c>
      <c r="T401">
        <f>IF($N401=0,0,IF(AND($F401&lt;=EOMONTH(DATE(PlanYear,6,1),0),IF(ISNUMBER($G401),$G401,$F401)&gt;=DATE(PlanYear,6,1)),1,0))</f>
        <v>0</v>
      </c>
      <c r="U401">
        <f>IF($N401=0,0,IF(AND($F401&lt;=EOMONTH(DATE(PlanYear,7,1),0),IF(ISNUMBER($G401),$G401,$F401)&gt;=DATE(PlanYear,7,1)),1,0))</f>
        <v>0</v>
      </c>
      <c r="V401">
        <f>IF($N401=0,0,IF(AND($F401&lt;=EOMONTH(DATE(PlanYear,8,1),0),IF(ISNUMBER($G401),$G401,$F401)&gt;=DATE(PlanYear,8,1)),1,0))</f>
        <v>0</v>
      </c>
      <c r="W401">
        <f>IF($N401=0,0,IF(AND($F401&lt;=EOMONTH(DATE(PlanYear,9,1),0),IF(ISNUMBER($G401),$G401,$F401)&gt;=DATE(PlanYear,9,1)),1,0))</f>
        <v>0</v>
      </c>
      <c r="X401">
        <f>IF($N401=0,0,IF(AND($F401&lt;=EOMONTH(DATE(PlanYear,10,1),0),IF(ISNUMBER($G401),$G401,$F401)&gt;=DATE(PlanYear,10,1)),1,0))</f>
        <v>0</v>
      </c>
      <c r="Y401">
        <f>IF($N401=0,0,IF(AND($F401&lt;=EOMONTH(DATE(PlanYear,11,1),0),IF(ISNUMBER($G401),$G401,$F401)&gt;=DATE(PlanYear,11,1)),1,0))</f>
        <v>0</v>
      </c>
      <c r="Z401">
        <f>IF($N401=0,0,IF(AND($F401&lt;=EOMONTH(DATE(PlanYear,12,1),0),IF(ISNUMBER($G401),$G401,$F401)&gt;=DATE(PlanYear,12,1)),1,0))</f>
        <v>0</v>
      </c>
      <c r="AA401">
        <f>SUM($O401:$Z401)</f>
        <v>0</v>
      </c>
    </row>
    <row r="402" spans="1:27">
      <c r="A402" s="42">
        <f>IF($B402="","","ACT-"&amp;TEXT(ROW()-4,"000"))</f>
        <v>0</v>
      </c>
      <c r="M402" s="43">
        <f>IF(COUNTA($B402:$K402)=0,"",IF($B402="","Missing activity name",IF($C402="","Missing practice",IF(COUNTIF(PracticeNames,$C402)=0,"Practice not in Lists",IF($D402="","Missing motion",IF(NOT(ISNUMBER($F402)),"Missing or invalid start date",IF(AND(ISNUMBER($G402),$G402&lt;$F402),"End date before start",IF(AND($N402=1,$AA402=0),"Outside planning year","OK"))))))))</f>
        <v>0</v>
      </c>
      <c r="N402">
        <f>IF(AND($B402&lt;&gt;"",$C402&lt;&gt;"",$D402&lt;&gt;"",ISNUMBER($F402),COUNTIF(PracticeNames,$C402)&gt;0,COUNTIF(MotionNames,$D402)&gt;0,NOT(AND(ISNUMBER($G402),$G402&lt;$F402))),IF(StatusFilter="All (excl. Cancelled)",IF($H402="Cancelled",0,1),IF(StatusFilter="All",1,IF($H402=StatusFilter,1,0))),0)</f>
        <v>0</v>
      </c>
      <c r="O402">
        <f>IF($N402=0,0,IF(AND($F402&lt;=EOMONTH(DATE(PlanYear,1,1),0),IF(ISNUMBER($G402),$G402,$F402)&gt;=DATE(PlanYear,1,1)),1,0))</f>
        <v>0</v>
      </c>
      <c r="P402">
        <f>IF($N402=0,0,IF(AND($F402&lt;=EOMONTH(DATE(PlanYear,2,1),0),IF(ISNUMBER($G402),$G402,$F402)&gt;=DATE(PlanYear,2,1)),1,0))</f>
        <v>0</v>
      </c>
      <c r="Q402">
        <f>IF($N402=0,0,IF(AND($F402&lt;=EOMONTH(DATE(PlanYear,3,1),0),IF(ISNUMBER($G402),$G402,$F402)&gt;=DATE(PlanYear,3,1)),1,0))</f>
        <v>0</v>
      </c>
      <c r="R402">
        <f>IF($N402=0,0,IF(AND($F402&lt;=EOMONTH(DATE(PlanYear,4,1),0),IF(ISNUMBER($G402),$G402,$F402)&gt;=DATE(PlanYear,4,1)),1,0))</f>
        <v>0</v>
      </c>
      <c r="S402">
        <f>IF($N402=0,0,IF(AND($F402&lt;=EOMONTH(DATE(PlanYear,5,1),0),IF(ISNUMBER($G402),$G402,$F402)&gt;=DATE(PlanYear,5,1)),1,0))</f>
        <v>0</v>
      </c>
      <c r="T402">
        <f>IF($N402=0,0,IF(AND($F402&lt;=EOMONTH(DATE(PlanYear,6,1),0),IF(ISNUMBER($G402),$G402,$F402)&gt;=DATE(PlanYear,6,1)),1,0))</f>
        <v>0</v>
      </c>
      <c r="U402">
        <f>IF($N402=0,0,IF(AND($F402&lt;=EOMONTH(DATE(PlanYear,7,1),0),IF(ISNUMBER($G402),$G402,$F402)&gt;=DATE(PlanYear,7,1)),1,0))</f>
        <v>0</v>
      </c>
      <c r="V402">
        <f>IF($N402=0,0,IF(AND($F402&lt;=EOMONTH(DATE(PlanYear,8,1),0),IF(ISNUMBER($G402),$G402,$F402)&gt;=DATE(PlanYear,8,1)),1,0))</f>
        <v>0</v>
      </c>
      <c r="W402">
        <f>IF($N402=0,0,IF(AND($F402&lt;=EOMONTH(DATE(PlanYear,9,1),0),IF(ISNUMBER($G402),$G402,$F402)&gt;=DATE(PlanYear,9,1)),1,0))</f>
        <v>0</v>
      </c>
      <c r="X402">
        <f>IF($N402=0,0,IF(AND($F402&lt;=EOMONTH(DATE(PlanYear,10,1),0),IF(ISNUMBER($G402),$G402,$F402)&gt;=DATE(PlanYear,10,1)),1,0))</f>
        <v>0</v>
      </c>
      <c r="Y402">
        <f>IF($N402=0,0,IF(AND($F402&lt;=EOMONTH(DATE(PlanYear,11,1),0),IF(ISNUMBER($G402),$G402,$F402)&gt;=DATE(PlanYear,11,1)),1,0))</f>
        <v>0</v>
      </c>
      <c r="Z402">
        <f>IF($N402=0,0,IF(AND($F402&lt;=EOMONTH(DATE(PlanYear,12,1),0),IF(ISNUMBER($G402),$G402,$F402)&gt;=DATE(PlanYear,12,1)),1,0))</f>
        <v>0</v>
      </c>
      <c r="AA402">
        <f>SUM($O402:$Z402)</f>
        <v>0</v>
      </c>
    </row>
    <row r="403" spans="1:27">
      <c r="A403" s="42">
        <f>IF($B403="","","ACT-"&amp;TEXT(ROW()-4,"000"))</f>
        <v>0</v>
      </c>
      <c r="M403" s="43">
        <f>IF(COUNTA($B403:$K403)=0,"",IF($B403="","Missing activity name",IF($C403="","Missing practice",IF(COUNTIF(PracticeNames,$C403)=0,"Practice not in Lists",IF($D403="","Missing motion",IF(NOT(ISNUMBER($F403)),"Missing or invalid start date",IF(AND(ISNUMBER($G403),$G403&lt;$F403),"End date before start",IF(AND($N403=1,$AA403=0),"Outside planning year","OK"))))))))</f>
        <v>0</v>
      </c>
      <c r="N403">
        <f>IF(AND($B403&lt;&gt;"",$C403&lt;&gt;"",$D403&lt;&gt;"",ISNUMBER($F403),COUNTIF(PracticeNames,$C403)&gt;0,COUNTIF(MotionNames,$D403)&gt;0,NOT(AND(ISNUMBER($G403),$G403&lt;$F403))),IF(StatusFilter="All (excl. Cancelled)",IF($H403="Cancelled",0,1),IF(StatusFilter="All",1,IF($H403=StatusFilter,1,0))),0)</f>
        <v>0</v>
      </c>
      <c r="O403">
        <f>IF($N403=0,0,IF(AND($F403&lt;=EOMONTH(DATE(PlanYear,1,1),0),IF(ISNUMBER($G403),$G403,$F403)&gt;=DATE(PlanYear,1,1)),1,0))</f>
        <v>0</v>
      </c>
      <c r="P403">
        <f>IF($N403=0,0,IF(AND($F403&lt;=EOMONTH(DATE(PlanYear,2,1),0),IF(ISNUMBER($G403),$G403,$F403)&gt;=DATE(PlanYear,2,1)),1,0))</f>
        <v>0</v>
      </c>
      <c r="Q403">
        <f>IF($N403=0,0,IF(AND($F403&lt;=EOMONTH(DATE(PlanYear,3,1),0),IF(ISNUMBER($G403),$G403,$F403)&gt;=DATE(PlanYear,3,1)),1,0))</f>
        <v>0</v>
      </c>
      <c r="R403">
        <f>IF($N403=0,0,IF(AND($F403&lt;=EOMONTH(DATE(PlanYear,4,1),0),IF(ISNUMBER($G403),$G403,$F403)&gt;=DATE(PlanYear,4,1)),1,0))</f>
        <v>0</v>
      </c>
      <c r="S403">
        <f>IF($N403=0,0,IF(AND($F403&lt;=EOMONTH(DATE(PlanYear,5,1),0),IF(ISNUMBER($G403),$G403,$F403)&gt;=DATE(PlanYear,5,1)),1,0))</f>
        <v>0</v>
      </c>
      <c r="T403">
        <f>IF($N403=0,0,IF(AND($F403&lt;=EOMONTH(DATE(PlanYear,6,1),0),IF(ISNUMBER($G403),$G403,$F403)&gt;=DATE(PlanYear,6,1)),1,0))</f>
        <v>0</v>
      </c>
      <c r="U403">
        <f>IF($N403=0,0,IF(AND($F403&lt;=EOMONTH(DATE(PlanYear,7,1),0),IF(ISNUMBER($G403),$G403,$F403)&gt;=DATE(PlanYear,7,1)),1,0))</f>
        <v>0</v>
      </c>
      <c r="V403">
        <f>IF($N403=0,0,IF(AND($F403&lt;=EOMONTH(DATE(PlanYear,8,1),0),IF(ISNUMBER($G403),$G403,$F403)&gt;=DATE(PlanYear,8,1)),1,0))</f>
        <v>0</v>
      </c>
      <c r="W403">
        <f>IF($N403=0,0,IF(AND($F403&lt;=EOMONTH(DATE(PlanYear,9,1),0),IF(ISNUMBER($G403),$G403,$F403)&gt;=DATE(PlanYear,9,1)),1,0))</f>
        <v>0</v>
      </c>
      <c r="X403">
        <f>IF($N403=0,0,IF(AND($F403&lt;=EOMONTH(DATE(PlanYear,10,1),0),IF(ISNUMBER($G403),$G403,$F403)&gt;=DATE(PlanYear,10,1)),1,0))</f>
        <v>0</v>
      </c>
      <c r="Y403">
        <f>IF($N403=0,0,IF(AND($F403&lt;=EOMONTH(DATE(PlanYear,11,1),0),IF(ISNUMBER($G403),$G403,$F403)&gt;=DATE(PlanYear,11,1)),1,0))</f>
        <v>0</v>
      </c>
      <c r="Z403">
        <f>IF($N403=0,0,IF(AND($F403&lt;=EOMONTH(DATE(PlanYear,12,1),0),IF(ISNUMBER($G403),$G403,$F403)&gt;=DATE(PlanYear,12,1)),1,0))</f>
        <v>0</v>
      </c>
      <c r="AA403">
        <f>SUM($O403:$Z403)</f>
        <v>0</v>
      </c>
    </row>
    <row r="404" spans="1:27">
      <c r="A404" s="42">
        <f>IF($B404="","","ACT-"&amp;TEXT(ROW()-4,"000"))</f>
        <v>0</v>
      </c>
      <c r="M404" s="43">
        <f>IF(COUNTA($B404:$K404)=0,"",IF($B404="","Missing activity name",IF($C404="","Missing practice",IF(COUNTIF(PracticeNames,$C404)=0,"Practice not in Lists",IF($D404="","Missing motion",IF(NOT(ISNUMBER($F404)),"Missing or invalid start date",IF(AND(ISNUMBER($G404),$G404&lt;$F404),"End date before start",IF(AND($N404=1,$AA404=0),"Outside planning year","OK"))))))))</f>
        <v>0</v>
      </c>
      <c r="N404">
        <f>IF(AND($B404&lt;&gt;"",$C404&lt;&gt;"",$D404&lt;&gt;"",ISNUMBER($F404),COUNTIF(PracticeNames,$C404)&gt;0,COUNTIF(MotionNames,$D404)&gt;0,NOT(AND(ISNUMBER($G404),$G404&lt;$F404))),IF(StatusFilter="All (excl. Cancelled)",IF($H404="Cancelled",0,1),IF(StatusFilter="All",1,IF($H404=StatusFilter,1,0))),0)</f>
        <v>0</v>
      </c>
      <c r="O404">
        <f>IF($N404=0,0,IF(AND($F404&lt;=EOMONTH(DATE(PlanYear,1,1),0),IF(ISNUMBER($G404),$G404,$F404)&gt;=DATE(PlanYear,1,1)),1,0))</f>
        <v>0</v>
      </c>
      <c r="P404">
        <f>IF($N404=0,0,IF(AND($F404&lt;=EOMONTH(DATE(PlanYear,2,1),0),IF(ISNUMBER($G404),$G404,$F404)&gt;=DATE(PlanYear,2,1)),1,0))</f>
        <v>0</v>
      </c>
      <c r="Q404">
        <f>IF($N404=0,0,IF(AND($F404&lt;=EOMONTH(DATE(PlanYear,3,1),0),IF(ISNUMBER($G404),$G404,$F404)&gt;=DATE(PlanYear,3,1)),1,0))</f>
        <v>0</v>
      </c>
      <c r="R404">
        <f>IF($N404=0,0,IF(AND($F404&lt;=EOMONTH(DATE(PlanYear,4,1),0),IF(ISNUMBER($G404),$G404,$F404)&gt;=DATE(PlanYear,4,1)),1,0))</f>
        <v>0</v>
      </c>
      <c r="S404">
        <f>IF($N404=0,0,IF(AND($F404&lt;=EOMONTH(DATE(PlanYear,5,1),0),IF(ISNUMBER($G404),$G404,$F404)&gt;=DATE(PlanYear,5,1)),1,0))</f>
        <v>0</v>
      </c>
      <c r="T404">
        <f>IF($N404=0,0,IF(AND($F404&lt;=EOMONTH(DATE(PlanYear,6,1),0),IF(ISNUMBER($G404),$G404,$F404)&gt;=DATE(PlanYear,6,1)),1,0))</f>
        <v>0</v>
      </c>
      <c r="U404">
        <f>IF($N404=0,0,IF(AND($F404&lt;=EOMONTH(DATE(PlanYear,7,1),0),IF(ISNUMBER($G404),$G404,$F404)&gt;=DATE(PlanYear,7,1)),1,0))</f>
        <v>0</v>
      </c>
      <c r="V404">
        <f>IF($N404=0,0,IF(AND($F404&lt;=EOMONTH(DATE(PlanYear,8,1),0),IF(ISNUMBER($G404),$G404,$F404)&gt;=DATE(PlanYear,8,1)),1,0))</f>
        <v>0</v>
      </c>
      <c r="W404">
        <f>IF($N404=0,0,IF(AND($F404&lt;=EOMONTH(DATE(PlanYear,9,1),0),IF(ISNUMBER($G404),$G404,$F404)&gt;=DATE(PlanYear,9,1)),1,0))</f>
        <v>0</v>
      </c>
      <c r="X404">
        <f>IF($N404=0,0,IF(AND($F404&lt;=EOMONTH(DATE(PlanYear,10,1),0),IF(ISNUMBER($G404),$G404,$F404)&gt;=DATE(PlanYear,10,1)),1,0))</f>
        <v>0</v>
      </c>
      <c r="Y404">
        <f>IF($N404=0,0,IF(AND($F404&lt;=EOMONTH(DATE(PlanYear,11,1),0),IF(ISNUMBER($G404),$G404,$F404)&gt;=DATE(PlanYear,11,1)),1,0))</f>
        <v>0</v>
      </c>
      <c r="Z404">
        <f>IF($N404=0,0,IF(AND($F404&lt;=EOMONTH(DATE(PlanYear,12,1),0),IF(ISNUMBER($G404),$G404,$F404)&gt;=DATE(PlanYear,12,1)),1,0))</f>
        <v>0</v>
      </c>
      <c r="AA404">
        <f>SUM($O404:$Z404)</f>
        <v>0</v>
      </c>
    </row>
    <row r="405" spans="1:27">
      <c r="A405" s="42">
        <f>IF($B405="","","ACT-"&amp;TEXT(ROW()-4,"000"))</f>
        <v>0</v>
      </c>
      <c r="M405" s="43">
        <f>IF(COUNTA($B405:$K405)=0,"",IF($B405="","Missing activity name",IF($C405="","Missing practice",IF(COUNTIF(PracticeNames,$C405)=0,"Practice not in Lists",IF($D405="","Missing motion",IF(NOT(ISNUMBER($F405)),"Missing or invalid start date",IF(AND(ISNUMBER($G405),$G405&lt;$F405),"End date before start",IF(AND($N405=1,$AA405=0),"Outside planning year","OK"))))))))</f>
        <v>0</v>
      </c>
      <c r="N405">
        <f>IF(AND($B405&lt;&gt;"",$C405&lt;&gt;"",$D405&lt;&gt;"",ISNUMBER($F405),COUNTIF(PracticeNames,$C405)&gt;0,COUNTIF(MotionNames,$D405)&gt;0,NOT(AND(ISNUMBER($G405),$G405&lt;$F405))),IF(StatusFilter="All (excl. Cancelled)",IF($H405="Cancelled",0,1),IF(StatusFilter="All",1,IF($H405=StatusFilter,1,0))),0)</f>
        <v>0</v>
      </c>
      <c r="O405">
        <f>IF($N405=0,0,IF(AND($F405&lt;=EOMONTH(DATE(PlanYear,1,1),0),IF(ISNUMBER($G405),$G405,$F405)&gt;=DATE(PlanYear,1,1)),1,0))</f>
        <v>0</v>
      </c>
      <c r="P405">
        <f>IF($N405=0,0,IF(AND($F405&lt;=EOMONTH(DATE(PlanYear,2,1),0),IF(ISNUMBER($G405),$G405,$F405)&gt;=DATE(PlanYear,2,1)),1,0))</f>
        <v>0</v>
      </c>
      <c r="Q405">
        <f>IF($N405=0,0,IF(AND($F405&lt;=EOMONTH(DATE(PlanYear,3,1),0),IF(ISNUMBER($G405),$G405,$F405)&gt;=DATE(PlanYear,3,1)),1,0))</f>
        <v>0</v>
      </c>
      <c r="R405">
        <f>IF($N405=0,0,IF(AND($F405&lt;=EOMONTH(DATE(PlanYear,4,1),0),IF(ISNUMBER($G405),$G405,$F405)&gt;=DATE(PlanYear,4,1)),1,0))</f>
        <v>0</v>
      </c>
      <c r="S405">
        <f>IF($N405=0,0,IF(AND($F405&lt;=EOMONTH(DATE(PlanYear,5,1),0),IF(ISNUMBER($G405),$G405,$F405)&gt;=DATE(PlanYear,5,1)),1,0))</f>
        <v>0</v>
      </c>
      <c r="T405">
        <f>IF($N405=0,0,IF(AND($F405&lt;=EOMONTH(DATE(PlanYear,6,1),0),IF(ISNUMBER($G405),$G405,$F405)&gt;=DATE(PlanYear,6,1)),1,0))</f>
        <v>0</v>
      </c>
      <c r="U405">
        <f>IF($N405=0,0,IF(AND($F405&lt;=EOMONTH(DATE(PlanYear,7,1),0),IF(ISNUMBER($G405),$G405,$F405)&gt;=DATE(PlanYear,7,1)),1,0))</f>
        <v>0</v>
      </c>
      <c r="V405">
        <f>IF($N405=0,0,IF(AND($F405&lt;=EOMONTH(DATE(PlanYear,8,1),0),IF(ISNUMBER($G405),$G405,$F405)&gt;=DATE(PlanYear,8,1)),1,0))</f>
        <v>0</v>
      </c>
      <c r="W405">
        <f>IF($N405=0,0,IF(AND($F405&lt;=EOMONTH(DATE(PlanYear,9,1),0),IF(ISNUMBER($G405),$G405,$F405)&gt;=DATE(PlanYear,9,1)),1,0))</f>
        <v>0</v>
      </c>
      <c r="X405">
        <f>IF($N405=0,0,IF(AND($F405&lt;=EOMONTH(DATE(PlanYear,10,1),0),IF(ISNUMBER($G405),$G405,$F405)&gt;=DATE(PlanYear,10,1)),1,0))</f>
        <v>0</v>
      </c>
      <c r="Y405">
        <f>IF($N405=0,0,IF(AND($F405&lt;=EOMONTH(DATE(PlanYear,11,1),0),IF(ISNUMBER($G405),$G405,$F405)&gt;=DATE(PlanYear,11,1)),1,0))</f>
        <v>0</v>
      </c>
      <c r="Z405">
        <f>IF($N405=0,0,IF(AND($F405&lt;=EOMONTH(DATE(PlanYear,12,1),0),IF(ISNUMBER($G405),$G405,$F405)&gt;=DATE(PlanYear,12,1)),1,0))</f>
        <v>0</v>
      </c>
      <c r="AA405">
        <f>SUM($O405:$Z405)</f>
        <v>0</v>
      </c>
    </row>
    <row r="406" spans="1:27">
      <c r="A406" s="42">
        <f>IF($B406="","","ACT-"&amp;TEXT(ROW()-4,"000"))</f>
        <v>0</v>
      </c>
      <c r="M406" s="43">
        <f>IF(COUNTA($B406:$K406)=0,"",IF($B406="","Missing activity name",IF($C406="","Missing practice",IF(COUNTIF(PracticeNames,$C406)=0,"Practice not in Lists",IF($D406="","Missing motion",IF(NOT(ISNUMBER($F406)),"Missing or invalid start date",IF(AND(ISNUMBER($G406),$G406&lt;$F406),"End date before start",IF(AND($N406=1,$AA406=0),"Outside planning year","OK"))))))))</f>
        <v>0</v>
      </c>
      <c r="N406">
        <f>IF(AND($B406&lt;&gt;"",$C406&lt;&gt;"",$D406&lt;&gt;"",ISNUMBER($F406),COUNTIF(PracticeNames,$C406)&gt;0,COUNTIF(MotionNames,$D406)&gt;0,NOT(AND(ISNUMBER($G406),$G406&lt;$F406))),IF(StatusFilter="All (excl. Cancelled)",IF($H406="Cancelled",0,1),IF(StatusFilter="All",1,IF($H406=StatusFilter,1,0))),0)</f>
        <v>0</v>
      </c>
      <c r="O406">
        <f>IF($N406=0,0,IF(AND($F406&lt;=EOMONTH(DATE(PlanYear,1,1),0),IF(ISNUMBER($G406),$G406,$F406)&gt;=DATE(PlanYear,1,1)),1,0))</f>
        <v>0</v>
      </c>
      <c r="P406">
        <f>IF($N406=0,0,IF(AND($F406&lt;=EOMONTH(DATE(PlanYear,2,1),0),IF(ISNUMBER($G406),$G406,$F406)&gt;=DATE(PlanYear,2,1)),1,0))</f>
        <v>0</v>
      </c>
      <c r="Q406">
        <f>IF($N406=0,0,IF(AND($F406&lt;=EOMONTH(DATE(PlanYear,3,1),0),IF(ISNUMBER($G406),$G406,$F406)&gt;=DATE(PlanYear,3,1)),1,0))</f>
        <v>0</v>
      </c>
      <c r="R406">
        <f>IF($N406=0,0,IF(AND($F406&lt;=EOMONTH(DATE(PlanYear,4,1),0),IF(ISNUMBER($G406),$G406,$F406)&gt;=DATE(PlanYear,4,1)),1,0))</f>
        <v>0</v>
      </c>
      <c r="S406">
        <f>IF($N406=0,0,IF(AND($F406&lt;=EOMONTH(DATE(PlanYear,5,1),0),IF(ISNUMBER($G406),$G406,$F406)&gt;=DATE(PlanYear,5,1)),1,0))</f>
        <v>0</v>
      </c>
      <c r="T406">
        <f>IF($N406=0,0,IF(AND($F406&lt;=EOMONTH(DATE(PlanYear,6,1),0),IF(ISNUMBER($G406),$G406,$F406)&gt;=DATE(PlanYear,6,1)),1,0))</f>
        <v>0</v>
      </c>
      <c r="U406">
        <f>IF($N406=0,0,IF(AND($F406&lt;=EOMONTH(DATE(PlanYear,7,1),0),IF(ISNUMBER($G406),$G406,$F406)&gt;=DATE(PlanYear,7,1)),1,0))</f>
        <v>0</v>
      </c>
      <c r="V406">
        <f>IF($N406=0,0,IF(AND($F406&lt;=EOMONTH(DATE(PlanYear,8,1),0),IF(ISNUMBER($G406),$G406,$F406)&gt;=DATE(PlanYear,8,1)),1,0))</f>
        <v>0</v>
      </c>
      <c r="W406">
        <f>IF($N406=0,0,IF(AND($F406&lt;=EOMONTH(DATE(PlanYear,9,1),0),IF(ISNUMBER($G406),$G406,$F406)&gt;=DATE(PlanYear,9,1)),1,0))</f>
        <v>0</v>
      </c>
      <c r="X406">
        <f>IF($N406=0,0,IF(AND($F406&lt;=EOMONTH(DATE(PlanYear,10,1),0),IF(ISNUMBER($G406),$G406,$F406)&gt;=DATE(PlanYear,10,1)),1,0))</f>
        <v>0</v>
      </c>
      <c r="Y406">
        <f>IF($N406=0,0,IF(AND($F406&lt;=EOMONTH(DATE(PlanYear,11,1),0),IF(ISNUMBER($G406),$G406,$F406)&gt;=DATE(PlanYear,11,1)),1,0))</f>
        <v>0</v>
      </c>
      <c r="Z406">
        <f>IF($N406=0,0,IF(AND($F406&lt;=EOMONTH(DATE(PlanYear,12,1),0),IF(ISNUMBER($G406),$G406,$F406)&gt;=DATE(PlanYear,12,1)),1,0))</f>
        <v>0</v>
      </c>
      <c r="AA406">
        <f>SUM($O406:$Z406)</f>
        <v>0</v>
      </c>
    </row>
    <row r="407" spans="1:27">
      <c r="A407" s="42">
        <f>IF($B407="","","ACT-"&amp;TEXT(ROW()-4,"000"))</f>
        <v>0</v>
      </c>
      <c r="M407" s="43">
        <f>IF(COUNTA($B407:$K407)=0,"",IF($B407="","Missing activity name",IF($C407="","Missing practice",IF(COUNTIF(PracticeNames,$C407)=0,"Practice not in Lists",IF($D407="","Missing motion",IF(NOT(ISNUMBER($F407)),"Missing or invalid start date",IF(AND(ISNUMBER($G407),$G407&lt;$F407),"End date before start",IF(AND($N407=1,$AA407=0),"Outside planning year","OK"))))))))</f>
        <v>0</v>
      </c>
      <c r="N407">
        <f>IF(AND($B407&lt;&gt;"",$C407&lt;&gt;"",$D407&lt;&gt;"",ISNUMBER($F407),COUNTIF(PracticeNames,$C407)&gt;0,COUNTIF(MotionNames,$D407)&gt;0,NOT(AND(ISNUMBER($G407),$G407&lt;$F407))),IF(StatusFilter="All (excl. Cancelled)",IF($H407="Cancelled",0,1),IF(StatusFilter="All",1,IF($H407=StatusFilter,1,0))),0)</f>
        <v>0</v>
      </c>
      <c r="O407">
        <f>IF($N407=0,0,IF(AND($F407&lt;=EOMONTH(DATE(PlanYear,1,1),0),IF(ISNUMBER($G407),$G407,$F407)&gt;=DATE(PlanYear,1,1)),1,0))</f>
        <v>0</v>
      </c>
      <c r="P407">
        <f>IF($N407=0,0,IF(AND($F407&lt;=EOMONTH(DATE(PlanYear,2,1),0),IF(ISNUMBER($G407),$G407,$F407)&gt;=DATE(PlanYear,2,1)),1,0))</f>
        <v>0</v>
      </c>
      <c r="Q407">
        <f>IF($N407=0,0,IF(AND($F407&lt;=EOMONTH(DATE(PlanYear,3,1),0),IF(ISNUMBER($G407),$G407,$F407)&gt;=DATE(PlanYear,3,1)),1,0))</f>
        <v>0</v>
      </c>
      <c r="R407">
        <f>IF($N407=0,0,IF(AND($F407&lt;=EOMONTH(DATE(PlanYear,4,1),0),IF(ISNUMBER($G407),$G407,$F407)&gt;=DATE(PlanYear,4,1)),1,0))</f>
        <v>0</v>
      </c>
      <c r="S407">
        <f>IF($N407=0,0,IF(AND($F407&lt;=EOMONTH(DATE(PlanYear,5,1),0),IF(ISNUMBER($G407),$G407,$F407)&gt;=DATE(PlanYear,5,1)),1,0))</f>
        <v>0</v>
      </c>
      <c r="T407">
        <f>IF($N407=0,0,IF(AND($F407&lt;=EOMONTH(DATE(PlanYear,6,1),0),IF(ISNUMBER($G407),$G407,$F407)&gt;=DATE(PlanYear,6,1)),1,0))</f>
        <v>0</v>
      </c>
      <c r="U407">
        <f>IF($N407=0,0,IF(AND($F407&lt;=EOMONTH(DATE(PlanYear,7,1),0),IF(ISNUMBER($G407),$G407,$F407)&gt;=DATE(PlanYear,7,1)),1,0))</f>
        <v>0</v>
      </c>
      <c r="V407">
        <f>IF($N407=0,0,IF(AND($F407&lt;=EOMONTH(DATE(PlanYear,8,1),0),IF(ISNUMBER($G407),$G407,$F407)&gt;=DATE(PlanYear,8,1)),1,0))</f>
        <v>0</v>
      </c>
      <c r="W407">
        <f>IF($N407=0,0,IF(AND($F407&lt;=EOMONTH(DATE(PlanYear,9,1),0),IF(ISNUMBER($G407),$G407,$F407)&gt;=DATE(PlanYear,9,1)),1,0))</f>
        <v>0</v>
      </c>
      <c r="X407">
        <f>IF($N407=0,0,IF(AND($F407&lt;=EOMONTH(DATE(PlanYear,10,1),0),IF(ISNUMBER($G407),$G407,$F407)&gt;=DATE(PlanYear,10,1)),1,0))</f>
        <v>0</v>
      </c>
      <c r="Y407">
        <f>IF($N407=0,0,IF(AND($F407&lt;=EOMONTH(DATE(PlanYear,11,1),0),IF(ISNUMBER($G407),$G407,$F407)&gt;=DATE(PlanYear,11,1)),1,0))</f>
        <v>0</v>
      </c>
      <c r="Z407">
        <f>IF($N407=0,0,IF(AND($F407&lt;=EOMONTH(DATE(PlanYear,12,1),0),IF(ISNUMBER($G407),$G407,$F407)&gt;=DATE(PlanYear,12,1)),1,0))</f>
        <v>0</v>
      </c>
      <c r="AA407">
        <f>SUM($O407:$Z407)</f>
        <v>0</v>
      </c>
    </row>
    <row r="408" spans="1:27">
      <c r="A408" s="42">
        <f>IF($B408="","","ACT-"&amp;TEXT(ROW()-4,"000"))</f>
        <v>0</v>
      </c>
      <c r="M408" s="43">
        <f>IF(COUNTA($B408:$K408)=0,"",IF($B408="","Missing activity name",IF($C408="","Missing practice",IF(COUNTIF(PracticeNames,$C408)=0,"Practice not in Lists",IF($D408="","Missing motion",IF(NOT(ISNUMBER($F408)),"Missing or invalid start date",IF(AND(ISNUMBER($G408),$G408&lt;$F408),"End date before start",IF(AND($N408=1,$AA408=0),"Outside planning year","OK"))))))))</f>
        <v>0</v>
      </c>
      <c r="N408">
        <f>IF(AND($B408&lt;&gt;"",$C408&lt;&gt;"",$D408&lt;&gt;"",ISNUMBER($F408),COUNTIF(PracticeNames,$C408)&gt;0,COUNTIF(MotionNames,$D408)&gt;0,NOT(AND(ISNUMBER($G408),$G408&lt;$F408))),IF(StatusFilter="All (excl. Cancelled)",IF($H408="Cancelled",0,1),IF(StatusFilter="All",1,IF($H408=StatusFilter,1,0))),0)</f>
        <v>0</v>
      </c>
      <c r="O408">
        <f>IF($N408=0,0,IF(AND($F408&lt;=EOMONTH(DATE(PlanYear,1,1),0),IF(ISNUMBER($G408),$G408,$F408)&gt;=DATE(PlanYear,1,1)),1,0))</f>
        <v>0</v>
      </c>
      <c r="P408">
        <f>IF($N408=0,0,IF(AND($F408&lt;=EOMONTH(DATE(PlanYear,2,1),0),IF(ISNUMBER($G408),$G408,$F408)&gt;=DATE(PlanYear,2,1)),1,0))</f>
        <v>0</v>
      </c>
      <c r="Q408">
        <f>IF($N408=0,0,IF(AND($F408&lt;=EOMONTH(DATE(PlanYear,3,1),0),IF(ISNUMBER($G408),$G408,$F408)&gt;=DATE(PlanYear,3,1)),1,0))</f>
        <v>0</v>
      </c>
      <c r="R408">
        <f>IF($N408=0,0,IF(AND($F408&lt;=EOMONTH(DATE(PlanYear,4,1),0),IF(ISNUMBER($G408),$G408,$F408)&gt;=DATE(PlanYear,4,1)),1,0))</f>
        <v>0</v>
      </c>
      <c r="S408">
        <f>IF($N408=0,0,IF(AND($F408&lt;=EOMONTH(DATE(PlanYear,5,1),0),IF(ISNUMBER($G408),$G408,$F408)&gt;=DATE(PlanYear,5,1)),1,0))</f>
        <v>0</v>
      </c>
      <c r="T408">
        <f>IF($N408=0,0,IF(AND($F408&lt;=EOMONTH(DATE(PlanYear,6,1),0),IF(ISNUMBER($G408),$G408,$F408)&gt;=DATE(PlanYear,6,1)),1,0))</f>
        <v>0</v>
      </c>
      <c r="U408">
        <f>IF($N408=0,0,IF(AND($F408&lt;=EOMONTH(DATE(PlanYear,7,1),0),IF(ISNUMBER($G408),$G408,$F408)&gt;=DATE(PlanYear,7,1)),1,0))</f>
        <v>0</v>
      </c>
      <c r="V408">
        <f>IF($N408=0,0,IF(AND($F408&lt;=EOMONTH(DATE(PlanYear,8,1),0),IF(ISNUMBER($G408),$G408,$F408)&gt;=DATE(PlanYear,8,1)),1,0))</f>
        <v>0</v>
      </c>
      <c r="W408">
        <f>IF($N408=0,0,IF(AND($F408&lt;=EOMONTH(DATE(PlanYear,9,1),0),IF(ISNUMBER($G408),$G408,$F408)&gt;=DATE(PlanYear,9,1)),1,0))</f>
        <v>0</v>
      </c>
      <c r="X408">
        <f>IF($N408=0,0,IF(AND($F408&lt;=EOMONTH(DATE(PlanYear,10,1),0),IF(ISNUMBER($G408),$G408,$F408)&gt;=DATE(PlanYear,10,1)),1,0))</f>
        <v>0</v>
      </c>
      <c r="Y408">
        <f>IF($N408=0,0,IF(AND($F408&lt;=EOMONTH(DATE(PlanYear,11,1),0),IF(ISNUMBER($G408),$G408,$F408)&gt;=DATE(PlanYear,11,1)),1,0))</f>
        <v>0</v>
      </c>
      <c r="Z408">
        <f>IF($N408=0,0,IF(AND($F408&lt;=EOMONTH(DATE(PlanYear,12,1),0),IF(ISNUMBER($G408),$G408,$F408)&gt;=DATE(PlanYear,12,1)),1,0))</f>
        <v>0</v>
      </c>
      <c r="AA408">
        <f>SUM($O408:$Z408)</f>
        <v>0</v>
      </c>
    </row>
    <row r="409" spans="1:27">
      <c r="A409" s="42">
        <f>IF($B409="","","ACT-"&amp;TEXT(ROW()-4,"000"))</f>
        <v>0</v>
      </c>
      <c r="M409" s="43">
        <f>IF(COUNTA($B409:$K409)=0,"",IF($B409="","Missing activity name",IF($C409="","Missing practice",IF(COUNTIF(PracticeNames,$C409)=0,"Practice not in Lists",IF($D409="","Missing motion",IF(NOT(ISNUMBER($F409)),"Missing or invalid start date",IF(AND(ISNUMBER($G409),$G409&lt;$F409),"End date before start",IF(AND($N409=1,$AA409=0),"Outside planning year","OK"))))))))</f>
        <v>0</v>
      </c>
      <c r="N409">
        <f>IF(AND($B409&lt;&gt;"",$C409&lt;&gt;"",$D409&lt;&gt;"",ISNUMBER($F409),COUNTIF(PracticeNames,$C409)&gt;0,COUNTIF(MotionNames,$D409)&gt;0,NOT(AND(ISNUMBER($G409),$G409&lt;$F409))),IF(StatusFilter="All (excl. Cancelled)",IF($H409="Cancelled",0,1),IF(StatusFilter="All",1,IF($H409=StatusFilter,1,0))),0)</f>
        <v>0</v>
      </c>
      <c r="O409">
        <f>IF($N409=0,0,IF(AND($F409&lt;=EOMONTH(DATE(PlanYear,1,1),0),IF(ISNUMBER($G409),$G409,$F409)&gt;=DATE(PlanYear,1,1)),1,0))</f>
        <v>0</v>
      </c>
      <c r="P409">
        <f>IF($N409=0,0,IF(AND($F409&lt;=EOMONTH(DATE(PlanYear,2,1),0),IF(ISNUMBER($G409),$G409,$F409)&gt;=DATE(PlanYear,2,1)),1,0))</f>
        <v>0</v>
      </c>
      <c r="Q409">
        <f>IF($N409=0,0,IF(AND($F409&lt;=EOMONTH(DATE(PlanYear,3,1),0),IF(ISNUMBER($G409),$G409,$F409)&gt;=DATE(PlanYear,3,1)),1,0))</f>
        <v>0</v>
      </c>
      <c r="R409">
        <f>IF($N409=0,0,IF(AND($F409&lt;=EOMONTH(DATE(PlanYear,4,1),0),IF(ISNUMBER($G409),$G409,$F409)&gt;=DATE(PlanYear,4,1)),1,0))</f>
        <v>0</v>
      </c>
      <c r="S409">
        <f>IF($N409=0,0,IF(AND($F409&lt;=EOMONTH(DATE(PlanYear,5,1),0),IF(ISNUMBER($G409),$G409,$F409)&gt;=DATE(PlanYear,5,1)),1,0))</f>
        <v>0</v>
      </c>
      <c r="T409">
        <f>IF($N409=0,0,IF(AND($F409&lt;=EOMONTH(DATE(PlanYear,6,1),0),IF(ISNUMBER($G409),$G409,$F409)&gt;=DATE(PlanYear,6,1)),1,0))</f>
        <v>0</v>
      </c>
      <c r="U409">
        <f>IF($N409=0,0,IF(AND($F409&lt;=EOMONTH(DATE(PlanYear,7,1),0),IF(ISNUMBER($G409),$G409,$F409)&gt;=DATE(PlanYear,7,1)),1,0))</f>
        <v>0</v>
      </c>
      <c r="V409">
        <f>IF($N409=0,0,IF(AND($F409&lt;=EOMONTH(DATE(PlanYear,8,1),0),IF(ISNUMBER($G409),$G409,$F409)&gt;=DATE(PlanYear,8,1)),1,0))</f>
        <v>0</v>
      </c>
      <c r="W409">
        <f>IF($N409=0,0,IF(AND($F409&lt;=EOMONTH(DATE(PlanYear,9,1),0),IF(ISNUMBER($G409),$G409,$F409)&gt;=DATE(PlanYear,9,1)),1,0))</f>
        <v>0</v>
      </c>
      <c r="X409">
        <f>IF($N409=0,0,IF(AND($F409&lt;=EOMONTH(DATE(PlanYear,10,1),0),IF(ISNUMBER($G409),$G409,$F409)&gt;=DATE(PlanYear,10,1)),1,0))</f>
        <v>0</v>
      </c>
      <c r="Y409">
        <f>IF($N409=0,0,IF(AND($F409&lt;=EOMONTH(DATE(PlanYear,11,1),0),IF(ISNUMBER($G409),$G409,$F409)&gt;=DATE(PlanYear,11,1)),1,0))</f>
        <v>0</v>
      </c>
      <c r="Z409">
        <f>IF($N409=0,0,IF(AND($F409&lt;=EOMONTH(DATE(PlanYear,12,1),0),IF(ISNUMBER($G409),$G409,$F409)&gt;=DATE(PlanYear,12,1)),1,0))</f>
        <v>0</v>
      </c>
      <c r="AA409">
        <f>SUM($O409:$Z409)</f>
        <v>0</v>
      </c>
    </row>
    <row r="410" spans="1:27">
      <c r="A410" s="42">
        <f>IF($B410="","","ACT-"&amp;TEXT(ROW()-4,"000"))</f>
        <v>0</v>
      </c>
      <c r="M410" s="43">
        <f>IF(COUNTA($B410:$K410)=0,"",IF($B410="","Missing activity name",IF($C410="","Missing practice",IF(COUNTIF(PracticeNames,$C410)=0,"Practice not in Lists",IF($D410="","Missing motion",IF(NOT(ISNUMBER($F410)),"Missing or invalid start date",IF(AND(ISNUMBER($G410),$G410&lt;$F410),"End date before start",IF(AND($N410=1,$AA410=0),"Outside planning year","OK"))))))))</f>
        <v>0</v>
      </c>
      <c r="N410">
        <f>IF(AND($B410&lt;&gt;"",$C410&lt;&gt;"",$D410&lt;&gt;"",ISNUMBER($F410),COUNTIF(PracticeNames,$C410)&gt;0,COUNTIF(MotionNames,$D410)&gt;0,NOT(AND(ISNUMBER($G410),$G410&lt;$F410))),IF(StatusFilter="All (excl. Cancelled)",IF($H410="Cancelled",0,1),IF(StatusFilter="All",1,IF($H410=StatusFilter,1,0))),0)</f>
        <v>0</v>
      </c>
      <c r="O410">
        <f>IF($N410=0,0,IF(AND($F410&lt;=EOMONTH(DATE(PlanYear,1,1),0),IF(ISNUMBER($G410),$G410,$F410)&gt;=DATE(PlanYear,1,1)),1,0))</f>
        <v>0</v>
      </c>
      <c r="P410">
        <f>IF($N410=0,0,IF(AND($F410&lt;=EOMONTH(DATE(PlanYear,2,1),0),IF(ISNUMBER($G410),$G410,$F410)&gt;=DATE(PlanYear,2,1)),1,0))</f>
        <v>0</v>
      </c>
      <c r="Q410">
        <f>IF($N410=0,0,IF(AND($F410&lt;=EOMONTH(DATE(PlanYear,3,1),0),IF(ISNUMBER($G410),$G410,$F410)&gt;=DATE(PlanYear,3,1)),1,0))</f>
        <v>0</v>
      </c>
      <c r="R410">
        <f>IF($N410=0,0,IF(AND($F410&lt;=EOMONTH(DATE(PlanYear,4,1),0),IF(ISNUMBER($G410),$G410,$F410)&gt;=DATE(PlanYear,4,1)),1,0))</f>
        <v>0</v>
      </c>
      <c r="S410">
        <f>IF($N410=0,0,IF(AND($F410&lt;=EOMONTH(DATE(PlanYear,5,1),0),IF(ISNUMBER($G410),$G410,$F410)&gt;=DATE(PlanYear,5,1)),1,0))</f>
        <v>0</v>
      </c>
      <c r="T410">
        <f>IF($N410=0,0,IF(AND($F410&lt;=EOMONTH(DATE(PlanYear,6,1),0),IF(ISNUMBER($G410),$G410,$F410)&gt;=DATE(PlanYear,6,1)),1,0))</f>
        <v>0</v>
      </c>
      <c r="U410">
        <f>IF($N410=0,0,IF(AND($F410&lt;=EOMONTH(DATE(PlanYear,7,1),0),IF(ISNUMBER($G410),$G410,$F410)&gt;=DATE(PlanYear,7,1)),1,0))</f>
        <v>0</v>
      </c>
      <c r="V410">
        <f>IF($N410=0,0,IF(AND($F410&lt;=EOMONTH(DATE(PlanYear,8,1),0),IF(ISNUMBER($G410),$G410,$F410)&gt;=DATE(PlanYear,8,1)),1,0))</f>
        <v>0</v>
      </c>
      <c r="W410">
        <f>IF($N410=0,0,IF(AND($F410&lt;=EOMONTH(DATE(PlanYear,9,1),0),IF(ISNUMBER($G410),$G410,$F410)&gt;=DATE(PlanYear,9,1)),1,0))</f>
        <v>0</v>
      </c>
      <c r="X410">
        <f>IF($N410=0,0,IF(AND($F410&lt;=EOMONTH(DATE(PlanYear,10,1),0),IF(ISNUMBER($G410),$G410,$F410)&gt;=DATE(PlanYear,10,1)),1,0))</f>
        <v>0</v>
      </c>
      <c r="Y410">
        <f>IF($N410=0,0,IF(AND($F410&lt;=EOMONTH(DATE(PlanYear,11,1),0),IF(ISNUMBER($G410),$G410,$F410)&gt;=DATE(PlanYear,11,1)),1,0))</f>
        <v>0</v>
      </c>
      <c r="Z410">
        <f>IF($N410=0,0,IF(AND($F410&lt;=EOMONTH(DATE(PlanYear,12,1),0),IF(ISNUMBER($G410),$G410,$F410)&gt;=DATE(PlanYear,12,1)),1,0))</f>
        <v>0</v>
      </c>
      <c r="AA410">
        <f>SUM($O410:$Z410)</f>
        <v>0</v>
      </c>
    </row>
    <row r="411" spans="1:27">
      <c r="A411" s="42">
        <f>IF($B411="","","ACT-"&amp;TEXT(ROW()-4,"000"))</f>
        <v>0</v>
      </c>
      <c r="M411" s="43">
        <f>IF(COUNTA($B411:$K411)=0,"",IF($B411="","Missing activity name",IF($C411="","Missing practice",IF(COUNTIF(PracticeNames,$C411)=0,"Practice not in Lists",IF($D411="","Missing motion",IF(NOT(ISNUMBER($F411)),"Missing or invalid start date",IF(AND(ISNUMBER($G411),$G411&lt;$F411),"End date before start",IF(AND($N411=1,$AA411=0),"Outside planning year","OK"))))))))</f>
        <v>0</v>
      </c>
      <c r="N411">
        <f>IF(AND($B411&lt;&gt;"",$C411&lt;&gt;"",$D411&lt;&gt;"",ISNUMBER($F411),COUNTIF(PracticeNames,$C411)&gt;0,COUNTIF(MotionNames,$D411)&gt;0,NOT(AND(ISNUMBER($G411),$G411&lt;$F411))),IF(StatusFilter="All (excl. Cancelled)",IF($H411="Cancelled",0,1),IF(StatusFilter="All",1,IF($H411=StatusFilter,1,0))),0)</f>
        <v>0</v>
      </c>
      <c r="O411">
        <f>IF($N411=0,0,IF(AND($F411&lt;=EOMONTH(DATE(PlanYear,1,1),0),IF(ISNUMBER($G411),$G411,$F411)&gt;=DATE(PlanYear,1,1)),1,0))</f>
        <v>0</v>
      </c>
      <c r="P411">
        <f>IF($N411=0,0,IF(AND($F411&lt;=EOMONTH(DATE(PlanYear,2,1),0),IF(ISNUMBER($G411),$G411,$F411)&gt;=DATE(PlanYear,2,1)),1,0))</f>
        <v>0</v>
      </c>
      <c r="Q411">
        <f>IF($N411=0,0,IF(AND($F411&lt;=EOMONTH(DATE(PlanYear,3,1),0),IF(ISNUMBER($G411),$G411,$F411)&gt;=DATE(PlanYear,3,1)),1,0))</f>
        <v>0</v>
      </c>
      <c r="R411">
        <f>IF($N411=0,0,IF(AND($F411&lt;=EOMONTH(DATE(PlanYear,4,1),0),IF(ISNUMBER($G411),$G411,$F411)&gt;=DATE(PlanYear,4,1)),1,0))</f>
        <v>0</v>
      </c>
      <c r="S411">
        <f>IF($N411=0,0,IF(AND($F411&lt;=EOMONTH(DATE(PlanYear,5,1),0),IF(ISNUMBER($G411),$G411,$F411)&gt;=DATE(PlanYear,5,1)),1,0))</f>
        <v>0</v>
      </c>
      <c r="T411">
        <f>IF($N411=0,0,IF(AND($F411&lt;=EOMONTH(DATE(PlanYear,6,1),0),IF(ISNUMBER($G411),$G411,$F411)&gt;=DATE(PlanYear,6,1)),1,0))</f>
        <v>0</v>
      </c>
      <c r="U411">
        <f>IF($N411=0,0,IF(AND($F411&lt;=EOMONTH(DATE(PlanYear,7,1),0),IF(ISNUMBER($G411),$G411,$F411)&gt;=DATE(PlanYear,7,1)),1,0))</f>
        <v>0</v>
      </c>
      <c r="V411">
        <f>IF($N411=0,0,IF(AND($F411&lt;=EOMONTH(DATE(PlanYear,8,1),0),IF(ISNUMBER($G411),$G411,$F411)&gt;=DATE(PlanYear,8,1)),1,0))</f>
        <v>0</v>
      </c>
      <c r="W411">
        <f>IF($N411=0,0,IF(AND($F411&lt;=EOMONTH(DATE(PlanYear,9,1),0),IF(ISNUMBER($G411),$G411,$F411)&gt;=DATE(PlanYear,9,1)),1,0))</f>
        <v>0</v>
      </c>
      <c r="X411">
        <f>IF($N411=0,0,IF(AND($F411&lt;=EOMONTH(DATE(PlanYear,10,1),0),IF(ISNUMBER($G411),$G411,$F411)&gt;=DATE(PlanYear,10,1)),1,0))</f>
        <v>0</v>
      </c>
      <c r="Y411">
        <f>IF($N411=0,0,IF(AND($F411&lt;=EOMONTH(DATE(PlanYear,11,1),0),IF(ISNUMBER($G411),$G411,$F411)&gt;=DATE(PlanYear,11,1)),1,0))</f>
        <v>0</v>
      </c>
      <c r="Z411">
        <f>IF($N411=0,0,IF(AND($F411&lt;=EOMONTH(DATE(PlanYear,12,1),0),IF(ISNUMBER($G411),$G411,$F411)&gt;=DATE(PlanYear,12,1)),1,0))</f>
        <v>0</v>
      </c>
      <c r="AA411">
        <f>SUM($O411:$Z411)</f>
        <v>0</v>
      </c>
    </row>
    <row r="412" spans="1:27">
      <c r="A412" s="42">
        <f>IF($B412="","","ACT-"&amp;TEXT(ROW()-4,"000"))</f>
        <v>0</v>
      </c>
      <c r="M412" s="43">
        <f>IF(COUNTA($B412:$K412)=0,"",IF($B412="","Missing activity name",IF($C412="","Missing practice",IF(COUNTIF(PracticeNames,$C412)=0,"Practice not in Lists",IF($D412="","Missing motion",IF(NOT(ISNUMBER($F412)),"Missing or invalid start date",IF(AND(ISNUMBER($G412),$G412&lt;$F412),"End date before start",IF(AND($N412=1,$AA412=0),"Outside planning year","OK"))))))))</f>
        <v>0</v>
      </c>
      <c r="N412">
        <f>IF(AND($B412&lt;&gt;"",$C412&lt;&gt;"",$D412&lt;&gt;"",ISNUMBER($F412),COUNTIF(PracticeNames,$C412)&gt;0,COUNTIF(MotionNames,$D412)&gt;0,NOT(AND(ISNUMBER($G412),$G412&lt;$F412))),IF(StatusFilter="All (excl. Cancelled)",IF($H412="Cancelled",0,1),IF(StatusFilter="All",1,IF($H412=StatusFilter,1,0))),0)</f>
        <v>0</v>
      </c>
      <c r="O412">
        <f>IF($N412=0,0,IF(AND($F412&lt;=EOMONTH(DATE(PlanYear,1,1),0),IF(ISNUMBER($G412),$G412,$F412)&gt;=DATE(PlanYear,1,1)),1,0))</f>
        <v>0</v>
      </c>
      <c r="P412">
        <f>IF($N412=0,0,IF(AND($F412&lt;=EOMONTH(DATE(PlanYear,2,1),0),IF(ISNUMBER($G412),$G412,$F412)&gt;=DATE(PlanYear,2,1)),1,0))</f>
        <v>0</v>
      </c>
      <c r="Q412">
        <f>IF($N412=0,0,IF(AND($F412&lt;=EOMONTH(DATE(PlanYear,3,1),0),IF(ISNUMBER($G412),$G412,$F412)&gt;=DATE(PlanYear,3,1)),1,0))</f>
        <v>0</v>
      </c>
      <c r="R412">
        <f>IF($N412=0,0,IF(AND($F412&lt;=EOMONTH(DATE(PlanYear,4,1),0),IF(ISNUMBER($G412),$G412,$F412)&gt;=DATE(PlanYear,4,1)),1,0))</f>
        <v>0</v>
      </c>
      <c r="S412">
        <f>IF($N412=0,0,IF(AND($F412&lt;=EOMONTH(DATE(PlanYear,5,1),0),IF(ISNUMBER($G412),$G412,$F412)&gt;=DATE(PlanYear,5,1)),1,0))</f>
        <v>0</v>
      </c>
      <c r="T412">
        <f>IF($N412=0,0,IF(AND($F412&lt;=EOMONTH(DATE(PlanYear,6,1),0),IF(ISNUMBER($G412),$G412,$F412)&gt;=DATE(PlanYear,6,1)),1,0))</f>
        <v>0</v>
      </c>
      <c r="U412">
        <f>IF($N412=0,0,IF(AND($F412&lt;=EOMONTH(DATE(PlanYear,7,1),0),IF(ISNUMBER($G412),$G412,$F412)&gt;=DATE(PlanYear,7,1)),1,0))</f>
        <v>0</v>
      </c>
      <c r="V412">
        <f>IF($N412=0,0,IF(AND($F412&lt;=EOMONTH(DATE(PlanYear,8,1),0),IF(ISNUMBER($G412),$G412,$F412)&gt;=DATE(PlanYear,8,1)),1,0))</f>
        <v>0</v>
      </c>
      <c r="W412">
        <f>IF($N412=0,0,IF(AND($F412&lt;=EOMONTH(DATE(PlanYear,9,1),0),IF(ISNUMBER($G412),$G412,$F412)&gt;=DATE(PlanYear,9,1)),1,0))</f>
        <v>0</v>
      </c>
      <c r="X412">
        <f>IF($N412=0,0,IF(AND($F412&lt;=EOMONTH(DATE(PlanYear,10,1),0),IF(ISNUMBER($G412),$G412,$F412)&gt;=DATE(PlanYear,10,1)),1,0))</f>
        <v>0</v>
      </c>
      <c r="Y412">
        <f>IF($N412=0,0,IF(AND($F412&lt;=EOMONTH(DATE(PlanYear,11,1),0),IF(ISNUMBER($G412),$G412,$F412)&gt;=DATE(PlanYear,11,1)),1,0))</f>
        <v>0</v>
      </c>
      <c r="Z412">
        <f>IF($N412=0,0,IF(AND($F412&lt;=EOMONTH(DATE(PlanYear,12,1),0),IF(ISNUMBER($G412),$G412,$F412)&gt;=DATE(PlanYear,12,1)),1,0))</f>
        <v>0</v>
      </c>
      <c r="AA412">
        <f>SUM($O412:$Z412)</f>
        <v>0</v>
      </c>
    </row>
    <row r="413" spans="1:27">
      <c r="A413" s="42">
        <f>IF($B413="","","ACT-"&amp;TEXT(ROW()-4,"000"))</f>
        <v>0</v>
      </c>
      <c r="M413" s="43">
        <f>IF(COUNTA($B413:$K413)=0,"",IF($B413="","Missing activity name",IF($C413="","Missing practice",IF(COUNTIF(PracticeNames,$C413)=0,"Practice not in Lists",IF($D413="","Missing motion",IF(NOT(ISNUMBER($F413)),"Missing or invalid start date",IF(AND(ISNUMBER($G413),$G413&lt;$F413),"End date before start",IF(AND($N413=1,$AA413=0),"Outside planning year","OK"))))))))</f>
        <v>0</v>
      </c>
      <c r="N413">
        <f>IF(AND($B413&lt;&gt;"",$C413&lt;&gt;"",$D413&lt;&gt;"",ISNUMBER($F413),COUNTIF(PracticeNames,$C413)&gt;0,COUNTIF(MotionNames,$D413)&gt;0,NOT(AND(ISNUMBER($G413),$G413&lt;$F413))),IF(StatusFilter="All (excl. Cancelled)",IF($H413="Cancelled",0,1),IF(StatusFilter="All",1,IF($H413=StatusFilter,1,0))),0)</f>
        <v>0</v>
      </c>
      <c r="O413">
        <f>IF($N413=0,0,IF(AND($F413&lt;=EOMONTH(DATE(PlanYear,1,1),0),IF(ISNUMBER($G413),$G413,$F413)&gt;=DATE(PlanYear,1,1)),1,0))</f>
        <v>0</v>
      </c>
      <c r="P413">
        <f>IF($N413=0,0,IF(AND($F413&lt;=EOMONTH(DATE(PlanYear,2,1),0),IF(ISNUMBER($G413),$G413,$F413)&gt;=DATE(PlanYear,2,1)),1,0))</f>
        <v>0</v>
      </c>
      <c r="Q413">
        <f>IF($N413=0,0,IF(AND($F413&lt;=EOMONTH(DATE(PlanYear,3,1),0),IF(ISNUMBER($G413),$G413,$F413)&gt;=DATE(PlanYear,3,1)),1,0))</f>
        <v>0</v>
      </c>
      <c r="R413">
        <f>IF($N413=0,0,IF(AND($F413&lt;=EOMONTH(DATE(PlanYear,4,1),0),IF(ISNUMBER($G413),$G413,$F413)&gt;=DATE(PlanYear,4,1)),1,0))</f>
        <v>0</v>
      </c>
      <c r="S413">
        <f>IF($N413=0,0,IF(AND($F413&lt;=EOMONTH(DATE(PlanYear,5,1),0),IF(ISNUMBER($G413),$G413,$F413)&gt;=DATE(PlanYear,5,1)),1,0))</f>
        <v>0</v>
      </c>
      <c r="T413">
        <f>IF($N413=0,0,IF(AND($F413&lt;=EOMONTH(DATE(PlanYear,6,1),0),IF(ISNUMBER($G413),$G413,$F413)&gt;=DATE(PlanYear,6,1)),1,0))</f>
        <v>0</v>
      </c>
      <c r="U413">
        <f>IF($N413=0,0,IF(AND($F413&lt;=EOMONTH(DATE(PlanYear,7,1),0),IF(ISNUMBER($G413),$G413,$F413)&gt;=DATE(PlanYear,7,1)),1,0))</f>
        <v>0</v>
      </c>
      <c r="V413">
        <f>IF($N413=0,0,IF(AND($F413&lt;=EOMONTH(DATE(PlanYear,8,1),0),IF(ISNUMBER($G413),$G413,$F413)&gt;=DATE(PlanYear,8,1)),1,0))</f>
        <v>0</v>
      </c>
      <c r="W413">
        <f>IF($N413=0,0,IF(AND($F413&lt;=EOMONTH(DATE(PlanYear,9,1),0),IF(ISNUMBER($G413),$G413,$F413)&gt;=DATE(PlanYear,9,1)),1,0))</f>
        <v>0</v>
      </c>
      <c r="X413">
        <f>IF($N413=0,0,IF(AND($F413&lt;=EOMONTH(DATE(PlanYear,10,1),0),IF(ISNUMBER($G413),$G413,$F413)&gt;=DATE(PlanYear,10,1)),1,0))</f>
        <v>0</v>
      </c>
      <c r="Y413">
        <f>IF($N413=0,0,IF(AND($F413&lt;=EOMONTH(DATE(PlanYear,11,1),0),IF(ISNUMBER($G413),$G413,$F413)&gt;=DATE(PlanYear,11,1)),1,0))</f>
        <v>0</v>
      </c>
      <c r="Z413">
        <f>IF($N413=0,0,IF(AND($F413&lt;=EOMONTH(DATE(PlanYear,12,1),0),IF(ISNUMBER($G413),$G413,$F413)&gt;=DATE(PlanYear,12,1)),1,0))</f>
        <v>0</v>
      </c>
      <c r="AA413">
        <f>SUM($O413:$Z413)</f>
        <v>0</v>
      </c>
    </row>
    <row r="414" spans="1:27">
      <c r="A414" s="42">
        <f>IF($B414="","","ACT-"&amp;TEXT(ROW()-4,"000"))</f>
        <v>0</v>
      </c>
      <c r="M414" s="43">
        <f>IF(COUNTA($B414:$K414)=0,"",IF($B414="","Missing activity name",IF($C414="","Missing practice",IF(COUNTIF(PracticeNames,$C414)=0,"Practice not in Lists",IF($D414="","Missing motion",IF(NOT(ISNUMBER($F414)),"Missing or invalid start date",IF(AND(ISNUMBER($G414),$G414&lt;$F414),"End date before start",IF(AND($N414=1,$AA414=0),"Outside planning year","OK"))))))))</f>
        <v>0</v>
      </c>
      <c r="N414">
        <f>IF(AND($B414&lt;&gt;"",$C414&lt;&gt;"",$D414&lt;&gt;"",ISNUMBER($F414),COUNTIF(PracticeNames,$C414)&gt;0,COUNTIF(MotionNames,$D414)&gt;0,NOT(AND(ISNUMBER($G414),$G414&lt;$F414))),IF(StatusFilter="All (excl. Cancelled)",IF($H414="Cancelled",0,1),IF(StatusFilter="All",1,IF($H414=StatusFilter,1,0))),0)</f>
        <v>0</v>
      </c>
      <c r="O414">
        <f>IF($N414=0,0,IF(AND($F414&lt;=EOMONTH(DATE(PlanYear,1,1),0),IF(ISNUMBER($G414),$G414,$F414)&gt;=DATE(PlanYear,1,1)),1,0))</f>
        <v>0</v>
      </c>
      <c r="P414">
        <f>IF($N414=0,0,IF(AND($F414&lt;=EOMONTH(DATE(PlanYear,2,1),0),IF(ISNUMBER($G414),$G414,$F414)&gt;=DATE(PlanYear,2,1)),1,0))</f>
        <v>0</v>
      </c>
      <c r="Q414">
        <f>IF($N414=0,0,IF(AND($F414&lt;=EOMONTH(DATE(PlanYear,3,1),0),IF(ISNUMBER($G414),$G414,$F414)&gt;=DATE(PlanYear,3,1)),1,0))</f>
        <v>0</v>
      </c>
      <c r="R414">
        <f>IF($N414=0,0,IF(AND($F414&lt;=EOMONTH(DATE(PlanYear,4,1),0),IF(ISNUMBER($G414),$G414,$F414)&gt;=DATE(PlanYear,4,1)),1,0))</f>
        <v>0</v>
      </c>
      <c r="S414">
        <f>IF($N414=0,0,IF(AND($F414&lt;=EOMONTH(DATE(PlanYear,5,1),0),IF(ISNUMBER($G414),$G414,$F414)&gt;=DATE(PlanYear,5,1)),1,0))</f>
        <v>0</v>
      </c>
      <c r="T414">
        <f>IF($N414=0,0,IF(AND($F414&lt;=EOMONTH(DATE(PlanYear,6,1),0),IF(ISNUMBER($G414),$G414,$F414)&gt;=DATE(PlanYear,6,1)),1,0))</f>
        <v>0</v>
      </c>
      <c r="U414">
        <f>IF($N414=0,0,IF(AND($F414&lt;=EOMONTH(DATE(PlanYear,7,1),0),IF(ISNUMBER($G414),$G414,$F414)&gt;=DATE(PlanYear,7,1)),1,0))</f>
        <v>0</v>
      </c>
      <c r="V414">
        <f>IF($N414=0,0,IF(AND($F414&lt;=EOMONTH(DATE(PlanYear,8,1),0),IF(ISNUMBER($G414),$G414,$F414)&gt;=DATE(PlanYear,8,1)),1,0))</f>
        <v>0</v>
      </c>
      <c r="W414">
        <f>IF($N414=0,0,IF(AND($F414&lt;=EOMONTH(DATE(PlanYear,9,1),0),IF(ISNUMBER($G414),$G414,$F414)&gt;=DATE(PlanYear,9,1)),1,0))</f>
        <v>0</v>
      </c>
      <c r="X414">
        <f>IF($N414=0,0,IF(AND($F414&lt;=EOMONTH(DATE(PlanYear,10,1),0),IF(ISNUMBER($G414),$G414,$F414)&gt;=DATE(PlanYear,10,1)),1,0))</f>
        <v>0</v>
      </c>
      <c r="Y414">
        <f>IF($N414=0,0,IF(AND($F414&lt;=EOMONTH(DATE(PlanYear,11,1),0),IF(ISNUMBER($G414),$G414,$F414)&gt;=DATE(PlanYear,11,1)),1,0))</f>
        <v>0</v>
      </c>
      <c r="Z414">
        <f>IF($N414=0,0,IF(AND($F414&lt;=EOMONTH(DATE(PlanYear,12,1),0),IF(ISNUMBER($G414),$G414,$F414)&gt;=DATE(PlanYear,12,1)),1,0))</f>
        <v>0</v>
      </c>
      <c r="AA414">
        <f>SUM($O414:$Z414)</f>
        <v>0</v>
      </c>
    </row>
    <row r="415" spans="1:27">
      <c r="A415" s="42">
        <f>IF($B415="","","ACT-"&amp;TEXT(ROW()-4,"000"))</f>
        <v>0</v>
      </c>
      <c r="M415" s="43">
        <f>IF(COUNTA($B415:$K415)=0,"",IF($B415="","Missing activity name",IF($C415="","Missing practice",IF(COUNTIF(PracticeNames,$C415)=0,"Practice not in Lists",IF($D415="","Missing motion",IF(NOT(ISNUMBER($F415)),"Missing or invalid start date",IF(AND(ISNUMBER($G415),$G415&lt;$F415),"End date before start",IF(AND($N415=1,$AA415=0),"Outside planning year","OK"))))))))</f>
        <v>0</v>
      </c>
      <c r="N415">
        <f>IF(AND($B415&lt;&gt;"",$C415&lt;&gt;"",$D415&lt;&gt;"",ISNUMBER($F415),COUNTIF(PracticeNames,$C415)&gt;0,COUNTIF(MotionNames,$D415)&gt;0,NOT(AND(ISNUMBER($G415),$G415&lt;$F415))),IF(StatusFilter="All (excl. Cancelled)",IF($H415="Cancelled",0,1),IF(StatusFilter="All",1,IF($H415=StatusFilter,1,0))),0)</f>
        <v>0</v>
      </c>
      <c r="O415">
        <f>IF($N415=0,0,IF(AND($F415&lt;=EOMONTH(DATE(PlanYear,1,1),0),IF(ISNUMBER($G415),$G415,$F415)&gt;=DATE(PlanYear,1,1)),1,0))</f>
        <v>0</v>
      </c>
      <c r="P415">
        <f>IF($N415=0,0,IF(AND($F415&lt;=EOMONTH(DATE(PlanYear,2,1),0),IF(ISNUMBER($G415),$G415,$F415)&gt;=DATE(PlanYear,2,1)),1,0))</f>
        <v>0</v>
      </c>
      <c r="Q415">
        <f>IF($N415=0,0,IF(AND($F415&lt;=EOMONTH(DATE(PlanYear,3,1),0),IF(ISNUMBER($G415),$G415,$F415)&gt;=DATE(PlanYear,3,1)),1,0))</f>
        <v>0</v>
      </c>
      <c r="R415">
        <f>IF($N415=0,0,IF(AND($F415&lt;=EOMONTH(DATE(PlanYear,4,1),0),IF(ISNUMBER($G415),$G415,$F415)&gt;=DATE(PlanYear,4,1)),1,0))</f>
        <v>0</v>
      </c>
      <c r="S415">
        <f>IF($N415=0,0,IF(AND($F415&lt;=EOMONTH(DATE(PlanYear,5,1),0),IF(ISNUMBER($G415),$G415,$F415)&gt;=DATE(PlanYear,5,1)),1,0))</f>
        <v>0</v>
      </c>
      <c r="T415">
        <f>IF($N415=0,0,IF(AND($F415&lt;=EOMONTH(DATE(PlanYear,6,1),0),IF(ISNUMBER($G415),$G415,$F415)&gt;=DATE(PlanYear,6,1)),1,0))</f>
        <v>0</v>
      </c>
      <c r="U415">
        <f>IF($N415=0,0,IF(AND($F415&lt;=EOMONTH(DATE(PlanYear,7,1),0),IF(ISNUMBER($G415),$G415,$F415)&gt;=DATE(PlanYear,7,1)),1,0))</f>
        <v>0</v>
      </c>
      <c r="V415">
        <f>IF($N415=0,0,IF(AND($F415&lt;=EOMONTH(DATE(PlanYear,8,1),0),IF(ISNUMBER($G415),$G415,$F415)&gt;=DATE(PlanYear,8,1)),1,0))</f>
        <v>0</v>
      </c>
      <c r="W415">
        <f>IF($N415=0,0,IF(AND($F415&lt;=EOMONTH(DATE(PlanYear,9,1),0),IF(ISNUMBER($G415),$G415,$F415)&gt;=DATE(PlanYear,9,1)),1,0))</f>
        <v>0</v>
      </c>
      <c r="X415">
        <f>IF($N415=0,0,IF(AND($F415&lt;=EOMONTH(DATE(PlanYear,10,1),0),IF(ISNUMBER($G415),$G415,$F415)&gt;=DATE(PlanYear,10,1)),1,0))</f>
        <v>0</v>
      </c>
      <c r="Y415">
        <f>IF($N415=0,0,IF(AND($F415&lt;=EOMONTH(DATE(PlanYear,11,1),0),IF(ISNUMBER($G415),$G415,$F415)&gt;=DATE(PlanYear,11,1)),1,0))</f>
        <v>0</v>
      </c>
      <c r="Z415">
        <f>IF($N415=0,0,IF(AND($F415&lt;=EOMONTH(DATE(PlanYear,12,1),0),IF(ISNUMBER($G415),$G415,$F415)&gt;=DATE(PlanYear,12,1)),1,0))</f>
        <v>0</v>
      </c>
      <c r="AA415">
        <f>SUM($O415:$Z415)</f>
        <v>0</v>
      </c>
    </row>
    <row r="416" spans="1:27">
      <c r="A416" s="42">
        <f>IF($B416="","","ACT-"&amp;TEXT(ROW()-4,"000"))</f>
        <v>0</v>
      </c>
      <c r="M416" s="43">
        <f>IF(COUNTA($B416:$K416)=0,"",IF($B416="","Missing activity name",IF($C416="","Missing practice",IF(COUNTIF(PracticeNames,$C416)=0,"Practice not in Lists",IF($D416="","Missing motion",IF(NOT(ISNUMBER($F416)),"Missing or invalid start date",IF(AND(ISNUMBER($G416),$G416&lt;$F416),"End date before start",IF(AND($N416=1,$AA416=0),"Outside planning year","OK"))))))))</f>
        <v>0</v>
      </c>
      <c r="N416">
        <f>IF(AND($B416&lt;&gt;"",$C416&lt;&gt;"",$D416&lt;&gt;"",ISNUMBER($F416),COUNTIF(PracticeNames,$C416)&gt;0,COUNTIF(MotionNames,$D416)&gt;0,NOT(AND(ISNUMBER($G416),$G416&lt;$F416))),IF(StatusFilter="All (excl. Cancelled)",IF($H416="Cancelled",0,1),IF(StatusFilter="All",1,IF($H416=StatusFilter,1,0))),0)</f>
        <v>0</v>
      </c>
      <c r="O416">
        <f>IF($N416=0,0,IF(AND($F416&lt;=EOMONTH(DATE(PlanYear,1,1),0),IF(ISNUMBER($G416),$G416,$F416)&gt;=DATE(PlanYear,1,1)),1,0))</f>
        <v>0</v>
      </c>
      <c r="P416">
        <f>IF($N416=0,0,IF(AND($F416&lt;=EOMONTH(DATE(PlanYear,2,1),0),IF(ISNUMBER($G416),$G416,$F416)&gt;=DATE(PlanYear,2,1)),1,0))</f>
        <v>0</v>
      </c>
      <c r="Q416">
        <f>IF($N416=0,0,IF(AND($F416&lt;=EOMONTH(DATE(PlanYear,3,1),0),IF(ISNUMBER($G416),$G416,$F416)&gt;=DATE(PlanYear,3,1)),1,0))</f>
        <v>0</v>
      </c>
      <c r="R416">
        <f>IF($N416=0,0,IF(AND($F416&lt;=EOMONTH(DATE(PlanYear,4,1),0),IF(ISNUMBER($G416),$G416,$F416)&gt;=DATE(PlanYear,4,1)),1,0))</f>
        <v>0</v>
      </c>
      <c r="S416">
        <f>IF($N416=0,0,IF(AND($F416&lt;=EOMONTH(DATE(PlanYear,5,1),0),IF(ISNUMBER($G416),$G416,$F416)&gt;=DATE(PlanYear,5,1)),1,0))</f>
        <v>0</v>
      </c>
      <c r="T416">
        <f>IF($N416=0,0,IF(AND($F416&lt;=EOMONTH(DATE(PlanYear,6,1),0),IF(ISNUMBER($G416),$G416,$F416)&gt;=DATE(PlanYear,6,1)),1,0))</f>
        <v>0</v>
      </c>
      <c r="U416">
        <f>IF($N416=0,0,IF(AND($F416&lt;=EOMONTH(DATE(PlanYear,7,1),0),IF(ISNUMBER($G416),$G416,$F416)&gt;=DATE(PlanYear,7,1)),1,0))</f>
        <v>0</v>
      </c>
      <c r="V416">
        <f>IF($N416=0,0,IF(AND($F416&lt;=EOMONTH(DATE(PlanYear,8,1),0),IF(ISNUMBER($G416),$G416,$F416)&gt;=DATE(PlanYear,8,1)),1,0))</f>
        <v>0</v>
      </c>
      <c r="W416">
        <f>IF($N416=0,0,IF(AND($F416&lt;=EOMONTH(DATE(PlanYear,9,1),0),IF(ISNUMBER($G416),$G416,$F416)&gt;=DATE(PlanYear,9,1)),1,0))</f>
        <v>0</v>
      </c>
      <c r="X416">
        <f>IF($N416=0,0,IF(AND($F416&lt;=EOMONTH(DATE(PlanYear,10,1),0),IF(ISNUMBER($G416),$G416,$F416)&gt;=DATE(PlanYear,10,1)),1,0))</f>
        <v>0</v>
      </c>
      <c r="Y416">
        <f>IF($N416=0,0,IF(AND($F416&lt;=EOMONTH(DATE(PlanYear,11,1),0),IF(ISNUMBER($G416),$G416,$F416)&gt;=DATE(PlanYear,11,1)),1,0))</f>
        <v>0</v>
      </c>
      <c r="Z416">
        <f>IF($N416=0,0,IF(AND($F416&lt;=EOMONTH(DATE(PlanYear,12,1),0),IF(ISNUMBER($G416),$G416,$F416)&gt;=DATE(PlanYear,12,1)),1,0))</f>
        <v>0</v>
      </c>
      <c r="AA416">
        <f>SUM($O416:$Z416)</f>
        <v>0</v>
      </c>
    </row>
    <row r="417" spans="1:27">
      <c r="A417" s="42">
        <f>IF($B417="","","ACT-"&amp;TEXT(ROW()-4,"000"))</f>
        <v>0</v>
      </c>
      <c r="M417" s="43">
        <f>IF(COUNTA($B417:$K417)=0,"",IF($B417="","Missing activity name",IF($C417="","Missing practice",IF(COUNTIF(PracticeNames,$C417)=0,"Practice not in Lists",IF($D417="","Missing motion",IF(NOT(ISNUMBER($F417)),"Missing or invalid start date",IF(AND(ISNUMBER($G417),$G417&lt;$F417),"End date before start",IF(AND($N417=1,$AA417=0),"Outside planning year","OK"))))))))</f>
        <v>0</v>
      </c>
      <c r="N417">
        <f>IF(AND($B417&lt;&gt;"",$C417&lt;&gt;"",$D417&lt;&gt;"",ISNUMBER($F417),COUNTIF(PracticeNames,$C417)&gt;0,COUNTIF(MotionNames,$D417)&gt;0,NOT(AND(ISNUMBER($G417),$G417&lt;$F417))),IF(StatusFilter="All (excl. Cancelled)",IF($H417="Cancelled",0,1),IF(StatusFilter="All",1,IF($H417=StatusFilter,1,0))),0)</f>
        <v>0</v>
      </c>
      <c r="O417">
        <f>IF($N417=0,0,IF(AND($F417&lt;=EOMONTH(DATE(PlanYear,1,1),0),IF(ISNUMBER($G417),$G417,$F417)&gt;=DATE(PlanYear,1,1)),1,0))</f>
        <v>0</v>
      </c>
      <c r="P417">
        <f>IF($N417=0,0,IF(AND($F417&lt;=EOMONTH(DATE(PlanYear,2,1),0),IF(ISNUMBER($G417),$G417,$F417)&gt;=DATE(PlanYear,2,1)),1,0))</f>
        <v>0</v>
      </c>
      <c r="Q417">
        <f>IF($N417=0,0,IF(AND($F417&lt;=EOMONTH(DATE(PlanYear,3,1),0),IF(ISNUMBER($G417),$G417,$F417)&gt;=DATE(PlanYear,3,1)),1,0))</f>
        <v>0</v>
      </c>
      <c r="R417">
        <f>IF($N417=0,0,IF(AND($F417&lt;=EOMONTH(DATE(PlanYear,4,1),0),IF(ISNUMBER($G417),$G417,$F417)&gt;=DATE(PlanYear,4,1)),1,0))</f>
        <v>0</v>
      </c>
      <c r="S417">
        <f>IF($N417=0,0,IF(AND($F417&lt;=EOMONTH(DATE(PlanYear,5,1),0),IF(ISNUMBER($G417),$G417,$F417)&gt;=DATE(PlanYear,5,1)),1,0))</f>
        <v>0</v>
      </c>
      <c r="T417">
        <f>IF($N417=0,0,IF(AND($F417&lt;=EOMONTH(DATE(PlanYear,6,1),0),IF(ISNUMBER($G417),$G417,$F417)&gt;=DATE(PlanYear,6,1)),1,0))</f>
        <v>0</v>
      </c>
      <c r="U417">
        <f>IF($N417=0,0,IF(AND($F417&lt;=EOMONTH(DATE(PlanYear,7,1),0),IF(ISNUMBER($G417),$G417,$F417)&gt;=DATE(PlanYear,7,1)),1,0))</f>
        <v>0</v>
      </c>
      <c r="V417">
        <f>IF($N417=0,0,IF(AND($F417&lt;=EOMONTH(DATE(PlanYear,8,1),0),IF(ISNUMBER($G417),$G417,$F417)&gt;=DATE(PlanYear,8,1)),1,0))</f>
        <v>0</v>
      </c>
      <c r="W417">
        <f>IF($N417=0,0,IF(AND($F417&lt;=EOMONTH(DATE(PlanYear,9,1),0),IF(ISNUMBER($G417),$G417,$F417)&gt;=DATE(PlanYear,9,1)),1,0))</f>
        <v>0</v>
      </c>
      <c r="X417">
        <f>IF($N417=0,0,IF(AND($F417&lt;=EOMONTH(DATE(PlanYear,10,1),0),IF(ISNUMBER($G417),$G417,$F417)&gt;=DATE(PlanYear,10,1)),1,0))</f>
        <v>0</v>
      </c>
      <c r="Y417">
        <f>IF($N417=0,0,IF(AND($F417&lt;=EOMONTH(DATE(PlanYear,11,1),0),IF(ISNUMBER($G417),$G417,$F417)&gt;=DATE(PlanYear,11,1)),1,0))</f>
        <v>0</v>
      </c>
      <c r="Z417">
        <f>IF($N417=0,0,IF(AND($F417&lt;=EOMONTH(DATE(PlanYear,12,1),0),IF(ISNUMBER($G417),$G417,$F417)&gt;=DATE(PlanYear,12,1)),1,0))</f>
        <v>0</v>
      </c>
      <c r="AA417">
        <f>SUM($O417:$Z417)</f>
        <v>0</v>
      </c>
    </row>
    <row r="418" spans="1:27">
      <c r="A418" s="42">
        <f>IF($B418="","","ACT-"&amp;TEXT(ROW()-4,"000"))</f>
        <v>0</v>
      </c>
      <c r="M418" s="43">
        <f>IF(COUNTA($B418:$K418)=0,"",IF($B418="","Missing activity name",IF($C418="","Missing practice",IF(COUNTIF(PracticeNames,$C418)=0,"Practice not in Lists",IF($D418="","Missing motion",IF(NOT(ISNUMBER($F418)),"Missing or invalid start date",IF(AND(ISNUMBER($G418),$G418&lt;$F418),"End date before start",IF(AND($N418=1,$AA418=0),"Outside planning year","OK"))))))))</f>
        <v>0</v>
      </c>
      <c r="N418">
        <f>IF(AND($B418&lt;&gt;"",$C418&lt;&gt;"",$D418&lt;&gt;"",ISNUMBER($F418),COUNTIF(PracticeNames,$C418)&gt;0,COUNTIF(MotionNames,$D418)&gt;0,NOT(AND(ISNUMBER($G418),$G418&lt;$F418))),IF(StatusFilter="All (excl. Cancelled)",IF($H418="Cancelled",0,1),IF(StatusFilter="All",1,IF($H418=StatusFilter,1,0))),0)</f>
        <v>0</v>
      </c>
      <c r="O418">
        <f>IF($N418=0,0,IF(AND($F418&lt;=EOMONTH(DATE(PlanYear,1,1),0),IF(ISNUMBER($G418),$G418,$F418)&gt;=DATE(PlanYear,1,1)),1,0))</f>
        <v>0</v>
      </c>
      <c r="P418">
        <f>IF($N418=0,0,IF(AND($F418&lt;=EOMONTH(DATE(PlanYear,2,1),0),IF(ISNUMBER($G418),$G418,$F418)&gt;=DATE(PlanYear,2,1)),1,0))</f>
        <v>0</v>
      </c>
      <c r="Q418">
        <f>IF($N418=0,0,IF(AND($F418&lt;=EOMONTH(DATE(PlanYear,3,1),0),IF(ISNUMBER($G418),$G418,$F418)&gt;=DATE(PlanYear,3,1)),1,0))</f>
        <v>0</v>
      </c>
      <c r="R418">
        <f>IF($N418=0,0,IF(AND($F418&lt;=EOMONTH(DATE(PlanYear,4,1),0),IF(ISNUMBER($G418),$G418,$F418)&gt;=DATE(PlanYear,4,1)),1,0))</f>
        <v>0</v>
      </c>
      <c r="S418">
        <f>IF($N418=0,0,IF(AND($F418&lt;=EOMONTH(DATE(PlanYear,5,1),0),IF(ISNUMBER($G418),$G418,$F418)&gt;=DATE(PlanYear,5,1)),1,0))</f>
        <v>0</v>
      </c>
      <c r="T418">
        <f>IF($N418=0,0,IF(AND($F418&lt;=EOMONTH(DATE(PlanYear,6,1),0),IF(ISNUMBER($G418),$G418,$F418)&gt;=DATE(PlanYear,6,1)),1,0))</f>
        <v>0</v>
      </c>
      <c r="U418">
        <f>IF($N418=0,0,IF(AND($F418&lt;=EOMONTH(DATE(PlanYear,7,1),0),IF(ISNUMBER($G418),$G418,$F418)&gt;=DATE(PlanYear,7,1)),1,0))</f>
        <v>0</v>
      </c>
      <c r="V418">
        <f>IF($N418=0,0,IF(AND($F418&lt;=EOMONTH(DATE(PlanYear,8,1),0),IF(ISNUMBER($G418),$G418,$F418)&gt;=DATE(PlanYear,8,1)),1,0))</f>
        <v>0</v>
      </c>
      <c r="W418">
        <f>IF($N418=0,0,IF(AND($F418&lt;=EOMONTH(DATE(PlanYear,9,1),0),IF(ISNUMBER($G418),$G418,$F418)&gt;=DATE(PlanYear,9,1)),1,0))</f>
        <v>0</v>
      </c>
      <c r="X418">
        <f>IF($N418=0,0,IF(AND($F418&lt;=EOMONTH(DATE(PlanYear,10,1),0),IF(ISNUMBER($G418),$G418,$F418)&gt;=DATE(PlanYear,10,1)),1,0))</f>
        <v>0</v>
      </c>
      <c r="Y418">
        <f>IF($N418=0,0,IF(AND($F418&lt;=EOMONTH(DATE(PlanYear,11,1),0),IF(ISNUMBER($G418),$G418,$F418)&gt;=DATE(PlanYear,11,1)),1,0))</f>
        <v>0</v>
      </c>
      <c r="Z418">
        <f>IF($N418=0,0,IF(AND($F418&lt;=EOMONTH(DATE(PlanYear,12,1),0),IF(ISNUMBER($G418),$G418,$F418)&gt;=DATE(PlanYear,12,1)),1,0))</f>
        <v>0</v>
      </c>
      <c r="AA418">
        <f>SUM($O418:$Z418)</f>
        <v>0</v>
      </c>
    </row>
    <row r="419" spans="1:27">
      <c r="A419" s="42">
        <f>IF($B419="","","ACT-"&amp;TEXT(ROW()-4,"000"))</f>
        <v>0</v>
      </c>
      <c r="M419" s="43">
        <f>IF(COUNTA($B419:$K419)=0,"",IF($B419="","Missing activity name",IF($C419="","Missing practice",IF(COUNTIF(PracticeNames,$C419)=0,"Practice not in Lists",IF($D419="","Missing motion",IF(NOT(ISNUMBER($F419)),"Missing or invalid start date",IF(AND(ISNUMBER($G419),$G419&lt;$F419),"End date before start",IF(AND($N419=1,$AA419=0),"Outside planning year","OK"))))))))</f>
        <v>0</v>
      </c>
      <c r="N419">
        <f>IF(AND($B419&lt;&gt;"",$C419&lt;&gt;"",$D419&lt;&gt;"",ISNUMBER($F419),COUNTIF(PracticeNames,$C419)&gt;0,COUNTIF(MotionNames,$D419)&gt;0,NOT(AND(ISNUMBER($G419),$G419&lt;$F419))),IF(StatusFilter="All (excl. Cancelled)",IF($H419="Cancelled",0,1),IF(StatusFilter="All",1,IF($H419=StatusFilter,1,0))),0)</f>
        <v>0</v>
      </c>
      <c r="O419">
        <f>IF($N419=0,0,IF(AND($F419&lt;=EOMONTH(DATE(PlanYear,1,1),0),IF(ISNUMBER($G419),$G419,$F419)&gt;=DATE(PlanYear,1,1)),1,0))</f>
        <v>0</v>
      </c>
      <c r="P419">
        <f>IF($N419=0,0,IF(AND($F419&lt;=EOMONTH(DATE(PlanYear,2,1),0),IF(ISNUMBER($G419),$G419,$F419)&gt;=DATE(PlanYear,2,1)),1,0))</f>
        <v>0</v>
      </c>
      <c r="Q419">
        <f>IF($N419=0,0,IF(AND($F419&lt;=EOMONTH(DATE(PlanYear,3,1),0),IF(ISNUMBER($G419),$G419,$F419)&gt;=DATE(PlanYear,3,1)),1,0))</f>
        <v>0</v>
      </c>
      <c r="R419">
        <f>IF($N419=0,0,IF(AND($F419&lt;=EOMONTH(DATE(PlanYear,4,1),0),IF(ISNUMBER($G419),$G419,$F419)&gt;=DATE(PlanYear,4,1)),1,0))</f>
        <v>0</v>
      </c>
      <c r="S419">
        <f>IF($N419=0,0,IF(AND($F419&lt;=EOMONTH(DATE(PlanYear,5,1),0),IF(ISNUMBER($G419),$G419,$F419)&gt;=DATE(PlanYear,5,1)),1,0))</f>
        <v>0</v>
      </c>
      <c r="T419">
        <f>IF($N419=0,0,IF(AND($F419&lt;=EOMONTH(DATE(PlanYear,6,1),0),IF(ISNUMBER($G419),$G419,$F419)&gt;=DATE(PlanYear,6,1)),1,0))</f>
        <v>0</v>
      </c>
      <c r="U419">
        <f>IF($N419=0,0,IF(AND($F419&lt;=EOMONTH(DATE(PlanYear,7,1),0),IF(ISNUMBER($G419),$G419,$F419)&gt;=DATE(PlanYear,7,1)),1,0))</f>
        <v>0</v>
      </c>
      <c r="V419">
        <f>IF($N419=0,0,IF(AND($F419&lt;=EOMONTH(DATE(PlanYear,8,1),0),IF(ISNUMBER($G419),$G419,$F419)&gt;=DATE(PlanYear,8,1)),1,0))</f>
        <v>0</v>
      </c>
      <c r="W419">
        <f>IF($N419=0,0,IF(AND($F419&lt;=EOMONTH(DATE(PlanYear,9,1),0),IF(ISNUMBER($G419),$G419,$F419)&gt;=DATE(PlanYear,9,1)),1,0))</f>
        <v>0</v>
      </c>
      <c r="X419">
        <f>IF($N419=0,0,IF(AND($F419&lt;=EOMONTH(DATE(PlanYear,10,1),0),IF(ISNUMBER($G419),$G419,$F419)&gt;=DATE(PlanYear,10,1)),1,0))</f>
        <v>0</v>
      </c>
      <c r="Y419">
        <f>IF($N419=0,0,IF(AND($F419&lt;=EOMONTH(DATE(PlanYear,11,1),0),IF(ISNUMBER($G419),$G419,$F419)&gt;=DATE(PlanYear,11,1)),1,0))</f>
        <v>0</v>
      </c>
      <c r="Z419">
        <f>IF($N419=0,0,IF(AND($F419&lt;=EOMONTH(DATE(PlanYear,12,1),0),IF(ISNUMBER($G419),$G419,$F419)&gt;=DATE(PlanYear,12,1)),1,0))</f>
        <v>0</v>
      </c>
      <c r="AA419">
        <f>SUM($O419:$Z419)</f>
        <v>0</v>
      </c>
    </row>
    <row r="420" spans="1:27">
      <c r="A420" s="42">
        <f>IF($B420="","","ACT-"&amp;TEXT(ROW()-4,"000"))</f>
        <v>0</v>
      </c>
      <c r="M420" s="43">
        <f>IF(COUNTA($B420:$K420)=0,"",IF($B420="","Missing activity name",IF($C420="","Missing practice",IF(COUNTIF(PracticeNames,$C420)=0,"Practice not in Lists",IF($D420="","Missing motion",IF(NOT(ISNUMBER($F420)),"Missing or invalid start date",IF(AND(ISNUMBER($G420),$G420&lt;$F420),"End date before start",IF(AND($N420=1,$AA420=0),"Outside planning year","OK"))))))))</f>
        <v>0</v>
      </c>
      <c r="N420">
        <f>IF(AND($B420&lt;&gt;"",$C420&lt;&gt;"",$D420&lt;&gt;"",ISNUMBER($F420),COUNTIF(PracticeNames,$C420)&gt;0,COUNTIF(MotionNames,$D420)&gt;0,NOT(AND(ISNUMBER($G420),$G420&lt;$F420))),IF(StatusFilter="All (excl. Cancelled)",IF($H420="Cancelled",0,1),IF(StatusFilter="All",1,IF($H420=StatusFilter,1,0))),0)</f>
        <v>0</v>
      </c>
      <c r="O420">
        <f>IF($N420=0,0,IF(AND($F420&lt;=EOMONTH(DATE(PlanYear,1,1),0),IF(ISNUMBER($G420),$G420,$F420)&gt;=DATE(PlanYear,1,1)),1,0))</f>
        <v>0</v>
      </c>
      <c r="P420">
        <f>IF($N420=0,0,IF(AND($F420&lt;=EOMONTH(DATE(PlanYear,2,1),0),IF(ISNUMBER($G420),$G420,$F420)&gt;=DATE(PlanYear,2,1)),1,0))</f>
        <v>0</v>
      </c>
      <c r="Q420">
        <f>IF($N420=0,0,IF(AND($F420&lt;=EOMONTH(DATE(PlanYear,3,1),0),IF(ISNUMBER($G420),$G420,$F420)&gt;=DATE(PlanYear,3,1)),1,0))</f>
        <v>0</v>
      </c>
      <c r="R420">
        <f>IF($N420=0,0,IF(AND($F420&lt;=EOMONTH(DATE(PlanYear,4,1),0),IF(ISNUMBER($G420),$G420,$F420)&gt;=DATE(PlanYear,4,1)),1,0))</f>
        <v>0</v>
      </c>
      <c r="S420">
        <f>IF($N420=0,0,IF(AND($F420&lt;=EOMONTH(DATE(PlanYear,5,1),0),IF(ISNUMBER($G420),$G420,$F420)&gt;=DATE(PlanYear,5,1)),1,0))</f>
        <v>0</v>
      </c>
      <c r="T420">
        <f>IF($N420=0,0,IF(AND($F420&lt;=EOMONTH(DATE(PlanYear,6,1),0),IF(ISNUMBER($G420),$G420,$F420)&gt;=DATE(PlanYear,6,1)),1,0))</f>
        <v>0</v>
      </c>
      <c r="U420">
        <f>IF($N420=0,0,IF(AND($F420&lt;=EOMONTH(DATE(PlanYear,7,1),0),IF(ISNUMBER($G420),$G420,$F420)&gt;=DATE(PlanYear,7,1)),1,0))</f>
        <v>0</v>
      </c>
      <c r="V420">
        <f>IF($N420=0,0,IF(AND($F420&lt;=EOMONTH(DATE(PlanYear,8,1),0),IF(ISNUMBER($G420),$G420,$F420)&gt;=DATE(PlanYear,8,1)),1,0))</f>
        <v>0</v>
      </c>
      <c r="W420">
        <f>IF($N420=0,0,IF(AND($F420&lt;=EOMONTH(DATE(PlanYear,9,1),0),IF(ISNUMBER($G420),$G420,$F420)&gt;=DATE(PlanYear,9,1)),1,0))</f>
        <v>0</v>
      </c>
      <c r="X420">
        <f>IF($N420=0,0,IF(AND($F420&lt;=EOMONTH(DATE(PlanYear,10,1),0),IF(ISNUMBER($G420),$G420,$F420)&gt;=DATE(PlanYear,10,1)),1,0))</f>
        <v>0</v>
      </c>
      <c r="Y420">
        <f>IF($N420=0,0,IF(AND($F420&lt;=EOMONTH(DATE(PlanYear,11,1),0),IF(ISNUMBER($G420),$G420,$F420)&gt;=DATE(PlanYear,11,1)),1,0))</f>
        <v>0</v>
      </c>
      <c r="Z420">
        <f>IF($N420=0,0,IF(AND($F420&lt;=EOMONTH(DATE(PlanYear,12,1),0),IF(ISNUMBER($G420),$G420,$F420)&gt;=DATE(PlanYear,12,1)),1,0))</f>
        <v>0</v>
      </c>
      <c r="AA420">
        <f>SUM($O420:$Z420)</f>
        <v>0</v>
      </c>
    </row>
    <row r="421" spans="1:27">
      <c r="A421" s="42">
        <f>IF($B421="","","ACT-"&amp;TEXT(ROW()-4,"000"))</f>
        <v>0</v>
      </c>
      <c r="M421" s="43">
        <f>IF(COUNTA($B421:$K421)=0,"",IF($B421="","Missing activity name",IF($C421="","Missing practice",IF(COUNTIF(PracticeNames,$C421)=0,"Practice not in Lists",IF($D421="","Missing motion",IF(NOT(ISNUMBER($F421)),"Missing or invalid start date",IF(AND(ISNUMBER($G421),$G421&lt;$F421),"End date before start",IF(AND($N421=1,$AA421=0),"Outside planning year","OK"))))))))</f>
        <v>0</v>
      </c>
      <c r="N421">
        <f>IF(AND($B421&lt;&gt;"",$C421&lt;&gt;"",$D421&lt;&gt;"",ISNUMBER($F421),COUNTIF(PracticeNames,$C421)&gt;0,COUNTIF(MotionNames,$D421)&gt;0,NOT(AND(ISNUMBER($G421),$G421&lt;$F421))),IF(StatusFilter="All (excl. Cancelled)",IF($H421="Cancelled",0,1),IF(StatusFilter="All",1,IF($H421=StatusFilter,1,0))),0)</f>
        <v>0</v>
      </c>
      <c r="O421">
        <f>IF($N421=0,0,IF(AND($F421&lt;=EOMONTH(DATE(PlanYear,1,1),0),IF(ISNUMBER($G421),$G421,$F421)&gt;=DATE(PlanYear,1,1)),1,0))</f>
        <v>0</v>
      </c>
      <c r="P421">
        <f>IF($N421=0,0,IF(AND($F421&lt;=EOMONTH(DATE(PlanYear,2,1),0),IF(ISNUMBER($G421),$G421,$F421)&gt;=DATE(PlanYear,2,1)),1,0))</f>
        <v>0</v>
      </c>
      <c r="Q421">
        <f>IF($N421=0,0,IF(AND($F421&lt;=EOMONTH(DATE(PlanYear,3,1),0),IF(ISNUMBER($G421),$G421,$F421)&gt;=DATE(PlanYear,3,1)),1,0))</f>
        <v>0</v>
      </c>
      <c r="R421">
        <f>IF($N421=0,0,IF(AND($F421&lt;=EOMONTH(DATE(PlanYear,4,1),0),IF(ISNUMBER($G421),$G421,$F421)&gt;=DATE(PlanYear,4,1)),1,0))</f>
        <v>0</v>
      </c>
      <c r="S421">
        <f>IF($N421=0,0,IF(AND($F421&lt;=EOMONTH(DATE(PlanYear,5,1),0),IF(ISNUMBER($G421),$G421,$F421)&gt;=DATE(PlanYear,5,1)),1,0))</f>
        <v>0</v>
      </c>
      <c r="T421">
        <f>IF($N421=0,0,IF(AND($F421&lt;=EOMONTH(DATE(PlanYear,6,1),0),IF(ISNUMBER($G421),$G421,$F421)&gt;=DATE(PlanYear,6,1)),1,0))</f>
        <v>0</v>
      </c>
      <c r="U421">
        <f>IF($N421=0,0,IF(AND($F421&lt;=EOMONTH(DATE(PlanYear,7,1),0),IF(ISNUMBER($G421),$G421,$F421)&gt;=DATE(PlanYear,7,1)),1,0))</f>
        <v>0</v>
      </c>
      <c r="V421">
        <f>IF($N421=0,0,IF(AND($F421&lt;=EOMONTH(DATE(PlanYear,8,1),0),IF(ISNUMBER($G421),$G421,$F421)&gt;=DATE(PlanYear,8,1)),1,0))</f>
        <v>0</v>
      </c>
      <c r="W421">
        <f>IF($N421=0,0,IF(AND($F421&lt;=EOMONTH(DATE(PlanYear,9,1),0),IF(ISNUMBER($G421),$G421,$F421)&gt;=DATE(PlanYear,9,1)),1,0))</f>
        <v>0</v>
      </c>
      <c r="X421">
        <f>IF($N421=0,0,IF(AND($F421&lt;=EOMONTH(DATE(PlanYear,10,1),0),IF(ISNUMBER($G421),$G421,$F421)&gt;=DATE(PlanYear,10,1)),1,0))</f>
        <v>0</v>
      </c>
      <c r="Y421">
        <f>IF($N421=0,0,IF(AND($F421&lt;=EOMONTH(DATE(PlanYear,11,1),0),IF(ISNUMBER($G421),$G421,$F421)&gt;=DATE(PlanYear,11,1)),1,0))</f>
        <v>0</v>
      </c>
      <c r="Z421">
        <f>IF($N421=0,0,IF(AND($F421&lt;=EOMONTH(DATE(PlanYear,12,1),0),IF(ISNUMBER($G421),$G421,$F421)&gt;=DATE(PlanYear,12,1)),1,0))</f>
        <v>0</v>
      </c>
      <c r="AA421">
        <f>SUM($O421:$Z421)</f>
        <v>0</v>
      </c>
    </row>
    <row r="422" spans="1:27">
      <c r="A422" s="42">
        <f>IF($B422="","","ACT-"&amp;TEXT(ROW()-4,"000"))</f>
        <v>0</v>
      </c>
      <c r="M422" s="43">
        <f>IF(COUNTA($B422:$K422)=0,"",IF($B422="","Missing activity name",IF($C422="","Missing practice",IF(COUNTIF(PracticeNames,$C422)=0,"Practice not in Lists",IF($D422="","Missing motion",IF(NOT(ISNUMBER($F422)),"Missing or invalid start date",IF(AND(ISNUMBER($G422),$G422&lt;$F422),"End date before start",IF(AND($N422=1,$AA422=0),"Outside planning year","OK"))))))))</f>
        <v>0</v>
      </c>
      <c r="N422">
        <f>IF(AND($B422&lt;&gt;"",$C422&lt;&gt;"",$D422&lt;&gt;"",ISNUMBER($F422),COUNTIF(PracticeNames,$C422)&gt;0,COUNTIF(MotionNames,$D422)&gt;0,NOT(AND(ISNUMBER($G422),$G422&lt;$F422))),IF(StatusFilter="All (excl. Cancelled)",IF($H422="Cancelled",0,1),IF(StatusFilter="All",1,IF($H422=StatusFilter,1,0))),0)</f>
        <v>0</v>
      </c>
      <c r="O422">
        <f>IF($N422=0,0,IF(AND($F422&lt;=EOMONTH(DATE(PlanYear,1,1),0),IF(ISNUMBER($G422),$G422,$F422)&gt;=DATE(PlanYear,1,1)),1,0))</f>
        <v>0</v>
      </c>
      <c r="P422">
        <f>IF($N422=0,0,IF(AND($F422&lt;=EOMONTH(DATE(PlanYear,2,1),0),IF(ISNUMBER($G422),$G422,$F422)&gt;=DATE(PlanYear,2,1)),1,0))</f>
        <v>0</v>
      </c>
      <c r="Q422">
        <f>IF($N422=0,0,IF(AND($F422&lt;=EOMONTH(DATE(PlanYear,3,1),0),IF(ISNUMBER($G422),$G422,$F422)&gt;=DATE(PlanYear,3,1)),1,0))</f>
        <v>0</v>
      </c>
      <c r="R422">
        <f>IF($N422=0,0,IF(AND($F422&lt;=EOMONTH(DATE(PlanYear,4,1),0),IF(ISNUMBER($G422),$G422,$F422)&gt;=DATE(PlanYear,4,1)),1,0))</f>
        <v>0</v>
      </c>
      <c r="S422">
        <f>IF($N422=0,0,IF(AND($F422&lt;=EOMONTH(DATE(PlanYear,5,1),0),IF(ISNUMBER($G422),$G422,$F422)&gt;=DATE(PlanYear,5,1)),1,0))</f>
        <v>0</v>
      </c>
      <c r="T422">
        <f>IF($N422=0,0,IF(AND($F422&lt;=EOMONTH(DATE(PlanYear,6,1),0),IF(ISNUMBER($G422),$G422,$F422)&gt;=DATE(PlanYear,6,1)),1,0))</f>
        <v>0</v>
      </c>
      <c r="U422">
        <f>IF($N422=0,0,IF(AND($F422&lt;=EOMONTH(DATE(PlanYear,7,1),0),IF(ISNUMBER($G422),$G422,$F422)&gt;=DATE(PlanYear,7,1)),1,0))</f>
        <v>0</v>
      </c>
      <c r="V422">
        <f>IF($N422=0,0,IF(AND($F422&lt;=EOMONTH(DATE(PlanYear,8,1),0),IF(ISNUMBER($G422),$G422,$F422)&gt;=DATE(PlanYear,8,1)),1,0))</f>
        <v>0</v>
      </c>
      <c r="W422">
        <f>IF($N422=0,0,IF(AND($F422&lt;=EOMONTH(DATE(PlanYear,9,1),0),IF(ISNUMBER($G422),$G422,$F422)&gt;=DATE(PlanYear,9,1)),1,0))</f>
        <v>0</v>
      </c>
      <c r="X422">
        <f>IF($N422=0,0,IF(AND($F422&lt;=EOMONTH(DATE(PlanYear,10,1),0),IF(ISNUMBER($G422),$G422,$F422)&gt;=DATE(PlanYear,10,1)),1,0))</f>
        <v>0</v>
      </c>
      <c r="Y422">
        <f>IF($N422=0,0,IF(AND($F422&lt;=EOMONTH(DATE(PlanYear,11,1),0),IF(ISNUMBER($G422),$G422,$F422)&gt;=DATE(PlanYear,11,1)),1,0))</f>
        <v>0</v>
      </c>
      <c r="Z422">
        <f>IF($N422=0,0,IF(AND($F422&lt;=EOMONTH(DATE(PlanYear,12,1),0),IF(ISNUMBER($G422),$G422,$F422)&gt;=DATE(PlanYear,12,1)),1,0))</f>
        <v>0</v>
      </c>
      <c r="AA422">
        <f>SUM($O422:$Z422)</f>
        <v>0</v>
      </c>
    </row>
    <row r="423" spans="1:27">
      <c r="A423" s="42">
        <f>IF($B423="","","ACT-"&amp;TEXT(ROW()-4,"000"))</f>
        <v>0</v>
      </c>
      <c r="M423" s="43">
        <f>IF(COUNTA($B423:$K423)=0,"",IF($B423="","Missing activity name",IF($C423="","Missing practice",IF(COUNTIF(PracticeNames,$C423)=0,"Practice not in Lists",IF($D423="","Missing motion",IF(NOT(ISNUMBER($F423)),"Missing or invalid start date",IF(AND(ISNUMBER($G423),$G423&lt;$F423),"End date before start",IF(AND($N423=1,$AA423=0),"Outside planning year","OK"))))))))</f>
        <v>0</v>
      </c>
      <c r="N423">
        <f>IF(AND($B423&lt;&gt;"",$C423&lt;&gt;"",$D423&lt;&gt;"",ISNUMBER($F423),COUNTIF(PracticeNames,$C423)&gt;0,COUNTIF(MotionNames,$D423)&gt;0,NOT(AND(ISNUMBER($G423),$G423&lt;$F423))),IF(StatusFilter="All (excl. Cancelled)",IF($H423="Cancelled",0,1),IF(StatusFilter="All",1,IF($H423=StatusFilter,1,0))),0)</f>
        <v>0</v>
      </c>
      <c r="O423">
        <f>IF($N423=0,0,IF(AND($F423&lt;=EOMONTH(DATE(PlanYear,1,1),0),IF(ISNUMBER($G423),$G423,$F423)&gt;=DATE(PlanYear,1,1)),1,0))</f>
        <v>0</v>
      </c>
      <c r="P423">
        <f>IF($N423=0,0,IF(AND($F423&lt;=EOMONTH(DATE(PlanYear,2,1),0),IF(ISNUMBER($G423),$G423,$F423)&gt;=DATE(PlanYear,2,1)),1,0))</f>
        <v>0</v>
      </c>
      <c r="Q423">
        <f>IF($N423=0,0,IF(AND($F423&lt;=EOMONTH(DATE(PlanYear,3,1),0),IF(ISNUMBER($G423),$G423,$F423)&gt;=DATE(PlanYear,3,1)),1,0))</f>
        <v>0</v>
      </c>
      <c r="R423">
        <f>IF($N423=0,0,IF(AND($F423&lt;=EOMONTH(DATE(PlanYear,4,1),0),IF(ISNUMBER($G423),$G423,$F423)&gt;=DATE(PlanYear,4,1)),1,0))</f>
        <v>0</v>
      </c>
      <c r="S423">
        <f>IF($N423=0,0,IF(AND($F423&lt;=EOMONTH(DATE(PlanYear,5,1),0),IF(ISNUMBER($G423),$G423,$F423)&gt;=DATE(PlanYear,5,1)),1,0))</f>
        <v>0</v>
      </c>
      <c r="T423">
        <f>IF($N423=0,0,IF(AND($F423&lt;=EOMONTH(DATE(PlanYear,6,1),0),IF(ISNUMBER($G423),$G423,$F423)&gt;=DATE(PlanYear,6,1)),1,0))</f>
        <v>0</v>
      </c>
      <c r="U423">
        <f>IF($N423=0,0,IF(AND($F423&lt;=EOMONTH(DATE(PlanYear,7,1),0),IF(ISNUMBER($G423),$G423,$F423)&gt;=DATE(PlanYear,7,1)),1,0))</f>
        <v>0</v>
      </c>
      <c r="V423">
        <f>IF($N423=0,0,IF(AND($F423&lt;=EOMONTH(DATE(PlanYear,8,1),0),IF(ISNUMBER($G423),$G423,$F423)&gt;=DATE(PlanYear,8,1)),1,0))</f>
        <v>0</v>
      </c>
      <c r="W423">
        <f>IF($N423=0,0,IF(AND($F423&lt;=EOMONTH(DATE(PlanYear,9,1),0),IF(ISNUMBER($G423),$G423,$F423)&gt;=DATE(PlanYear,9,1)),1,0))</f>
        <v>0</v>
      </c>
      <c r="X423">
        <f>IF($N423=0,0,IF(AND($F423&lt;=EOMONTH(DATE(PlanYear,10,1),0),IF(ISNUMBER($G423),$G423,$F423)&gt;=DATE(PlanYear,10,1)),1,0))</f>
        <v>0</v>
      </c>
      <c r="Y423">
        <f>IF($N423=0,0,IF(AND($F423&lt;=EOMONTH(DATE(PlanYear,11,1),0),IF(ISNUMBER($G423),$G423,$F423)&gt;=DATE(PlanYear,11,1)),1,0))</f>
        <v>0</v>
      </c>
      <c r="Z423">
        <f>IF($N423=0,0,IF(AND($F423&lt;=EOMONTH(DATE(PlanYear,12,1),0),IF(ISNUMBER($G423),$G423,$F423)&gt;=DATE(PlanYear,12,1)),1,0))</f>
        <v>0</v>
      </c>
      <c r="AA423">
        <f>SUM($O423:$Z423)</f>
        <v>0</v>
      </c>
    </row>
    <row r="424" spans="1:27">
      <c r="A424" s="42">
        <f>IF($B424="","","ACT-"&amp;TEXT(ROW()-4,"000"))</f>
        <v>0</v>
      </c>
      <c r="M424" s="43">
        <f>IF(COUNTA($B424:$K424)=0,"",IF($B424="","Missing activity name",IF($C424="","Missing practice",IF(COUNTIF(PracticeNames,$C424)=0,"Practice not in Lists",IF($D424="","Missing motion",IF(NOT(ISNUMBER($F424)),"Missing or invalid start date",IF(AND(ISNUMBER($G424),$G424&lt;$F424),"End date before start",IF(AND($N424=1,$AA424=0),"Outside planning year","OK"))))))))</f>
        <v>0</v>
      </c>
      <c r="N424">
        <f>IF(AND($B424&lt;&gt;"",$C424&lt;&gt;"",$D424&lt;&gt;"",ISNUMBER($F424),COUNTIF(PracticeNames,$C424)&gt;0,COUNTIF(MotionNames,$D424)&gt;0,NOT(AND(ISNUMBER($G424),$G424&lt;$F424))),IF(StatusFilter="All (excl. Cancelled)",IF($H424="Cancelled",0,1),IF(StatusFilter="All",1,IF($H424=StatusFilter,1,0))),0)</f>
        <v>0</v>
      </c>
      <c r="O424">
        <f>IF($N424=0,0,IF(AND($F424&lt;=EOMONTH(DATE(PlanYear,1,1),0),IF(ISNUMBER($G424),$G424,$F424)&gt;=DATE(PlanYear,1,1)),1,0))</f>
        <v>0</v>
      </c>
      <c r="P424">
        <f>IF($N424=0,0,IF(AND($F424&lt;=EOMONTH(DATE(PlanYear,2,1),0),IF(ISNUMBER($G424),$G424,$F424)&gt;=DATE(PlanYear,2,1)),1,0))</f>
        <v>0</v>
      </c>
      <c r="Q424">
        <f>IF($N424=0,0,IF(AND($F424&lt;=EOMONTH(DATE(PlanYear,3,1),0),IF(ISNUMBER($G424),$G424,$F424)&gt;=DATE(PlanYear,3,1)),1,0))</f>
        <v>0</v>
      </c>
      <c r="R424">
        <f>IF($N424=0,0,IF(AND($F424&lt;=EOMONTH(DATE(PlanYear,4,1),0),IF(ISNUMBER($G424),$G424,$F424)&gt;=DATE(PlanYear,4,1)),1,0))</f>
        <v>0</v>
      </c>
      <c r="S424">
        <f>IF($N424=0,0,IF(AND($F424&lt;=EOMONTH(DATE(PlanYear,5,1),0),IF(ISNUMBER($G424),$G424,$F424)&gt;=DATE(PlanYear,5,1)),1,0))</f>
        <v>0</v>
      </c>
      <c r="T424">
        <f>IF($N424=0,0,IF(AND($F424&lt;=EOMONTH(DATE(PlanYear,6,1),0),IF(ISNUMBER($G424),$G424,$F424)&gt;=DATE(PlanYear,6,1)),1,0))</f>
        <v>0</v>
      </c>
      <c r="U424">
        <f>IF($N424=0,0,IF(AND($F424&lt;=EOMONTH(DATE(PlanYear,7,1),0),IF(ISNUMBER($G424),$G424,$F424)&gt;=DATE(PlanYear,7,1)),1,0))</f>
        <v>0</v>
      </c>
      <c r="V424">
        <f>IF($N424=0,0,IF(AND($F424&lt;=EOMONTH(DATE(PlanYear,8,1),0),IF(ISNUMBER($G424),$G424,$F424)&gt;=DATE(PlanYear,8,1)),1,0))</f>
        <v>0</v>
      </c>
      <c r="W424">
        <f>IF($N424=0,0,IF(AND($F424&lt;=EOMONTH(DATE(PlanYear,9,1),0),IF(ISNUMBER($G424),$G424,$F424)&gt;=DATE(PlanYear,9,1)),1,0))</f>
        <v>0</v>
      </c>
      <c r="X424">
        <f>IF($N424=0,0,IF(AND($F424&lt;=EOMONTH(DATE(PlanYear,10,1),0),IF(ISNUMBER($G424),$G424,$F424)&gt;=DATE(PlanYear,10,1)),1,0))</f>
        <v>0</v>
      </c>
      <c r="Y424">
        <f>IF($N424=0,0,IF(AND($F424&lt;=EOMONTH(DATE(PlanYear,11,1),0),IF(ISNUMBER($G424),$G424,$F424)&gt;=DATE(PlanYear,11,1)),1,0))</f>
        <v>0</v>
      </c>
      <c r="Z424">
        <f>IF($N424=0,0,IF(AND($F424&lt;=EOMONTH(DATE(PlanYear,12,1),0),IF(ISNUMBER($G424),$G424,$F424)&gt;=DATE(PlanYear,12,1)),1,0))</f>
        <v>0</v>
      </c>
      <c r="AA424">
        <f>SUM($O424:$Z424)</f>
        <v>0</v>
      </c>
    </row>
    <row r="425" spans="1:27">
      <c r="A425" s="42">
        <f>IF($B425="","","ACT-"&amp;TEXT(ROW()-4,"000"))</f>
        <v>0</v>
      </c>
      <c r="M425" s="43">
        <f>IF(COUNTA($B425:$K425)=0,"",IF($B425="","Missing activity name",IF($C425="","Missing practice",IF(COUNTIF(PracticeNames,$C425)=0,"Practice not in Lists",IF($D425="","Missing motion",IF(NOT(ISNUMBER($F425)),"Missing or invalid start date",IF(AND(ISNUMBER($G425),$G425&lt;$F425),"End date before start",IF(AND($N425=1,$AA425=0),"Outside planning year","OK"))))))))</f>
        <v>0</v>
      </c>
      <c r="N425">
        <f>IF(AND($B425&lt;&gt;"",$C425&lt;&gt;"",$D425&lt;&gt;"",ISNUMBER($F425),COUNTIF(PracticeNames,$C425)&gt;0,COUNTIF(MotionNames,$D425)&gt;0,NOT(AND(ISNUMBER($G425),$G425&lt;$F425))),IF(StatusFilter="All (excl. Cancelled)",IF($H425="Cancelled",0,1),IF(StatusFilter="All",1,IF($H425=StatusFilter,1,0))),0)</f>
        <v>0</v>
      </c>
      <c r="O425">
        <f>IF($N425=0,0,IF(AND($F425&lt;=EOMONTH(DATE(PlanYear,1,1),0),IF(ISNUMBER($G425),$G425,$F425)&gt;=DATE(PlanYear,1,1)),1,0))</f>
        <v>0</v>
      </c>
      <c r="P425">
        <f>IF($N425=0,0,IF(AND($F425&lt;=EOMONTH(DATE(PlanYear,2,1),0),IF(ISNUMBER($G425),$G425,$F425)&gt;=DATE(PlanYear,2,1)),1,0))</f>
        <v>0</v>
      </c>
      <c r="Q425">
        <f>IF($N425=0,0,IF(AND($F425&lt;=EOMONTH(DATE(PlanYear,3,1),0),IF(ISNUMBER($G425),$G425,$F425)&gt;=DATE(PlanYear,3,1)),1,0))</f>
        <v>0</v>
      </c>
      <c r="R425">
        <f>IF($N425=0,0,IF(AND($F425&lt;=EOMONTH(DATE(PlanYear,4,1),0),IF(ISNUMBER($G425),$G425,$F425)&gt;=DATE(PlanYear,4,1)),1,0))</f>
        <v>0</v>
      </c>
      <c r="S425">
        <f>IF($N425=0,0,IF(AND($F425&lt;=EOMONTH(DATE(PlanYear,5,1),0),IF(ISNUMBER($G425),$G425,$F425)&gt;=DATE(PlanYear,5,1)),1,0))</f>
        <v>0</v>
      </c>
      <c r="T425">
        <f>IF($N425=0,0,IF(AND($F425&lt;=EOMONTH(DATE(PlanYear,6,1),0),IF(ISNUMBER($G425),$G425,$F425)&gt;=DATE(PlanYear,6,1)),1,0))</f>
        <v>0</v>
      </c>
      <c r="U425">
        <f>IF($N425=0,0,IF(AND($F425&lt;=EOMONTH(DATE(PlanYear,7,1),0),IF(ISNUMBER($G425),$G425,$F425)&gt;=DATE(PlanYear,7,1)),1,0))</f>
        <v>0</v>
      </c>
      <c r="V425">
        <f>IF($N425=0,0,IF(AND($F425&lt;=EOMONTH(DATE(PlanYear,8,1),0),IF(ISNUMBER($G425),$G425,$F425)&gt;=DATE(PlanYear,8,1)),1,0))</f>
        <v>0</v>
      </c>
      <c r="W425">
        <f>IF($N425=0,0,IF(AND($F425&lt;=EOMONTH(DATE(PlanYear,9,1),0),IF(ISNUMBER($G425),$G425,$F425)&gt;=DATE(PlanYear,9,1)),1,0))</f>
        <v>0</v>
      </c>
      <c r="X425">
        <f>IF($N425=0,0,IF(AND($F425&lt;=EOMONTH(DATE(PlanYear,10,1),0),IF(ISNUMBER($G425),$G425,$F425)&gt;=DATE(PlanYear,10,1)),1,0))</f>
        <v>0</v>
      </c>
      <c r="Y425">
        <f>IF($N425=0,0,IF(AND($F425&lt;=EOMONTH(DATE(PlanYear,11,1),0),IF(ISNUMBER($G425),$G425,$F425)&gt;=DATE(PlanYear,11,1)),1,0))</f>
        <v>0</v>
      </c>
      <c r="Z425">
        <f>IF($N425=0,0,IF(AND($F425&lt;=EOMONTH(DATE(PlanYear,12,1),0),IF(ISNUMBER($G425),$G425,$F425)&gt;=DATE(PlanYear,12,1)),1,0))</f>
        <v>0</v>
      </c>
      <c r="AA425">
        <f>SUM($O425:$Z425)</f>
        <v>0</v>
      </c>
    </row>
    <row r="426" spans="1:27">
      <c r="A426" s="42">
        <f>IF($B426="","","ACT-"&amp;TEXT(ROW()-4,"000"))</f>
        <v>0</v>
      </c>
      <c r="M426" s="43">
        <f>IF(COUNTA($B426:$K426)=0,"",IF($B426="","Missing activity name",IF($C426="","Missing practice",IF(COUNTIF(PracticeNames,$C426)=0,"Practice not in Lists",IF($D426="","Missing motion",IF(NOT(ISNUMBER($F426)),"Missing or invalid start date",IF(AND(ISNUMBER($G426),$G426&lt;$F426),"End date before start",IF(AND($N426=1,$AA426=0),"Outside planning year","OK"))))))))</f>
        <v>0</v>
      </c>
      <c r="N426">
        <f>IF(AND($B426&lt;&gt;"",$C426&lt;&gt;"",$D426&lt;&gt;"",ISNUMBER($F426),COUNTIF(PracticeNames,$C426)&gt;0,COUNTIF(MotionNames,$D426)&gt;0,NOT(AND(ISNUMBER($G426),$G426&lt;$F426))),IF(StatusFilter="All (excl. Cancelled)",IF($H426="Cancelled",0,1),IF(StatusFilter="All",1,IF($H426=StatusFilter,1,0))),0)</f>
        <v>0</v>
      </c>
      <c r="O426">
        <f>IF($N426=0,0,IF(AND($F426&lt;=EOMONTH(DATE(PlanYear,1,1),0),IF(ISNUMBER($G426),$G426,$F426)&gt;=DATE(PlanYear,1,1)),1,0))</f>
        <v>0</v>
      </c>
      <c r="P426">
        <f>IF($N426=0,0,IF(AND($F426&lt;=EOMONTH(DATE(PlanYear,2,1),0),IF(ISNUMBER($G426),$G426,$F426)&gt;=DATE(PlanYear,2,1)),1,0))</f>
        <v>0</v>
      </c>
      <c r="Q426">
        <f>IF($N426=0,0,IF(AND($F426&lt;=EOMONTH(DATE(PlanYear,3,1),0),IF(ISNUMBER($G426),$G426,$F426)&gt;=DATE(PlanYear,3,1)),1,0))</f>
        <v>0</v>
      </c>
      <c r="R426">
        <f>IF($N426=0,0,IF(AND($F426&lt;=EOMONTH(DATE(PlanYear,4,1),0),IF(ISNUMBER($G426),$G426,$F426)&gt;=DATE(PlanYear,4,1)),1,0))</f>
        <v>0</v>
      </c>
      <c r="S426">
        <f>IF($N426=0,0,IF(AND($F426&lt;=EOMONTH(DATE(PlanYear,5,1),0),IF(ISNUMBER($G426),$G426,$F426)&gt;=DATE(PlanYear,5,1)),1,0))</f>
        <v>0</v>
      </c>
      <c r="T426">
        <f>IF($N426=0,0,IF(AND($F426&lt;=EOMONTH(DATE(PlanYear,6,1),0),IF(ISNUMBER($G426),$G426,$F426)&gt;=DATE(PlanYear,6,1)),1,0))</f>
        <v>0</v>
      </c>
      <c r="U426">
        <f>IF($N426=0,0,IF(AND($F426&lt;=EOMONTH(DATE(PlanYear,7,1),0),IF(ISNUMBER($G426),$G426,$F426)&gt;=DATE(PlanYear,7,1)),1,0))</f>
        <v>0</v>
      </c>
      <c r="V426">
        <f>IF($N426=0,0,IF(AND($F426&lt;=EOMONTH(DATE(PlanYear,8,1),0),IF(ISNUMBER($G426),$G426,$F426)&gt;=DATE(PlanYear,8,1)),1,0))</f>
        <v>0</v>
      </c>
      <c r="W426">
        <f>IF($N426=0,0,IF(AND($F426&lt;=EOMONTH(DATE(PlanYear,9,1),0),IF(ISNUMBER($G426),$G426,$F426)&gt;=DATE(PlanYear,9,1)),1,0))</f>
        <v>0</v>
      </c>
      <c r="X426">
        <f>IF($N426=0,0,IF(AND($F426&lt;=EOMONTH(DATE(PlanYear,10,1),0),IF(ISNUMBER($G426),$G426,$F426)&gt;=DATE(PlanYear,10,1)),1,0))</f>
        <v>0</v>
      </c>
      <c r="Y426">
        <f>IF($N426=0,0,IF(AND($F426&lt;=EOMONTH(DATE(PlanYear,11,1),0),IF(ISNUMBER($G426),$G426,$F426)&gt;=DATE(PlanYear,11,1)),1,0))</f>
        <v>0</v>
      </c>
      <c r="Z426">
        <f>IF($N426=0,0,IF(AND($F426&lt;=EOMONTH(DATE(PlanYear,12,1),0),IF(ISNUMBER($G426),$G426,$F426)&gt;=DATE(PlanYear,12,1)),1,0))</f>
        <v>0</v>
      </c>
      <c r="AA426">
        <f>SUM($O426:$Z426)</f>
        <v>0</v>
      </c>
    </row>
    <row r="427" spans="1:27">
      <c r="A427" s="42">
        <f>IF($B427="","","ACT-"&amp;TEXT(ROW()-4,"000"))</f>
        <v>0</v>
      </c>
      <c r="M427" s="43">
        <f>IF(COUNTA($B427:$K427)=0,"",IF($B427="","Missing activity name",IF($C427="","Missing practice",IF(COUNTIF(PracticeNames,$C427)=0,"Practice not in Lists",IF($D427="","Missing motion",IF(NOT(ISNUMBER($F427)),"Missing or invalid start date",IF(AND(ISNUMBER($G427),$G427&lt;$F427),"End date before start",IF(AND($N427=1,$AA427=0),"Outside planning year","OK"))))))))</f>
        <v>0</v>
      </c>
      <c r="N427">
        <f>IF(AND($B427&lt;&gt;"",$C427&lt;&gt;"",$D427&lt;&gt;"",ISNUMBER($F427),COUNTIF(PracticeNames,$C427)&gt;0,COUNTIF(MotionNames,$D427)&gt;0,NOT(AND(ISNUMBER($G427),$G427&lt;$F427))),IF(StatusFilter="All (excl. Cancelled)",IF($H427="Cancelled",0,1),IF(StatusFilter="All",1,IF($H427=StatusFilter,1,0))),0)</f>
        <v>0</v>
      </c>
      <c r="O427">
        <f>IF($N427=0,0,IF(AND($F427&lt;=EOMONTH(DATE(PlanYear,1,1),0),IF(ISNUMBER($G427),$G427,$F427)&gt;=DATE(PlanYear,1,1)),1,0))</f>
        <v>0</v>
      </c>
      <c r="P427">
        <f>IF($N427=0,0,IF(AND($F427&lt;=EOMONTH(DATE(PlanYear,2,1),0),IF(ISNUMBER($G427),$G427,$F427)&gt;=DATE(PlanYear,2,1)),1,0))</f>
        <v>0</v>
      </c>
      <c r="Q427">
        <f>IF($N427=0,0,IF(AND($F427&lt;=EOMONTH(DATE(PlanYear,3,1),0),IF(ISNUMBER($G427),$G427,$F427)&gt;=DATE(PlanYear,3,1)),1,0))</f>
        <v>0</v>
      </c>
      <c r="R427">
        <f>IF($N427=0,0,IF(AND($F427&lt;=EOMONTH(DATE(PlanYear,4,1),0),IF(ISNUMBER($G427),$G427,$F427)&gt;=DATE(PlanYear,4,1)),1,0))</f>
        <v>0</v>
      </c>
      <c r="S427">
        <f>IF($N427=0,0,IF(AND($F427&lt;=EOMONTH(DATE(PlanYear,5,1),0),IF(ISNUMBER($G427),$G427,$F427)&gt;=DATE(PlanYear,5,1)),1,0))</f>
        <v>0</v>
      </c>
      <c r="T427">
        <f>IF($N427=0,0,IF(AND($F427&lt;=EOMONTH(DATE(PlanYear,6,1),0),IF(ISNUMBER($G427),$G427,$F427)&gt;=DATE(PlanYear,6,1)),1,0))</f>
        <v>0</v>
      </c>
      <c r="U427">
        <f>IF($N427=0,0,IF(AND($F427&lt;=EOMONTH(DATE(PlanYear,7,1),0),IF(ISNUMBER($G427),$G427,$F427)&gt;=DATE(PlanYear,7,1)),1,0))</f>
        <v>0</v>
      </c>
      <c r="V427">
        <f>IF($N427=0,0,IF(AND($F427&lt;=EOMONTH(DATE(PlanYear,8,1),0),IF(ISNUMBER($G427),$G427,$F427)&gt;=DATE(PlanYear,8,1)),1,0))</f>
        <v>0</v>
      </c>
      <c r="W427">
        <f>IF($N427=0,0,IF(AND($F427&lt;=EOMONTH(DATE(PlanYear,9,1),0),IF(ISNUMBER($G427),$G427,$F427)&gt;=DATE(PlanYear,9,1)),1,0))</f>
        <v>0</v>
      </c>
      <c r="X427">
        <f>IF($N427=0,0,IF(AND($F427&lt;=EOMONTH(DATE(PlanYear,10,1),0),IF(ISNUMBER($G427),$G427,$F427)&gt;=DATE(PlanYear,10,1)),1,0))</f>
        <v>0</v>
      </c>
      <c r="Y427">
        <f>IF($N427=0,0,IF(AND($F427&lt;=EOMONTH(DATE(PlanYear,11,1),0),IF(ISNUMBER($G427),$G427,$F427)&gt;=DATE(PlanYear,11,1)),1,0))</f>
        <v>0</v>
      </c>
      <c r="Z427">
        <f>IF($N427=0,0,IF(AND($F427&lt;=EOMONTH(DATE(PlanYear,12,1),0),IF(ISNUMBER($G427),$G427,$F427)&gt;=DATE(PlanYear,12,1)),1,0))</f>
        <v>0</v>
      </c>
      <c r="AA427">
        <f>SUM($O427:$Z427)</f>
        <v>0</v>
      </c>
    </row>
    <row r="428" spans="1:27">
      <c r="A428" s="42">
        <f>IF($B428="","","ACT-"&amp;TEXT(ROW()-4,"000"))</f>
        <v>0</v>
      </c>
      <c r="M428" s="43">
        <f>IF(COUNTA($B428:$K428)=0,"",IF($B428="","Missing activity name",IF($C428="","Missing practice",IF(COUNTIF(PracticeNames,$C428)=0,"Practice not in Lists",IF($D428="","Missing motion",IF(NOT(ISNUMBER($F428)),"Missing or invalid start date",IF(AND(ISNUMBER($G428),$G428&lt;$F428),"End date before start",IF(AND($N428=1,$AA428=0),"Outside planning year","OK"))))))))</f>
        <v>0</v>
      </c>
      <c r="N428">
        <f>IF(AND($B428&lt;&gt;"",$C428&lt;&gt;"",$D428&lt;&gt;"",ISNUMBER($F428),COUNTIF(PracticeNames,$C428)&gt;0,COUNTIF(MotionNames,$D428)&gt;0,NOT(AND(ISNUMBER($G428),$G428&lt;$F428))),IF(StatusFilter="All (excl. Cancelled)",IF($H428="Cancelled",0,1),IF(StatusFilter="All",1,IF($H428=StatusFilter,1,0))),0)</f>
        <v>0</v>
      </c>
      <c r="O428">
        <f>IF($N428=0,0,IF(AND($F428&lt;=EOMONTH(DATE(PlanYear,1,1),0),IF(ISNUMBER($G428),$G428,$F428)&gt;=DATE(PlanYear,1,1)),1,0))</f>
        <v>0</v>
      </c>
      <c r="P428">
        <f>IF($N428=0,0,IF(AND($F428&lt;=EOMONTH(DATE(PlanYear,2,1),0),IF(ISNUMBER($G428),$G428,$F428)&gt;=DATE(PlanYear,2,1)),1,0))</f>
        <v>0</v>
      </c>
      <c r="Q428">
        <f>IF($N428=0,0,IF(AND($F428&lt;=EOMONTH(DATE(PlanYear,3,1),0),IF(ISNUMBER($G428),$G428,$F428)&gt;=DATE(PlanYear,3,1)),1,0))</f>
        <v>0</v>
      </c>
      <c r="R428">
        <f>IF($N428=0,0,IF(AND($F428&lt;=EOMONTH(DATE(PlanYear,4,1),0),IF(ISNUMBER($G428),$G428,$F428)&gt;=DATE(PlanYear,4,1)),1,0))</f>
        <v>0</v>
      </c>
      <c r="S428">
        <f>IF($N428=0,0,IF(AND($F428&lt;=EOMONTH(DATE(PlanYear,5,1),0),IF(ISNUMBER($G428),$G428,$F428)&gt;=DATE(PlanYear,5,1)),1,0))</f>
        <v>0</v>
      </c>
      <c r="T428">
        <f>IF($N428=0,0,IF(AND($F428&lt;=EOMONTH(DATE(PlanYear,6,1),0),IF(ISNUMBER($G428),$G428,$F428)&gt;=DATE(PlanYear,6,1)),1,0))</f>
        <v>0</v>
      </c>
      <c r="U428">
        <f>IF($N428=0,0,IF(AND($F428&lt;=EOMONTH(DATE(PlanYear,7,1),0),IF(ISNUMBER($G428),$G428,$F428)&gt;=DATE(PlanYear,7,1)),1,0))</f>
        <v>0</v>
      </c>
      <c r="V428">
        <f>IF($N428=0,0,IF(AND($F428&lt;=EOMONTH(DATE(PlanYear,8,1),0),IF(ISNUMBER($G428),$G428,$F428)&gt;=DATE(PlanYear,8,1)),1,0))</f>
        <v>0</v>
      </c>
      <c r="W428">
        <f>IF($N428=0,0,IF(AND($F428&lt;=EOMONTH(DATE(PlanYear,9,1),0),IF(ISNUMBER($G428),$G428,$F428)&gt;=DATE(PlanYear,9,1)),1,0))</f>
        <v>0</v>
      </c>
      <c r="X428">
        <f>IF($N428=0,0,IF(AND($F428&lt;=EOMONTH(DATE(PlanYear,10,1),0),IF(ISNUMBER($G428),$G428,$F428)&gt;=DATE(PlanYear,10,1)),1,0))</f>
        <v>0</v>
      </c>
      <c r="Y428">
        <f>IF($N428=0,0,IF(AND($F428&lt;=EOMONTH(DATE(PlanYear,11,1),0),IF(ISNUMBER($G428),$G428,$F428)&gt;=DATE(PlanYear,11,1)),1,0))</f>
        <v>0</v>
      </c>
      <c r="Z428">
        <f>IF($N428=0,0,IF(AND($F428&lt;=EOMONTH(DATE(PlanYear,12,1),0),IF(ISNUMBER($G428),$G428,$F428)&gt;=DATE(PlanYear,12,1)),1,0))</f>
        <v>0</v>
      </c>
      <c r="AA428">
        <f>SUM($O428:$Z428)</f>
        <v>0</v>
      </c>
    </row>
    <row r="429" spans="1:27">
      <c r="A429" s="42">
        <f>IF($B429="","","ACT-"&amp;TEXT(ROW()-4,"000"))</f>
        <v>0</v>
      </c>
      <c r="M429" s="43">
        <f>IF(COUNTA($B429:$K429)=0,"",IF($B429="","Missing activity name",IF($C429="","Missing practice",IF(COUNTIF(PracticeNames,$C429)=0,"Practice not in Lists",IF($D429="","Missing motion",IF(NOT(ISNUMBER($F429)),"Missing or invalid start date",IF(AND(ISNUMBER($G429),$G429&lt;$F429),"End date before start",IF(AND($N429=1,$AA429=0),"Outside planning year","OK"))))))))</f>
        <v>0</v>
      </c>
      <c r="N429">
        <f>IF(AND($B429&lt;&gt;"",$C429&lt;&gt;"",$D429&lt;&gt;"",ISNUMBER($F429),COUNTIF(PracticeNames,$C429)&gt;0,COUNTIF(MotionNames,$D429)&gt;0,NOT(AND(ISNUMBER($G429),$G429&lt;$F429))),IF(StatusFilter="All (excl. Cancelled)",IF($H429="Cancelled",0,1),IF(StatusFilter="All",1,IF($H429=StatusFilter,1,0))),0)</f>
        <v>0</v>
      </c>
      <c r="O429">
        <f>IF($N429=0,0,IF(AND($F429&lt;=EOMONTH(DATE(PlanYear,1,1),0),IF(ISNUMBER($G429),$G429,$F429)&gt;=DATE(PlanYear,1,1)),1,0))</f>
        <v>0</v>
      </c>
      <c r="P429">
        <f>IF($N429=0,0,IF(AND($F429&lt;=EOMONTH(DATE(PlanYear,2,1),0),IF(ISNUMBER($G429),$G429,$F429)&gt;=DATE(PlanYear,2,1)),1,0))</f>
        <v>0</v>
      </c>
      <c r="Q429">
        <f>IF($N429=0,0,IF(AND($F429&lt;=EOMONTH(DATE(PlanYear,3,1),0),IF(ISNUMBER($G429),$G429,$F429)&gt;=DATE(PlanYear,3,1)),1,0))</f>
        <v>0</v>
      </c>
      <c r="R429">
        <f>IF($N429=0,0,IF(AND($F429&lt;=EOMONTH(DATE(PlanYear,4,1),0),IF(ISNUMBER($G429),$G429,$F429)&gt;=DATE(PlanYear,4,1)),1,0))</f>
        <v>0</v>
      </c>
      <c r="S429">
        <f>IF($N429=0,0,IF(AND($F429&lt;=EOMONTH(DATE(PlanYear,5,1),0),IF(ISNUMBER($G429),$G429,$F429)&gt;=DATE(PlanYear,5,1)),1,0))</f>
        <v>0</v>
      </c>
      <c r="T429">
        <f>IF($N429=0,0,IF(AND($F429&lt;=EOMONTH(DATE(PlanYear,6,1),0),IF(ISNUMBER($G429),$G429,$F429)&gt;=DATE(PlanYear,6,1)),1,0))</f>
        <v>0</v>
      </c>
      <c r="U429">
        <f>IF($N429=0,0,IF(AND($F429&lt;=EOMONTH(DATE(PlanYear,7,1),0),IF(ISNUMBER($G429),$G429,$F429)&gt;=DATE(PlanYear,7,1)),1,0))</f>
        <v>0</v>
      </c>
      <c r="V429">
        <f>IF($N429=0,0,IF(AND($F429&lt;=EOMONTH(DATE(PlanYear,8,1),0),IF(ISNUMBER($G429),$G429,$F429)&gt;=DATE(PlanYear,8,1)),1,0))</f>
        <v>0</v>
      </c>
      <c r="W429">
        <f>IF($N429=0,0,IF(AND($F429&lt;=EOMONTH(DATE(PlanYear,9,1),0),IF(ISNUMBER($G429),$G429,$F429)&gt;=DATE(PlanYear,9,1)),1,0))</f>
        <v>0</v>
      </c>
      <c r="X429">
        <f>IF($N429=0,0,IF(AND($F429&lt;=EOMONTH(DATE(PlanYear,10,1),0),IF(ISNUMBER($G429),$G429,$F429)&gt;=DATE(PlanYear,10,1)),1,0))</f>
        <v>0</v>
      </c>
      <c r="Y429">
        <f>IF($N429=0,0,IF(AND($F429&lt;=EOMONTH(DATE(PlanYear,11,1),0),IF(ISNUMBER($G429),$G429,$F429)&gt;=DATE(PlanYear,11,1)),1,0))</f>
        <v>0</v>
      </c>
      <c r="Z429">
        <f>IF($N429=0,0,IF(AND($F429&lt;=EOMONTH(DATE(PlanYear,12,1),0),IF(ISNUMBER($G429),$G429,$F429)&gt;=DATE(PlanYear,12,1)),1,0))</f>
        <v>0</v>
      </c>
      <c r="AA429">
        <f>SUM($O429:$Z429)</f>
        <v>0</v>
      </c>
    </row>
    <row r="430" spans="1:27">
      <c r="A430" s="42">
        <f>IF($B430="","","ACT-"&amp;TEXT(ROW()-4,"000"))</f>
        <v>0</v>
      </c>
      <c r="M430" s="43">
        <f>IF(COUNTA($B430:$K430)=0,"",IF($B430="","Missing activity name",IF($C430="","Missing practice",IF(COUNTIF(PracticeNames,$C430)=0,"Practice not in Lists",IF($D430="","Missing motion",IF(NOT(ISNUMBER($F430)),"Missing or invalid start date",IF(AND(ISNUMBER($G430),$G430&lt;$F430),"End date before start",IF(AND($N430=1,$AA430=0),"Outside planning year","OK"))))))))</f>
        <v>0</v>
      </c>
      <c r="N430">
        <f>IF(AND($B430&lt;&gt;"",$C430&lt;&gt;"",$D430&lt;&gt;"",ISNUMBER($F430),COUNTIF(PracticeNames,$C430)&gt;0,COUNTIF(MotionNames,$D430)&gt;0,NOT(AND(ISNUMBER($G430),$G430&lt;$F430))),IF(StatusFilter="All (excl. Cancelled)",IF($H430="Cancelled",0,1),IF(StatusFilter="All",1,IF($H430=StatusFilter,1,0))),0)</f>
        <v>0</v>
      </c>
      <c r="O430">
        <f>IF($N430=0,0,IF(AND($F430&lt;=EOMONTH(DATE(PlanYear,1,1),0),IF(ISNUMBER($G430),$G430,$F430)&gt;=DATE(PlanYear,1,1)),1,0))</f>
        <v>0</v>
      </c>
      <c r="P430">
        <f>IF($N430=0,0,IF(AND($F430&lt;=EOMONTH(DATE(PlanYear,2,1),0),IF(ISNUMBER($G430),$G430,$F430)&gt;=DATE(PlanYear,2,1)),1,0))</f>
        <v>0</v>
      </c>
      <c r="Q430">
        <f>IF($N430=0,0,IF(AND($F430&lt;=EOMONTH(DATE(PlanYear,3,1),0),IF(ISNUMBER($G430),$G430,$F430)&gt;=DATE(PlanYear,3,1)),1,0))</f>
        <v>0</v>
      </c>
      <c r="R430">
        <f>IF($N430=0,0,IF(AND($F430&lt;=EOMONTH(DATE(PlanYear,4,1),0),IF(ISNUMBER($G430),$G430,$F430)&gt;=DATE(PlanYear,4,1)),1,0))</f>
        <v>0</v>
      </c>
      <c r="S430">
        <f>IF($N430=0,0,IF(AND($F430&lt;=EOMONTH(DATE(PlanYear,5,1),0),IF(ISNUMBER($G430),$G430,$F430)&gt;=DATE(PlanYear,5,1)),1,0))</f>
        <v>0</v>
      </c>
      <c r="T430">
        <f>IF($N430=0,0,IF(AND($F430&lt;=EOMONTH(DATE(PlanYear,6,1),0),IF(ISNUMBER($G430),$G430,$F430)&gt;=DATE(PlanYear,6,1)),1,0))</f>
        <v>0</v>
      </c>
      <c r="U430">
        <f>IF($N430=0,0,IF(AND($F430&lt;=EOMONTH(DATE(PlanYear,7,1),0),IF(ISNUMBER($G430),$G430,$F430)&gt;=DATE(PlanYear,7,1)),1,0))</f>
        <v>0</v>
      </c>
      <c r="V430">
        <f>IF($N430=0,0,IF(AND($F430&lt;=EOMONTH(DATE(PlanYear,8,1),0),IF(ISNUMBER($G430),$G430,$F430)&gt;=DATE(PlanYear,8,1)),1,0))</f>
        <v>0</v>
      </c>
      <c r="W430">
        <f>IF($N430=0,0,IF(AND($F430&lt;=EOMONTH(DATE(PlanYear,9,1),0),IF(ISNUMBER($G430),$G430,$F430)&gt;=DATE(PlanYear,9,1)),1,0))</f>
        <v>0</v>
      </c>
      <c r="X430">
        <f>IF($N430=0,0,IF(AND($F430&lt;=EOMONTH(DATE(PlanYear,10,1),0),IF(ISNUMBER($G430),$G430,$F430)&gt;=DATE(PlanYear,10,1)),1,0))</f>
        <v>0</v>
      </c>
      <c r="Y430">
        <f>IF($N430=0,0,IF(AND($F430&lt;=EOMONTH(DATE(PlanYear,11,1),0),IF(ISNUMBER($G430),$G430,$F430)&gt;=DATE(PlanYear,11,1)),1,0))</f>
        <v>0</v>
      </c>
      <c r="Z430">
        <f>IF($N430=0,0,IF(AND($F430&lt;=EOMONTH(DATE(PlanYear,12,1),0),IF(ISNUMBER($G430),$G430,$F430)&gt;=DATE(PlanYear,12,1)),1,0))</f>
        <v>0</v>
      </c>
      <c r="AA430">
        <f>SUM($O430:$Z430)</f>
        <v>0</v>
      </c>
    </row>
    <row r="431" spans="1:27">
      <c r="A431" s="42">
        <f>IF($B431="","","ACT-"&amp;TEXT(ROW()-4,"000"))</f>
        <v>0</v>
      </c>
      <c r="M431" s="43">
        <f>IF(COUNTA($B431:$K431)=0,"",IF($B431="","Missing activity name",IF($C431="","Missing practice",IF(COUNTIF(PracticeNames,$C431)=0,"Practice not in Lists",IF($D431="","Missing motion",IF(NOT(ISNUMBER($F431)),"Missing or invalid start date",IF(AND(ISNUMBER($G431),$G431&lt;$F431),"End date before start",IF(AND($N431=1,$AA431=0),"Outside planning year","OK"))))))))</f>
        <v>0</v>
      </c>
      <c r="N431">
        <f>IF(AND($B431&lt;&gt;"",$C431&lt;&gt;"",$D431&lt;&gt;"",ISNUMBER($F431),COUNTIF(PracticeNames,$C431)&gt;0,COUNTIF(MotionNames,$D431)&gt;0,NOT(AND(ISNUMBER($G431),$G431&lt;$F431))),IF(StatusFilter="All (excl. Cancelled)",IF($H431="Cancelled",0,1),IF(StatusFilter="All",1,IF($H431=StatusFilter,1,0))),0)</f>
        <v>0</v>
      </c>
      <c r="O431">
        <f>IF($N431=0,0,IF(AND($F431&lt;=EOMONTH(DATE(PlanYear,1,1),0),IF(ISNUMBER($G431),$G431,$F431)&gt;=DATE(PlanYear,1,1)),1,0))</f>
        <v>0</v>
      </c>
      <c r="P431">
        <f>IF($N431=0,0,IF(AND($F431&lt;=EOMONTH(DATE(PlanYear,2,1),0),IF(ISNUMBER($G431),$G431,$F431)&gt;=DATE(PlanYear,2,1)),1,0))</f>
        <v>0</v>
      </c>
      <c r="Q431">
        <f>IF($N431=0,0,IF(AND($F431&lt;=EOMONTH(DATE(PlanYear,3,1),0),IF(ISNUMBER($G431),$G431,$F431)&gt;=DATE(PlanYear,3,1)),1,0))</f>
        <v>0</v>
      </c>
      <c r="R431">
        <f>IF($N431=0,0,IF(AND($F431&lt;=EOMONTH(DATE(PlanYear,4,1),0),IF(ISNUMBER($G431),$G431,$F431)&gt;=DATE(PlanYear,4,1)),1,0))</f>
        <v>0</v>
      </c>
      <c r="S431">
        <f>IF($N431=0,0,IF(AND($F431&lt;=EOMONTH(DATE(PlanYear,5,1),0),IF(ISNUMBER($G431),$G431,$F431)&gt;=DATE(PlanYear,5,1)),1,0))</f>
        <v>0</v>
      </c>
      <c r="T431">
        <f>IF($N431=0,0,IF(AND($F431&lt;=EOMONTH(DATE(PlanYear,6,1),0),IF(ISNUMBER($G431),$G431,$F431)&gt;=DATE(PlanYear,6,1)),1,0))</f>
        <v>0</v>
      </c>
      <c r="U431">
        <f>IF($N431=0,0,IF(AND($F431&lt;=EOMONTH(DATE(PlanYear,7,1),0),IF(ISNUMBER($G431),$G431,$F431)&gt;=DATE(PlanYear,7,1)),1,0))</f>
        <v>0</v>
      </c>
      <c r="V431">
        <f>IF($N431=0,0,IF(AND($F431&lt;=EOMONTH(DATE(PlanYear,8,1),0),IF(ISNUMBER($G431),$G431,$F431)&gt;=DATE(PlanYear,8,1)),1,0))</f>
        <v>0</v>
      </c>
      <c r="W431">
        <f>IF($N431=0,0,IF(AND($F431&lt;=EOMONTH(DATE(PlanYear,9,1),0),IF(ISNUMBER($G431),$G431,$F431)&gt;=DATE(PlanYear,9,1)),1,0))</f>
        <v>0</v>
      </c>
      <c r="X431">
        <f>IF($N431=0,0,IF(AND($F431&lt;=EOMONTH(DATE(PlanYear,10,1),0),IF(ISNUMBER($G431),$G431,$F431)&gt;=DATE(PlanYear,10,1)),1,0))</f>
        <v>0</v>
      </c>
      <c r="Y431">
        <f>IF($N431=0,0,IF(AND($F431&lt;=EOMONTH(DATE(PlanYear,11,1),0),IF(ISNUMBER($G431),$G431,$F431)&gt;=DATE(PlanYear,11,1)),1,0))</f>
        <v>0</v>
      </c>
      <c r="Z431">
        <f>IF($N431=0,0,IF(AND($F431&lt;=EOMONTH(DATE(PlanYear,12,1),0),IF(ISNUMBER($G431),$G431,$F431)&gt;=DATE(PlanYear,12,1)),1,0))</f>
        <v>0</v>
      </c>
      <c r="AA431">
        <f>SUM($O431:$Z431)</f>
        <v>0</v>
      </c>
    </row>
    <row r="432" spans="1:27">
      <c r="A432" s="42">
        <f>IF($B432="","","ACT-"&amp;TEXT(ROW()-4,"000"))</f>
        <v>0</v>
      </c>
      <c r="M432" s="43">
        <f>IF(COUNTA($B432:$K432)=0,"",IF($B432="","Missing activity name",IF($C432="","Missing practice",IF(COUNTIF(PracticeNames,$C432)=0,"Practice not in Lists",IF($D432="","Missing motion",IF(NOT(ISNUMBER($F432)),"Missing or invalid start date",IF(AND(ISNUMBER($G432),$G432&lt;$F432),"End date before start",IF(AND($N432=1,$AA432=0),"Outside planning year","OK"))))))))</f>
        <v>0</v>
      </c>
      <c r="N432">
        <f>IF(AND($B432&lt;&gt;"",$C432&lt;&gt;"",$D432&lt;&gt;"",ISNUMBER($F432),COUNTIF(PracticeNames,$C432)&gt;0,COUNTIF(MotionNames,$D432)&gt;0,NOT(AND(ISNUMBER($G432),$G432&lt;$F432))),IF(StatusFilter="All (excl. Cancelled)",IF($H432="Cancelled",0,1),IF(StatusFilter="All",1,IF($H432=StatusFilter,1,0))),0)</f>
        <v>0</v>
      </c>
      <c r="O432">
        <f>IF($N432=0,0,IF(AND($F432&lt;=EOMONTH(DATE(PlanYear,1,1),0),IF(ISNUMBER($G432),$G432,$F432)&gt;=DATE(PlanYear,1,1)),1,0))</f>
        <v>0</v>
      </c>
      <c r="P432">
        <f>IF($N432=0,0,IF(AND($F432&lt;=EOMONTH(DATE(PlanYear,2,1),0),IF(ISNUMBER($G432),$G432,$F432)&gt;=DATE(PlanYear,2,1)),1,0))</f>
        <v>0</v>
      </c>
      <c r="Q432">
        <f>IF($N432=0,0,IF(AND($F432&lt;=EOMONTH(DATE(PlanYear,3,1),0),IF(ISNUMBER($G432),$G432,$F432)&gt;=DATE(PlanYear,3,1)),1,0))</f>
        <v>0</v>
      </c>
      <c r="R432">
        <f>IF($N432=0,0,IF(AND($F432&lt;=EOMONTH(DATE(PlanYear,4,1),0),IF(ISNUMBER($G432),$G432,$F432)&gt;=DATE(PlanYear,4,1)),1,0))</f>
        <v>0</v>
      </c>
      <c r="S432">
        <f>IF($N432=0,0,IF(AND($F432&lt;=EOMONTH(DATE(PlanYear,5,1),0),IF(ISNUMBER($G432),$G432,$F432)&gt;=DATE(PlanYear,5,1)),1,0))</f>
        <v>0</v>
      </c>
      <c r="T432">
        <f>IF($N432=0,0,IF(AND($F432&lt;=EOMONTH(DATE(PlanYear,6,1),0),IF(ISNUMBER($G432),$G432,$F432)&gt;=DATE(PlanYear,6,1)),1,0))</f>
        <v>0</v>
      </c>
      <c r="U432">
        <f>IF($N432=0,0,IF(AND($F432&lt;=EOMONTH(DATE(PlanYear,7,1),0),IF(ISNUMBER($G432),$G432,$F432)&gt;=DATE(PlanYear,7,1)),1,0))</f>
        <v>0</v>
      </c>
      <c r="V432">
        <f>IF($N432=0,0,IF(AND($F432&lt;=EOMONTH(DATE(PlanYear,8,1),0),IF(ISNUMBER($G432),$G432,$F432)&gt;=DATE(PlanYear,8,1)),1,0))</f>
        <v>0</v>
      </c>
      <c r="W432">
        <f>IF($N432=0,0,IF(AND($F432&lt;=EOMONTH(DATE(PlanYear,9,1),0),IF(ISNUMBER($G432),$G432,$F432)&gt;=DATE(PlanYear,9,1)),1,0))</f>
        <v>0</v>
      </c>
      <c r="X432">
        <f>IF($N432=0,0,IF(AND($F432&lt;=EOMONTH(DATE(PlanYear,10,1),0),IF(ISNUMBER($G432),$G432,$F432)&gt;=DATE(PlanYear,10,1)),1,0))</f>
        <v>0</v>
      </c>
      <c r="Y432">
        <f>IF($N432=0,0,IF(AND($F432&lt;=EOMONTH(DATE(PlanYear,11,1),0),IF(ISNUMBER($G432),$G432,$F432)&gt;=DATE(PlanYear,11,1)),1,0))</f>
        <v>0</v>
      </c>
      <c r="Z432">
        <f>IF($N432=0,0,IF(AND($F432&lt;=EOMONTH(DATE(PlanYear,12,1),0),IF(ISNUMBER($G432),$G432,$F432)&gt;=DATE(PlanYear,12,1)),1,0))</f>
        <v>0</v>
      </c>
      <c r="AA432">
        <f>SUM($O432:$Z432)</f>
        <v>0</v>
      </c>
    </row>
    <row r="433" spans="1:27">
      <c r="A433" s="42">
        <f>IF($B433="","","ACT-"&amp;TEXT(ROW()-4,"000"))</f>
        <v>0</v>
      </c>
      <c r="M433" s="43">
        <f>IF(COUNTA($B433:$K433)=0,"",IF($B433="","Missing activity name",IF($C433="","Missing practice",IF(COUNTIF(PracticeNames,$C433)=0,"Practice not in Lists",IF($D433="","Missing motion",IF(NOT(ISNUMBER($F433)),"Missing or invalid start date",IF(AND(ISNUMBER($G433),$G433&lt;$F433),"End date before start",IF(AND($N433=1,$AA433=0),"Outside planning year","OK"))))))))</f>
        <v>0</v>
      </c>
      <c r="N433">
        <f>IF(AND($B433&lt;&gt;"",$C433&lt;&gt;"",$D433&lt;&gt;"",ISNUMBER($F433),COUNTIF(PracticeNames,$C433)&gt;0,COUNTIF(MotionNames,$D433)&gt;0,NOT(AND(ISNUMBER($G433),$G433&lt;$F433))),IF(StatusFilter="All (excl. Cancelled)",IF($H433="Cancelled",0,1),IF(StatusFilter="All",1,IF($H433=StatusFilter,1,0))),0)</f>
        <v>0</v>
      </c>
      <c r="O433">
        <f>IF($N433=0,0,IF(AND($F433&lt;=EOMONTH(DATE(PlanYear,1,1),0),IF(ISNUMBER($G433),$G433,$F433)&gt;=DATE(PlanYear,1,1)),1,0))</f>
        <v>0</v>
      </c>
      <c r="P433">
        <f>IF($N433=0,0,IF(AND($F433&lt;=EOMONTH(DATE(PlanYear,2,1),0),IF(ISNUMBER($G433),$G433,$F433)&gt;=DATE(PlanYear,2,1)),1,0))</f>
        <v>0</v>
      </c>
      <c r="Q433">
        <f>IF($N433=0,0,IF(AND($F433&lt;=EOMONTH(DATE(PlanYear,3,1),0),IF(ISNUMBER($G433),$G433,$F433)&gt;=DATE(PlanYear,3,1)),1,0))</f>
        <v>0</v>
      </c>
      <c r="R433">
        <f>IF($N433=0,0,IF(AND($F433&lt;=EOMONTH(DATE(PlanYear,4,1),0),IF(ISNUMBER($G433),$G433,$F433)&gt;=DATE(PlanYear,4,1)),1,0))</f>
        <v>0</v>
      </c>
      <c r="S433">
        <f>IF($N433=0,0,IF(AND($F433&lt;=EOMONTH(DATE(PlanYear,5,1),0),IF(ISNUMBER($G433),$G433,$F433)&gt;=DATE(PlanYear,5,1)),1,0))</f>
        <v>0</v>
      </c>
      <c r="T433">
        <f>IF($N433=0,0,IF(AND($F433&lt;=EOMONTH(DATE(PlanYear,6,1),0),IF(ISNUMBER($G433),$G433,$F433)&gt;=DATE(PlanYear,6,1)),1,0))</f>
        <v>0</v>
      </c>
      <c r="U433">
        <f>IF($N433=0,0,IF(AND($F433&lt;=EOMONTH(DATE(PlanYear,7,1),0),IF(ISNUMBER($G433),$G433,$F433)&gt;=DATE(PlanYear,7,1)),1,0))</f>
        <v>0</v>
      </c>
      <c r="V433">
        <f>IF($N433=0,0,IF(AND($F433&lt;=EOMONTH(DATE(PlanYear,8,1),0),IF(ISNUMBER($G433),$G433,$F433)&gt;=DATE(PlanYear,8,1)),1,0))</f>
        <v>0</v>
      </c>
      <c r="W433">
        <f>IF($N433=0,0,IF(AND($F433&lt;=EOMONTH(DATE(PlanYear,9,1),0),IF(ISNUMBER($G433),$G433,$F433)&gt;=DATE(PlanYear,9,1)),1,0))</f>
        <v>0</v>
      </c>
      <c r="X433">
        <f>IF($N433=0,0,IF(AND($F433&lt;=EOMONTH(DATE(PlanYear,10,1),0),IF(ISNUMBER($G433),$G433,$F433)&gt;=DATE(PlanYear,10,1)),1,0))</f>
        <v>0</v>
      </c>
      <c r="Y433">
        <f>IF($N433=0,0,IF(AND($F433&lt;=EOMONTH(DATE(PlanYear,11,1),0),IF(ISNUMBER($G433),$G433,$F433)&gt;=DATE(PlanYear,11,1)),1,0))</f>
        <v>0</v>
      </c>
      <c r="Z433">
        <f>IF($N433=0,0,IF(AND($F433&lt;=EOMONTH(DATE(PlanYear,12,1),0),IF(ISNUMBER($G433),$G433,$F433)&gt;=DATE(PlanYear,12,1)),1,0))</f>
        <v>0</v>
      </c>
      <c r="AA433">
        <f>SUM($O433:$Z433)</f>
        <v>0</v>
      </c>
    </row>
    <row r="434" spans="1:27">
      <c r="A434" s="42">
        <f>IF($B434="","","ACT-"&amp;TEXT(ROW()-4,"000"))</f>
        <v>0</v>
      </c>
      <c r="M434" s="43">
        <f>IF(COUNTA($B434:$K434)=0,"",IF($B434="","Missing activity name",IF($C434="","Missing practice",IF(COUNTIF(PracticeNames,$C434)=0,"Practice not in Lists",IF($D434="","Missing motion",IF(NOT(ISNUMBER($F434)),"Missing or invalid start date",IF(AND(ISNUMBER($G434),$G434&lt;$F434),"End date before start",IF(AND($N434=1,$AA434=0),"Outside planning year","OK"))))))))</f>
        <v>0</v>
      </c>
      <c r="N434">
        <f>IF(AND($B434&lt;&gt;"",$C434&lt;&gt;"",$D434&lt;&gt;"",ISNUMBER($F434),COUNTIF(PracticeNames,$C434)&gt;0,COUNTIF(MotionNames,$D434)&gt;0,NOT(AND(ISNUMBER($G434),$G434&lt;$F434))),IF(StatusFilter="All (excl. Cancelled)",IF($H434="Cancelled",0,1),IF(StatusFilter="All",1,IF($H434=StatusFilter,1,0))),0)</f>
        <v>0</v>
      </c>
      <c r="O434">
        <f>IF($N434=0,0,IF(AND($F434&lt;=EOMONTH(DATE(PlanYear,1,1),0),IF(ISNUMBER($G434),$G434,$F434)&gt;=DATE(PlanYear,1,1)),1,0))</f>
        <v>0</v>
      </c>
      <c r="P434">
        <f>IF($N434=0,0,IF(AND($F434&lt;=EOMONTH(DATE(PlanYear,2,1),0),IF(ISNUMBER($G434),$G434,$F434)&gt;=DATE(PlanYear,2,1)),1,0))</f>
        <v>0</v>
      </c>
      <c r="Q434">
        <f>IF($N434=0,0,IF(AND($F434&lt;=EOMONTH(DATE(PlanYear,3,1),0),IF(ISNUMBER($G434),$G434,$F434)&gt;=DATE(PlanYear,3,1)),1,0))</f>
        <v>0</v>
      </c>
      <c r="R434">
        <f>IF($N434=0,0,IF(AND($F434&lt;=EOMONTH(DATE(PlanYear,4,1),0),IF(ISNUMBER($G434),$G434,$F434)&gt;=DATE(PlanYear,4,1)),1,0))</f>
        <v>0</v>
      </c>
      <c r="S434">
        <f>IF($N434=0,0,IF(AND($F434&lt;=EOMONTH(DATE(PlanYear,5,1),0),IF(ISNUMBER($G434),$G434,$F434)&gt;=DATE(PlanYear,5,1)),1,0))</f>
        <v>0</v>
      </c>
      <c r="T434">
        <f>IF($N434=0,0,IF(AND($F434&lt;=EOMONTH(DATE(PlanYear,6,1),0),IF(ISNUMBER($G434),$G434,$F434)&gt;=DATE(PlanYear,6,1)),1,0))</f>
        <v>0</v>
      </c>
      <c r="U434">
        <f>IF($N434=0,0,IF(AND($F434&lt;=EOMONTH(DATE(PlanYear,7,1),0),IF(ISNUMBER($G434),$G434,$F434)&gt;=DATE(PlanYear,7,1)),1,0))</f>
        <v>0</v>
      </c>
      <c r="V434">
        <f>IF($N434=0,0,IF(AND($F434&lt;=EOMONTH(DATE(PlanYear,8,1),0),IF(ISNUMBER($G434),$G434,$F434)&gt;=DATE(PlanYear,8,1)),1,0))</f>
        <v>0</v>
      </c>
      <c r="W434">
        <f>IF($N434=0,0,IF(AND($F434&lt;=EOMONTH(DATE(PlanYear,9,1),0),IF(ISNUMBER($G434),$G434,$F434)&gt;=DATE(PlanYear,9,1)),1,0))</f>
        <v>0</v>
      </c>
      <c r="X434">
        <f>IF($N434=0,0,IF(AND($F434&lt;=EOMONTH(DATE(PlanYear,10,1),0),IF(ISNUMBER($G434),$G434,$F434)&gt;=DATE(PlanYear,10,1)),1,0))</f>
        <v>0</v>
      </c>
      <c r="Y434">
        <f>IF($N434=0,0,IF(AND($F434&lt;=EOMONTH(DATE(PlanYear,11,1),0),IF(ISNUMBER($G434),$G434,$F434)&gt;=DATE(PlanYear,11,1)),1,0))</f>
        <v>0</v>
      </c>
      <c r="Z434">
        <f>IF($N434=0,0,IF(AND($F434&lt;=EOMONTH(DATE(PlanYear,12,1),0),IF(ISNUMBER($G434),$G434,$F434)&gt;=DATE(PlanYear,12,1)),1,0))</f>
        <v>0</v>
      </c>
      <c r="AA434">
        <f>SUM($O434:$Z434)</f>
        <v>0</v>
      </c>
    </row>
    <row r="435" spans="1:27">
      <c r="A435" s="42">
        <f>IF($B435="","","ACT-"&amp;TEXT(ROW()-4,"000"))</f>
        <v>0</v>
      </c>
      <c r="M435" s="43">
        <f>IF(COUNTA($B435:$K435)=0,"",IF($B435="","Missing activity name",IF($C435="","Missing practice",IF(COUNTIF(PracticeNames,$C435)=0,"Practice not in Lists",IF($D435="","Missing motion",IF(NOT(ISNUMBER($F435)),"Missing or invalid start date",IF(AND(ISNUMBER($G435),$G435&lt;$F435),"End date before start",IF(AND($N435=1,$AA435=0),"Outside planning year","OK"))))))))</f>
        <v>0</v>
      </c>
      <c r="N435">
        <f>IF(AND($B435&lt;&gt;"",$C435&lt;&gt;"",$D435&lt;&gt;"",ISNUMBER($F435),COUNTIF(PracticeNames,$C435)&gt;0,COUNTIF(MotionNames,$D435)&gt;0,NOT(AND(ISNUMBER($G435),$G435&lt;$F435))),IF(StatusFilter="All (excl. Cancelled)",IF($H435="Cancelled",0,1),IF(StatusFilter="All",1,IF($H435=StatusFilter,1,0))),0)</f>
        <v>0</v>
      </c>
      <c r="O435">
        <f>IF($N435=0,0,IF(AND($F435&lt;=EOMONTH(DATE(PlanYear,1,1),0),IF(ISNUMBER($G435),$G435,$F435)&gt;=DATE(PlanYear,1,1)),1,0))</f>
        <v>0</v>
      </c>
      <c r="P435">
        <f>IF($N435=0,0,IF(AND($F435&lt;=EOMONTH(DATE(PlanYear,2,1),0),IF(ISNUMBER($G435),$G435,$F435)&gt;=DATE(PlanYear,2,1)),1,0))</f>
        <v>0</v>
      </c>
      <c r="Q435">
        <f>IF($N435=0,0,IF(AND($F435&lt;=EOMONTH(DATE(PlanYear,3,1),0),IF(ISNUMBER($G435),$G435,$F435)&gt;=DATE(PlanYear,3,1)),1,0))</f>
        <v>0</v>
      </c>
      <c r="R435">
        <f>IF($N435=0,0,IF(AND($F435&lt;=EOMONTH(DATE(PlanYear,4,1),0),IF(ISNUMBER($G435),$G435,$F435)&gt;=DATE(PlanYear,4,1)),1,0))</f>
        <v>0</v>
      </c>
      <c r="S435">
        <f>IF($N435=0,0,IF(AND($F435&lt;=EOMONTH(DATE(PlanYear,5,1),0),IF(ISNUMBER($G435),$G435,$F435)&gt;=DATE(PlanYear,5,1)),1,0))</f>
        <v>0</v>
      </c>
      <c r="T435">
        <f>IF($N435=0,0,IF(AND($F435&lt;=EOMONTH(DATE(PlanYear,6,1),0),IF(ISNUMBER($G435),$G435,$F435)&gt;=DATE(PlanYear,6,1)),1,0))</f>
        <v>0</v>
      </c>
      <c r="U435">
        <f>IF($N435=0,0,IF(AND($F435&lt;=EOMONTH(DATE(PlanYear,7,1),0),IF(ISNUMBER($G435),$G435,$F435)&gt;=DATE(PlanYear,7,1)),1,0))</f>
        <v>0</v>
      </c>
      <c r="V435">
        <f>IF($N435=0,0,IF(AND($F435&lt;=EOMONTH(DATE(PlanYear,8,1),0),IF(ISNUMBER($G435),$G435,$F435)&gt;=DATE(PlanYear,8,1)),1,0))</f>
        <v>0</v>
      </c>
      <c r="W435">
        <f>IF($N435=0,0,IF(AND($F435&lt;=EOMONTH(DATE(PlanYear,9,1),0),IF(ISNUMBER($G435),$G435,$F435)&gt;=DATE(PlanYear,9,1)),1,0))</f>
        <v>0</v>
      </c>
      <c r="X435">
        <f>IF($N435=0,0,IF(AND($F435&lt;=EOMONTH(DATE(PlanYear,10,1),0),IF(ISNUMBER($G435),$G435,$F435)&gt;=DATE(PlanYear,10,1)),1,0))</f>
        <v>0</v>
      </c>
      <c r="Y435">
        <f>IF($N435=0,0,IF(AND($F435&lt;=EOMONTH(DATE(PlanYear,11,1),0),IF(ISNUMBER($G435),$G435,$F435)&gt;=DATE(PlanYear,11,1)),1,0))</f>
        <v>0</v>
      </c>
      <c r="Z435">
        <f>IF($N435=0,0,IF(AND($F435&lt;=EOMONTH(DATE(PlanYear,12,1),0),IF(ISNUMBER($G435),$G435,$F435)&gt;=DATE(PlanYear,12,1)),1,0))</f>
        <v>0</v>
      </c>
      <c r="AA435">
        <f>SUM($O435:$Z435)</f>
        <v>0</v>
      </c>
    </row>
    <row r="436" spans="1:27">
      <c r="A436" s="42">
        <f>IF($B436="","","ACT-"&amp;TEXT(ROW()-4,"000"))</f>
        <v>0</v>
      </c>
      <c r="M436" s="43">
        <f>IF(COUNTA($B436:$K436)=0,"",IF($B436="","Missing activity name",IF($C436="","Missing practice",IF(COUNTIF(PracticeNames,$C436)=0,"Practice not in Lists",IF($D436="","Missing motion",IF(NOT(ISNUMBER($F436)),"Missing or invalid start date",IF(AND(ISNUMBER($G436),$G436&lt;$F436),"End date before start",IF(AND($N436=1,$AA436=0),"Outside planning year","OK"))))))))</f>
        <v>0</v>
      </c>
      <c r="N436">
        <f>IF(AND($B436&lt;&gt;"",$C436&lt;&gt;"",$D436&lt;&gt;"",ISNUMBER($F436),COUNTIF(PracticeNames,$C436)&gt;0,COUNTIF(MotionNames,$D436)&gt;0,NOT(AND(ISNUMBER($G436),$G436&lt;$F436))),IF(StatusFilter="All (excl. Cancelled)",IF($H436="Cancelled",0,1),IF(StatusFilter="All",1,IF($H436=StatusFilter,1,0))),0)</f>
        <v>0</v>
      </c>
      <c r="O436">
        <f>IF($N436=0,0,IF(AND($F436&lt;=EOMONTH(DATE(PlanYear,1,1),0),IF(ISNUMBER($G436),$G436,$F436)&gt;=DATE(PlanYear,1,1)),1,0))</f>
        <v>0</v>
      </c>
      <c r="P436">
        <f>IF($N436=0,0,IF(AND($F436&lt;=EOMONTH(DATE(PlanYear,2,1),0),IF(ISNUMBER($G436),$G436,$F436)&gt;=DATE(PlanYear,2,1)),1,0))</f>
        <v>0</v>
      </c>
      <c r="Q436">
        <f>IF($N436=0,0,IF(AND($F436&lt;=EOMONTH(DATE(PlanYear,3,1),0),IF(ISNUMBER($G436),$G436,$F436)&gt;=DATE(PlanYear,3,1)),1,0))</f>
        <v>0</v>
      </c>
      <c r="R436">
        <f>IF($N436=0,0,IF(AND($F436&lt;=EOMONTH(DATE(PlanYear,4,1),0),IF(ISNUMBER($G436),$G436,$F436)&gt;=DATE(PlanYear,4,1)),1,0))</f>
        <v>0</v>
      </c>
      <c r="S436">
        <f>IF($N436=0,0,IF(AND($F436&lt;=EOMONTH(DATE(PlanYear,5,1),0),IF(ISNUMBER($G436),$G436,$F436)&gt;=DATE(PlanYear,5,1)),1,0))</f>
        <v>0</v>
      </c>
      <c r="T436">
        <f>IF($N436=0,0,IF(AND($F436&lt;=EOMONTH(DATE(PlanYear,6,1),0),IF(ISNUMBER($G436),$G436,$F436)&gt;=DATE(PlanYear,6,1)),1,0))</f>
        <v>0</v>
      </c>
      <c r="U436">
        <f>IF($N436=0,0,IF(AND($F436&lt;=EOMONTH(DATE(PlanYear,7,1),0),IF(ISNUMBER($G436),$G436,$F436)&gt;=DATE(PlanYear,7,1)),1,0))</f>
        <v>0</v>
      </c>
      <c r="V436">
        <f>IF($N436=0,0,IF(AND($F436&lt;=EOMONTH(DATE(PlanYear,8,1),0),IF(ISNUMBER($G436),$G436,$F436)&gt;=DATE(PlanYear,8,1)),1,0))</f>
        <v>0</v>
      </c>
      <c r="W436">
        <f>IF($N436=0,0,IF(AND($F436&lt;=EOMONTH(DATE(PlanYear,9,1),0),IF(ISNUMBER($G436),$G436,$F436)&gt;=DATE(PlanYear,9,1)),1,0))</f>
        <v>0</v>
      </c>
      <c r="X436">
        <f>IF($N436=0,0,IF(AND($F436&lt;=EOMONTH(DATE(PlanYear,10,1),0),IF(ISNUMBER($G436),$G436,$F436)&gt;=DATE(PlanYear,10,1)),1,0))</f>
        <v>0</v>
      </c>
      <c r="Y436">
        <f>IF($N436=0,0,IF(AND($F436&lt;=EOMONTH(DATE(PlanYear,11,1),0),IF(ISNUMBER($G436),$G436,$F436)&gt;=DATE(PlanYear,11,1)),1,0))</f>
        <v>0</v>
      </c>
      <c r="Z436">
        <f>IF($N436=0,0,IF(AND($F436&lt;=EOMONTH(DATE(PlanYear,12,1),0),IF(ISNUMBER($G436),$G436,$F436)&gt;=DATE(PlanYear,12,1)),1,0))</f>
        <v>0</v>
      </c>
      <c r="AA436">
        <f>SUM($O436:$Z436)</f>
        <v>0</v>
      </c>
    </row>
    <row r="437" spans="1:27">
      <c r="A437" s="42">
        <f>IF($B437="","","ACT-"&amp;TEXT(ROW()-4,"000"))</f>
        <v>0</v>
      </c>
      <c r="M437" s="43">
        <f>IF(COUNTA($B437:$K437)=0,"",IF($B437="","Missing activity name",IF($C437="","Missing practice",IF(COUNTIF(PracticeNames,$C437)=0,"Practice not in Lists",IF($D437="","Missing motion",IF(NOT(ISNUMBER($F437)),"Missing or invalid start date",IF(AND(ISNUMBER($G437),$G437&lt;$F437),"End date before start",IF(AND($N437=1,$AA437=0),"Outside planning year","OK"))))))))</f>
        <v>0</v>
      </c>
      <c r="N437">
        <f>IF(AND($B437&lt;&gt;"",$C437&lt;&gt;"",$D437&lt;&gt;"",ISNUMBER($F437),COUNTIF(PracticeNames,$C437)&gt;0,COUNTIF(MotionNames,$D437)&gt;0,NOT(AND(ISNUMBER($G437),$G437&lt;$F437))),IF(StatusFilter="All (excl. Cancelled)",IF($H437="Cancelled",0,1),IF(StatusFilter="All",1,IF($H437=StatusFilter,1,0))),0)</f>
        <v>0</v>
      </c>
      <c r="O437">
        <f>IF($N437=0,0,IF(AND($F437&lt;=EOMONTH(DATE(PlanYear,1,1),0),IF(ISNUMBER($G437),$G437,$F437)&gt;=DATE(PlanYear,1,1)),1,0))</f>
        <v>0</v>
      </c>
      <c r="P437">
        <f>IF($N437=0,0,IF(AND($F437&lt;=EOMONTH(DATE(PlanYear,2,1),0),IF(ISNUMBER($G437),$G437,$F437)&gt;=DATE(PlanYear,2,1)),1,0))</f>
        <v>0</v>
      </c>
      <c r="Q437">
        <f>IF($N437=0,0,IF(AND($F437&lt;=EOMONTH(DATE(PlanYear,3,1),0),IF(ISNUMBER($G437),$G437,$F437)&gt;=DATE(PlanYear,3,1)),1,0))</f>
        <v>0</v>
      </c>
      <c r="R437">
        <f>IF($N437=0,0,IF(AND($F437&lt;=EOMONTH(DATE(PlanYear,4,1),0),IF(ISNUMBER($G437),$G437,$F437)&gt;=DATE(PlanYear,4,1)),1,0))</f>
        <v>0</v>
      </c>
      <c r="S437">
        <f>IF($N437=0,0,IF(AND($F437&lt;=EOMONTH(DATE(PlanYear,5,1),0),IF(ISNUMBER($G437),$G437,$F437)&gt;=DATE(PlanYear,5,1)),1,0))</f>
        <v>0</v>
      </c>
      <c r="T437">
        <f>IF($N437=0,0,IF(AND($F437&lt;=EOMONTH(DATE(PlanYear,6,1),0),IF(ISNUMBER($G437),$G437,$F437)&gt;=DATE(PlanYear,6,1)),1,0))</f>
        <v>0</v>
      </c>
      <c r="U437">
        <f>IF($N437=0,0,IF(AND($F437&lt;=EOMONTH(DATE(PlanYear,7,1),0),IF(ISNUMBER($G437),$G437,$F437)&gt;=DATE(PlanYear,7,1)),1,0))</f>
        <v>0</v>
      </c>
      <c r="V437">
        <f>IF($N437=0,0,IF(AND($F437&lt;=EOMONTH(DATE(PlanYear,8,1),0),IF(ISNUMBER($G437),$G437,$F437)&gt;=DATE(PlanYear,8,1)),1,0))</f>
        <v>0</v>
      </c>
      <c r="W437">
        <f>IF($N437=0,0,IF(AND($F437&lt;=EOMONTH(DATE(PlanYear,9,1),0),IF(ISNUMBER($G437),$G437,$F437)&gt;=DATE(PlanYear,9,1)),1,0))</f>
        <v>0</v>
      </c>
      <c r="X437">
        <f>IF($N437=0,0,IF(AND($F437&lt;=EOMONTH(DATE(PlanYear,10,1),0),IF(ISNUMBER($G437),$G437,$F437)&gt;=DATE(PlanYear,10,1)),1,0))</f>
        <v>0</v>
      </c>
      <c r="Y437">
        <f>IF($N437=0,0,IF(AND($F437&lt;=EOMONTH(DATE(PlanYear,11,1),0),IF(ISNUMBER($G437),$G437,$F437)&gt;=DATE(PlanYear,11,1)),1,0))</f>
        <v>0</v>
      </c>
      <c r="Z437">
        <f>IF($N437=0,0,IF(AND($F437&lt;=EOMONTH(DATE(PlanYear,12,1),0),IF(ISNUMBER($G437),$G437,$F437)&gt;=DATE(PlanYear,12,1)),1,0))</f>
        <v>0</v>
      </c>
      <c r="AA437">
        <f>SUM($O437:$Z437)</f>
        <v>0</v>
      </c>
    </row>
    <row r="438" spans="1:27">
      <c r="A438" s="42">
        <f>IF($B438="","","ACT-"&amp;TEXT(ROW()-4,"000"))</f>
        <v>0</v>
      </c>
      <c r="M438" s="43">
        <f>IF(COUNTA($B438:$K438)=0,"",IF($B438="","Missing activity name",IF($C438="","Missing practice",IF(COUNTIF(PracticeNames,$C438)=0,"Practice not in Lists",IF($D438="","Missing motion",IF(NOT(ISNUMBER($F438)),"Missing or invalid start date",IF(AND(ISNUMBER($G438),$G438&lt;$F438),"End date before start",IF(AND($N438=1,$AA438=0),"Outside planning year","OK"))))))))</f>
        <v>0</v>
      </c>
      <c r="N438">
        <f>IF(AND($B438&lt;&gt;"",$C438&lt;&gt;"",$D438&lt;&gt;"",ISNUMBER($F438),COUNTIF(PracticeNames,$C438)&gt;0,COUNTIF(MotionNames,$D438)&gt;0,NOT(AND(ISNUMBER($G438),$G438&lt;$F438))),IF(StatusFilter="All (excl. Cancelled)",IF($H438="Cancelled",0,1),IF(StatusFilter="All",1,IF($H438=StatusFilter,1,0))),0)</f>
        <v>0</v>
      </c>
      <c r="O438">
        <f>IF($N438=0,0,IF(AND($F438&lt;=EOMONTH(DATE(PlanYear,1,1),0),IF(ISNUMBER($G438),$G438,$F438)&gt;=DATE(PlanYear,1,1)),1,0))</f>
        <v>0</v>
      </c>
      <c r="P438">
        <f>IF($N438=0,0,IF(AND($F438&lt;=EOMONTH(DATE(PlanYear,2,1),0),IF(ISNUMBER($G438),$G438,$F438)&gt;=DATE(PlanYear,2,1)),1,0))</f>
        <v>0</v>
      </c>
      <c r="Q438">
        <f>IF($N438=0,0,IF(AND($F438&lt;=EOMONTH(DATE(PlanYear,3,1),0),IF(ISNUMBER($G438),$G438,$F438)&gt;=DATE(PlanYear,3,1)),1,0))</f>
        <v>0</v>
      </c>
      <c r="R438">
        <f>IF($N438=0,0,IF(AND($F438&lt;=EOMONTH(DATE(PlanYear,4,1),0),IF(ISNUMBER($G438),$G438,$F438)&gt;=DATE(PlanYear,4,1)),1,0))</f>
        <v>0</v>
      </c>
      <c r="S438">
        <f>IF($N438=0,0,IF(AND($F438&lt;=EOMONTH(DATE(PlanYear,5,1),0),IF(ISNUMBER($G438),$G438,$F438)&gt;=DATE(PlanYear,5,1)),1,0))</f>
        <v>0</v>
      </c>
      <c r="T438">
        <f>IF($N438=0,0,IF(AND($F438&lt;=EOMONTH(DATE(PlanYear,6,1),0),IF(ISNUMBER($G438),$G438,$F438)&gt;=DATE(PlanYear,6,1)),1,0))</f>
        <v>0</v>
      </c>
      <c r="U438">
        <f>IF($N438=0,0,IF(AND($F438&lt;=EOMONTH(DATE(PlanYear,7,1),0),IF(ISNUMBER($G438),$G438,$F438)&gt;=DATE(PlanYear,7,1)),1,0))</f>
        <v>0</v>
      </c>
      <c r="V438">
        <f>IF($N438=0,0,IF(AND($F438&lt;=EOMONTH(DATE(PlanYear,8,1),0),IF(ISNUMBER($G438),$G438,$F438)&gt;=DATE(PlanYear,8,1)),1,0))</f>
        <v>0</v>
      </c>
      <c r="W438">
        <f>IF($N438=0,0,IF(AND($F438&lt;=EOMONTH(DATE(PlanYear,9,1),0),IF(ISNUMBER($G438),$G438,$F438)&gt;=DATE(PlanYear,9,1)),1,0))</f>
        <v>0</v>
      </c>
      <c r="X438">
        <f>IF($N438=0,0,IF(AND($F438&lt;=EOMONTH(DATE(PlanYear,10,1),0),IF(ISNUMBER($G438),$G438,$F438)&gt;=DATE(PlanYear,10,1)),1,0))</f>
        <v>0</v>
      </c>
      <c r="Y438">
        <f>IF($N438=0,0,IF(AND($F438&lt;=EOMONTH(DATE(PlanYear,11,1),0),IF(ISNUMBER($G438),$G438,$F438)&gt;=DATE(PlanYear,11,1)),1,0))</f>
        <v>0</v>
      </c>
      <c r="Z438">
        <f>IF($N438=0,0,IF(AND($F438&lt;=EOMONTH(DATE(PlanYear,12,1),0),IF(ISNUMBER($G438),$G438,$F438)&gt;=DATE(PlanYear,12,1)),1,0))</f>
        <v>0</v>
      </c>
      <c r="AA438">
        <f>SUM($O438:$Z438)</f>
        <v>0</v>
      </c>
    </row>
    <row r="439" spans="1:27">
      <c r="A439" s="42">
        <f>IF($B439="","","ACT-"&amp;TEXT(ROW()-4,"000"))</f>
        <v>0</v>
      </c>
      <c r="M439" s="43">
        <f>IF(COUNTA($B439:$K439)=0,"",IF($B439="","Missing activity name",IF($C439="","Missing practice",IF(COUNTIF(PracticeNames,$C439)=0,"Practice not in Lists",IF($D439="","Missing motion",IF(NOT(ISNUMBER($F439)),"Missing or invalid start date",IF(AND(ISNUMBER($G439),$G439&lt;$F439),"End date before start",IF(AND($N439=1,$AA439=0),"Outside planning year","OK"))))))))</f>
        <v>0</v>
      </c>
      <c r="N439">
        <f>IF(AND($B439&lt;&gt;"",$C439&lt;&gt;"",$D439&lt;&gt;"",ISNUMBER($F439),COUNTIF(PracticeNames,$C439)&gt;0,COUNTIF(MotionNames,$D439)&gt;0,NOT(AND(ISNUMBER($G439),$G439&lt;$F439))),IF(StatusFilter="All (excl. Cancelled)",IF($H439="Cancelled",0,1),IF(StatusFilter="All",1,IF($H439=StatusFilter,1,0))),0)</f>
        <v>0</v>
      </c>
      <c r="O439">
        <f>IF($N439=0,0,IF(AND($F439&lt;=EOMONTH(DATE(PlanYear,1,1),0),IF(ISNUMBER($G439),$G439,$F439)&gt;=DATE(PlanYear,1,1)),1,0))</f>
        <v>0</v>
      </c>
      <c r="P439">
        <f>IF($N439=0,0,IF(AND($F439&lt;=EOMONTH(DATE(PlanYear,2,1),0),IF(ISNUMBER($G439),$G439,$F439)&gt;=DATE(PlanYear,2,1)),1,0))</f>
        <v>0</v>
      </c>
      <c r="Q439">
        <f>IF($N439=0,0,IF(AND($F439&lt;=EOMONTH(DATE(PlanYear,3,1),0),IF(ISNUMBER($G439),$G439,$F439)&gt;=DATE(PlanYear,3,1)),1,0))</f>
        <v>0</v>
      </c>
      <c r="R439">
        <f>IF($N439=0,0,IF(AND($F439&lt;=EOMONTH(DATE(PlanYear,4,1),0),IF(ISNUMBER($G439),$G439,$F439)&gt;=DATE(PlanYear,4,1)),1,0))</f>
        <v>0</v>
      </c>
      <c r="S439">
        <f>IF($N439=0,0,IF(AND($F439&lt;=EOMONTH(DATE(PlanYear,5,1),0),IF(ISNUMBER($G439),$G439,$F439)&gt;=DATE(PlanYear,5,1)),1,0))</f>
        <v>0</v>
      </c>
      <c r="T439">
        <f>IF($N439=0,0,IF(AND($F439&lt;=EOMONTH(DATE(PlanYear,6,1),0),IF(ISNUMBER($G439),$G439,$F439)&gt;=DATE(PlanYear,6,1)),1,0))</f>
        <v>0</v>
      </c>
      <c r="U439">
        <f>IF($N439=0,0,IF(AND($F439&lt;=EOMONTH(DATE(PlanYear,7,1),0),IF(ISNUMBER($G439),$G439,$F439)&gt;=DATE(PlanYear,7,1)),1,0))</f>
        <v>0</v>
      </c>
      <c r="V439">
        <f>IF($N439=0,0,IF(AND($F439&lt;=EOMONTH(DATE(PlanYear,8,1),0),IF(ISNUMBER($G439),$G439,$F439)&gt;=DATE(PlanYear,8,1)),1,0))</f>
        <v>0</v>
      </c>
      <c r="W439">
        <f>IF($N439=0,0,IF(AND($F439&lt;=EOMONTH(DATE(PlanYear,9,1),0),IF(ISNUMBER($G439),$G439,$F439)&gt;=DATE(PlanYear,9,1)),1,0))</f>
        <v>0</v>
      </c>
      <c r="X439">
        <f>IF($N439=0,0,IF(AND($F439&lt;=EOMONTH(DATE(PlanYear,10,1),0),IF(ISNUMBER($G439),$G439,$F439)&gt;=DATE(PlanYear,10,1)),1,0))</f>
        <v>0</v>
      </c>
      <c r="Y439">
        <f>IF($N439=0,0,IF(AND($F439&lt;=EOMONTH(DATE(PlanYear,11,1),0),IF(ISNUMBER($G439),$G439,$F439)&gt;=DATE(PlanYear,11,1)),1,0))</f>
        <v>0</v>
      </c>
      <c r="Z439">
        <f>IF($N439=0,0,IF(AND($F439&lt;=EOMONTH(DATE(PlanYear,12,1),0),IF(ISNUMBER($G439),$G439,$F439)&gt;=DATE(PlanYear,12,1)),1,0))</f>
        <v>0</v>
      </c>
      <c r="AA439">
        <f>SUM($O439:$Z439)</f>
        <v>0</v>
      </c>
    </row>
    <row r="440" spans="1:27">
      <c r="A440" s="42">
        <f>IF($B440="","","ACT-"&amp;TEXT(ROW()-4,"000"))</f>
        <v>0</v>
      </c>
      <c r="M440" s="43">
        <f>IF(COUNTA($B440:$K440)=0,"",IF($B440="","Missing activity name",IF($C440="","Missing practice",IF(COUNTIF(PracticeNames,$C440)=0,"Practice not in Lists",IF($D440="","Missing motion",IF(NOT(ISNUMBER($F440)),"Missing or invalid start date",IF(AND(ISNUMBER($G440),$G440&lt;$F440),"End date before start",IF(AND($N440=1,$AA440=0),"Outside planning year","OK"))))))))</f>
        <v>0</v>
      </c>
      <c r="N440">
        <f>IF(AND($B440&lt;&gt;"",$C440&lt;&gt;"",$D440&lt;&gt;"",ISNUMBER($F440),COUNTIF(PracticeNames,$C440)&gt;0,COUNTIF(MotionNames,$D440)&gt;0,NOT(AND(ISNUMBER($G440),$G440&lt;$F440))),IF(StatusFilter="All (excl. Cancelled)",IF($H440="Cancelled",0,1),IF(StatusFilter="All",1,IF($H440=StatusFilter,1,0))),0)</f>
        <v>0</v>
      </c>
      <c r="O440">
        <f>IF($N440=0,0,IF(AND($F440&lt;=EOMONTH(DATE(PlanYear,1,1),0),IF(ISNUMBER($G440),$G440,$F440)&gt;=DATE(PlanYear,1,1)),1,0))</f>
        <v>0</v>
      </c>
      <c r="P440">
        <f>IF($N440=0,0,IF(AND($F440&lt;=EOMONTH(DATE(PlanYear,2,1),0),IF(ISNUMBER($G440),$G440,$F440)&gt;=DATE(PlanYear,2,1)),1,0))</f>
        <v>0</v>
      </c>
      <c r="Q440">
        <f>IF($N440=0,0,IF(AND($F440&lt;=EOMONTH(DATE(PlanYear,3,1),0),IF(ISNUMBER($G440),$G440,$F440)&gt;=DATE(PlanYear,3,1)),1,0))</f>
        <v>0</v>
      </c>
      <c r="R440">
        <f>IF($N440=0,0,IF(AND($F440&lt;=EOMONTH(DATE(PlanYear,4,1),0),IF(ISNUMBER($G440),$G440,$F440)&gt;=DATE(PlanYear,4,1)),1,0))</f>
        <v>0</v>
      </c>
      <c r="S440">
        <f>IF($N440=0,0,IF(AND($F440&lt;=EOMONTH(DATE(PlanYear,5,1),0),IF(ISNUMBER($G440),$G440,$F440)&gt;=DATE(PlanYear,5,1)),1,0))</f>
        <v>0</v>
      </c>
      <c r="T440">
        <f>IF($N440=0,0,IF(AND($F440&lt;=EOMONTH(DATE(PlanYear,6,1),0),IF(ISNUMBER($G440),$G440,$F440)&gt;=DATE(PlanYear,6,1)),1,0))</f>
        <v>0</v>
      </c>
      <c r="U440">
        <f>IF($N440=0,0,IF(AND($F440&lt;=EOMONTH(DATE(PlanYear,7,1),0),IF(ISNUMBER($G440),$G440,$F440)&gt;=DATE(PlanYear,7,1)),1,0))</f>
        <v>0</v>
      </c>
      <c r="V440">
        <f>IF($N440=0,0,IF(AND($F440&lt;=EOMONTH(DATE(PlanYear,8,1),0),IF(ISNUMBER($G440),$G440,$F440)&gt;=DATE(PlanYear,8,1)),1,0))</f>
        <v>0</v>
      </c>
      <c r="W440">
        <f>IF($N440=0,0,IF(AND($F440&lt;=EOMONTH(DATE(PlanYear,9,1),0),IF(ISNUMBER($G440),$G440,$F440)&gt;=DATE(PlanYear,9,1)),1,0))</f>
        <v>0</v>
      </c>
      <c r="X440">
        <f>IF($N440=0,0,IF(AND($F440&lt;=EOMONTH(DATE(PlanYear,10,1),0),IF(ISNUMBER($G440),$G440,$F440)&gt;=DATE(PlanYear,10,1)),1,0))</f>
        <v>0</v>
      </c>
      <c r="Y440">
        <f>IF($N440=0,0,IF(AND($F440&lt;=EOMONTH(DATE(PlanYear,11,1),0),IF(ISNUMBER($G440),$G440,$F440)&gt;=DATE(PlanYear,11,1)),1,0))</f>
        <v>0</v>
      </c>
      <c r="Z440">
        <f>IF($N440=0,0,IF(AND($F440&lt;=EOMONTH(DATE(PlanYear,12,1),0),IF(ISNUMBER($G440),$G440,$F440)&gt;=DATE(PlanYear,12,1)),1,0))</f>
        <v>0</v>
      </c>
      <c r="AA440">
        <f>SUM($O440:$Z440)</f>
        <v>0</v>
      </c>
    </row>
    <row r="441" spans="1:27">
      <c r="A441" s="42">
        <f>IF($B441="","","ACT-"&amp;TEXT(ROW()-4,"000"))</f>
        <v>0</v>
      </c>
      <c r="M441" s="43">
        <f>IF(COUNTA($B441:$K441)=0,"",IF($B441="","Missing activity name",IF($C441="","Missing practice",IF(COUNTIF(PracticeNames,$C441)=0,"Practice not in Lists",IF($D441="","Missing motion",IF(NOT(ISNUMBER($F441)),"Missing or invalid start date",IF(AND(ISNUMBER($G441),$G441&lt;$F441),"End date before start",IF(AND($N441=1,$AA441=0),"Outside planning year","OK"))))))))</f>
        <v>0</v>
      </c>
      <c r="N441">
        <f>IF(AND($B441&lt;&gt;"",$C441&lt;&gt;"",$D441&lt;&gt;"",ISNUMBER($F441),COUNTIF(PracticeNames,$C441)&gt;0,COUNTIF(MotionNames,$D441)&gt;0,NOT(AND(ISNUMBER($G441),$G441&lt;$F441))),IF(StatusFilter="All (excl. Cancelled)",IF($H441="Cancelled",0,1),IF(StatusFilter="All",1,IF($H441=StatusFilter,1,0))),0)</f>
        <v>0</v>
      </c>
      <c r="O441">
        <f>IF($N441=0,0,IF(AND($F441&lt;=EOMONTH(DATE(PlanYear,1,1),0),IF(ISNUMBER($G441),$G441,$F441)&gt;=DATE(PlanYear,1,1)),1,0))</f>
        <v>0</v>
      </c>
      <c r="P441">
        <f>IF($N441=0,0,IF(AND($F441&lt;=EOMONTH(DATE(PlanYear,2,1),0),IF(ISNUMBER($G441),$G441,$F441)&gt;=DATE(PlanYear,2,1)),1,0))</f>
        <v>0</v>
      </c>
      <c r="Q441">
        <f>IF($N441=0,0,IF(AND($F441&lt;=EOMONTH(DATE(PlanYear,3,1),0),IF(ISNUMBER($G441),$G441,$F441)&gt;=DATE(PlanYear,3,1)),1,0))</f>
        <v>0</v>
      </c>
      <c r="R441">
        <f>IF($N441=0,0,IF(AND($F441&lt;=EOMONTH(DATE(PlanYear,4,1),0),IF(ISNUMBER($G441),$G441,$F441)&gt;=DATE(PlanYear,4,1)),1,0))</f>
        <v>0</v>
      </c>
      <c r="S441">
        <f>IF($N441=0,0,IF(AND($F441&lt;=EOMONTH(DATE(PlanYear,5,1),0),IF(ISNUMBER($G441),$G441,$F441)&gt;=DATE(PlanYear,5,1)),1,0))</f>
        <v>0</v>
      </c>
      <c r="T441">
        <f>IF($N441=0,0,IF(AND($F441&lt;=EOMONTH(DATE(PlanYear,6,1),0),IF(ISNUMBER($G441),$G441,$F441)&gt;=DATE(PlanYear,6,1)),1,0))</f>
        <v>0</v>
      </c>
      <c r="U441">
        <f>IF($N441=0,0,IF(AND($F441&lt;=EOMONTH(DATE(PlanYear,7,1),0),IF(ISNUMBER($G441),$G441,$F441)&gt;=DATE(PlanYear,7,1)),1,0))</f>
        <v>0</v>
      </c>
      <c r="V441">
        <f>IF($N441=0,0,IF(AND($F441&lt;=EOMONTH(DATE(PlanYear,8,1),0),IF(ISNUMBER($G441),$G441,$F441)&gt;=DATE(PlanYear,8,1)),1,0))</f>
        <v>0</v>
      </c>
      <c r="W441">
        <f>IF($N441=0,0,IF(AND($F441&lt;=EOMONTH(DATE(PlanYear,9,1),0),IF(ISNUMBER($G441),$G441,$F441)&gt;=DATE(PlanYear,9,1)),1,0))</f>
        <v>0</v>
      </c>
      <c r="X441">
        <f>IF($N441=0,0,IF(AND($F441&lt;=EOMONTH(DATE(PlanYear,10,1),0),IF(ISNUMBER($G441),$G441,$F441)&gt;=DATE(PlanYear,10,1)),1,0))</f>
        <v>0</v>
      </c>
      <c r="Y441">
        <f>IF($N441=0,0,IF(AND($F441&lt;=EOMONTH(DATE(PlanYear,11,1),0),IF(ISNUMBER($G441),$G441,$F441)&gt;=DATE(PlanYear,11,1)),1,0))</f>
        <v>0</v>
      </c>
      <c r="Z441">
        <f>IF($N441=0,0,IF(AND($F441&lt;=EOMONTH(DATE(PlanYear,12,1),0),IF(ISNUMBER($G441),$G441,$F441)&gt;=DATE(PlanYear,12,1)),1,0))</f>
        <v>0</v>
      </c>
      <c r="AA441">
        <f>SUM($O441:$Z441)</f>
        <v>0</v>
      </c>
    </row>
    <row r="442" spans="1:27">
      <c r="A442" s="42">
        <f>IF($B442="","","ACT-"&amp;TEXT(ROW()-4,"000"))</f>
        <v>0</v>
      </c>
      <c r="M442" s="43">
        <f>IF(COUNTA($B442:$K442)=0,"",IF($B442="","Missing activity name",IF($C442="","Missing practice",IF(COUNTIF(PracticeNames,$C442)=0,"Practice not in Lists",IF($D442="","Missing motion",IF(NOT(ISNUMBER($F442)),"Missing or invalid start date",IF(AND(ISNUMBER($G442),$G442&lt;$F442),"End date before start",IF(AND($N442=1,$AA442=0),"Outside planning year","OK"))))))))</f>
        <v>0</v>
      </c>
      <c r="N442">
        <f>IF(AND($B442&lt;&gt;"",$C442&lt;&gt;"",$D442&lt;&gt;"",ISNUMBER($F442),COUNTIF(PracticeNames,$C442)&gt;0,COUNTIF(MotionNames,$D442)&gt;0,NOT(AND(ISNUMBER($G442),$G442&lt;$F442))),IF(StatusFilter="All (excl. Cancelled)",IF($H442="Cancelled",0,1),IF(StatusFilter="All",1,IF($H442=StatusFilter,1,0))),0)</f>
        <v>0</v>
      </c>
      <c r="O442">
        <f>IF($N442=0,0,IF(AND($F442&lt;=EOMONTH(DATE(PlanYear,1,1),0),IF(ISNUMBER($G442),$G442,$F442)&gt;=DATE(PlanYear,1,1)),1,0))</f>
        <v>0</v>
      </c>
      <c r="P442">
        <f>IF($N442=0,0,IF(AND($F442&lt;=EOMONTH(DATE(PlanYear,2,1),0),IF(ISNUMBER($G442),$G442,$F442)&gt;=DATE(PlanYear,2,1)),1,0))</f>
        <v>0</v>
      </c>
      <c r="Q442">
        <f>IF($N442=0,0,IF(AND($F442&lt;=EOMONTH(DATE(PlanYear,3,1),0),IF(ISNUMBER($G442),$G442,$F442)&gt;=DATE(PlanYear,3,1)),1,0))</f>
        <v>0</v>
      </c>
      <c r="R442">
        <f>IF($N442=0,0,IF(AND($F442&lt;=EOMONTH(DATE(PlanYear,4,1),0),IF(ISNUMBER($G442),$G442,$F442)&gt;=DATE(PlanYear,4,1)),1,0))</f>
        <v>0</v>
      </c>
      <c r="S442">
        <f>IF($N442=0,0,IF(AND($F442&lt;=EOMONTH(DATE(PlanYear,5,1),0),IF(ISNUMBER($G442),$G442,$F442)&gt;=DATE(PlanYear,5,1)),1,0))</f>
        <v>0</v>
      </c>
      <c r="T442">
        <f>IF($N442=0,0,IF(AND($F442&lt;=EOMONTH(DATE(PlanYear,6,1),0),IF(ISNUMBER($G442),$G442,$F442)&gt;=DATE(PlanYear,6,1)),1,0))</f>
        <v>0</v>
      </c>
      <c r="U442">
        <f>IF($N442=0,0,IF(AND($F442&lt;=EOMONTH(DATE(PlanYear,7,1),0),IF(ISNUMBER($G442),$G442,$F442)&gt;=DATE(PlanYear,7,1)),1,0))</f>
        <v>0</v>
      </c>
      <c r="V442">
        <f>IF($N442=0,0,IF(AND($F442&lt;=EOMONTH(DATE(PlanYear,8,1),0),IF(ISNUMBER($G442),$G442,$F442)&gt;=DATE(PlanYear,8,1)),1,0))</f>
        <v>0</v>
      </c>
      <c r="W442">
        <f>IF($N442=0,0,IF(AND($F442&lt;=EOMONTH(DATE(PlanYear,9,1),0),IF(ISNUMBER($G442),$G442,$F442)&gt;=DATE(PlanYear,9,1)),1,0))</f>
        <v>0</v>
      </c>
      <c r="X442">
        <f>IF($N442=0,0,IF(AND($F442&lt;=EOMONTH(DATE(PlanYear,10,1),0),IF(ISNUMBER($G442),$G442,$F442)&gt;=DATE(PlanYear,10,1)),1,0))</f>
        <v>0</v>
      </c>
      <c r="Y442">
        <f>IF($N442=0,0,IF(AND($F442&lt;=EOMONTH(DATE(PlanYear,11,1),0),IF(ISNUMBER($G442),$G442,$F442)&gt;=DATE(PlanYear,11,1)),1,0))</f>
        <v>0</v>
      </c>
      <c r="Z442">
        <f>IF($N442=0,0,IF(AND($F442&lt;=EOMONTH(DATE(PlanYear,12,1),0),IF(ISNUMBER($G442),$G442,$F442)&gt;=DATE(PlanYear,12,1)),1,0))</f>
        <v>0</v>
      </c>
      <c r="AA442">
        <f>SUM($O442:$Z442)</f>
        <v>0</v>
      </c>
    </row>
    <row r="443" spans="1:27">
      <c r="A443" s="42">
        <f>IF($B443="","","ACT-"&amp;TEXT(ROW()-4,"000"))</f>
        <v>0</v>
      </c>
      <c r="M443" s="43">
        <f>IF(COUNTA($B443:$K443)=0,"",IF($B443="","Missing activity name",IF($C443="","Missing practice",IF(COUNTIF(PracticeNames,$C443)=0,"Practice not in Lists",IF($D443="","Missing motion",IF(NOT(ISNUMBER($F443)),"Missing or invalid start date",IF(AND(ISNUMBER($G443),$G443&lt;$F443),"End date before start",IF(AND($N443=1,$AA443=0),"Outside planning year","OK"))))))))</f>
        <v>0</v>
      </c>
      <c r="N443">
        <f>IF(AND($B443&lt;&gt;"",$C443&lt;&gt;"",$D443&lt;&gt;"",ISNUMBER($F443),COUNTIF(PracticeNames,$C443)&gt;0,COUNTIF(MotionNames,$D443)&gt;0,NOT(AND(ISNUMBER($G443),$G443&lt;$F443))),IF(StatusFilter="All (excl. Cancelled)",IF($H443="Cancelled",0,1),IF(StatusFilter="All",1,IF($H443=StatusFilter,1,0))),0)</f>
        <v>0</v>
      </c>
      <c r="O443">
        <f>IF($N443=0,0,IF(AND($F443&lt;=EOMONTH(DATE(PlanYear,1,1),0),IF(ISNUMBER($G443),$G443,$F443)&gt;=DATE(PlanYear,1,1)),1,0))</f>
        <v>0</v>
      </c>
      <c r="P443">
        <f>IF($N443=0,0,IF(AND($F443&lt;=EOMONTH(DATE(PlanYear,2,1),0),IF(ISNUMBER($G443),$G443,$F443)&gt;=DATE(PlanYear,2,1)),1,0))</f>
        <v>0</v>
      </c>
      <c r="Q443">
        <f>IF($N443=0,0,IF(AND($F443&lt;=EOMONTH(DATE(PlanYear,3,1),0),IF(ISNUMBER($G443),$G443,$F443)&gt;=DATE(PlanYear,3,1)),1,0))</f>
        <v>0</v>
      </c>
      <c r="R443">
        <f>IF($N443=0,0,IF(AND($F443&lt;=EOMONTH(DATE(PlanYear,4,1),0),IF(ISNUMBER($G443),$G443,$F443)&gt;=DATE(PlanYear,4,1)),1,0))</f>
        <v>0</v>
      </c>
      <c r="S443">
        <f>IF($N443=0,0,IF(AND($F443&lt;=EOMONTH(DATE(PlanYear,5,1),0),IF(ISNUMBER($G443),$G443,$F443)&gt;=DATE(PlanYear,5,1)),1,0))</f>
        <v>0</v>
      </c>
      <c r="T443">
        <f>IF($N443=0,0,IF(AND($F443&lt;=EOMONTH(DATE(PlanYear,6,1),0),IF(ISNUMBER($G443),$G443,$F443)&gt;=DATE(PlanYear,6,1)),1,0))</f>
        <v>0</v>
      </c>
      <c r="U443">
        <f>IF($N443=0,0,IF(AND($F443&lt;=EOMONTH(DATE(PlanYear,7,1),0),IF(ISNUMBER($G443),$G443,$F443)&gt;=DATE(PlanYear,7,1)),1,0))</f>
        <v>0</v>
      </c>
      <c r="V443">
        <f>IF($N443=0,0,IF(AND($F443&lt;=EOMONTH(DATE(PlanYear,8,1),0),IF(ISNUMBER($G443),$G443,$F443)&gt;=DATE(PlanYear,8,1)),1,0))</f>
        <v>0</v>
      </c>
      <c r="W443">
        <f>IF($N443=0,0,IF(AND($F443&lt;=EOMONTH(DATE(PlanYear,9,1),0),IF(ISNUMBER($G443),$G443,$F443)&gt;=DATE(PlanYear,9,1)),1,0))</f>
        <v>0</v>
      </c>
      <c r="X443">
        <f>IF($N443=0,0,IF(AND($F443&lt;=EOMONTH(DATE(PlanYear,10,1),0),IF(ISNUMBER($G443),$G443,$F443)&gt;=DATE(PlanYear,10,1)),1,0))</f>
        <v>0</v>
      </c>
      <c r="Y443">
        <f>IF($N443=0,0,IF(AND($F443&lt;=EOMONTH(DATE(PlanYear,11,1),0),IF(ISNUMBER($G443),$G443,$F443)&gt;=DATE(PlanYear,11,1)),1,0))</f>
        <v>0</v>
      </c>
      <c r="Z443">
        <f>IF($N443=0,0,IF(AND($F443&lt;=EOMONTH(DATE(PlanYear,12,1),0),IF(ISNUMBER($G443),$G443,$F443)&gt;=DATE(PlanYear,12,1)),1,0))</f>
        <v>0</v>
      </c>
      <c r="AA443">
        <f>SUM($O443:$Z443)</f>
        <v>0</v>
      </c>
    </row>
    <row r="444" spans="1:27">
      <c r="A444" s="42">
        <f>IF($B444="","","ACT-"&amp;TEXT(ROW()-4,"000"))</f>
        <v>0</v>
      </c>
      <c r="M444" s="43">
        <f>IF(COUNTA($B444:$K444)=0,"",IF($B444="","Missing activity name",IF($C444="","Missing practice",IF(COUNTIF(PracticeNames,$C444)=0,"Practice not in Lists",IF($D444="","Missing motion",IF(NOT(ISNUMBER($F444)),"Missing or invalid start date",IF(AND(ISNUMBER($G444),$G444&lt;$F444),"End date before start",IF(AND($N444=1,$AA444=0),"Outside planning year","OK"))))))))</f>
        <v>0</v>
      </c>
      <c r="N444">
        <f>IF(AND($B444&lt;&gt;"",$C444&lt;&gt;"",$D444&lt;&gt;"",ISNUMBER($F444),COUNTIF(PracticeNames,$C444)&gt;0,COUNTIF(MotionNames,$D444)&gt;0,NOT(AND(ISNUMBER($G444),$G444&lt;$F444))),IF(StatusFilter="All (excl. Cancelled)",IF($H444="Cancelled",0,1),IF(StatusFilter="All",1,IF($H444=StatusFilter,1,0))),0)</f>
        <v>0</v>
      </c>
      <c r="O444">
        <f>IF($N444=0,0,IF(AND($F444&lt;=EOMONTH(DATE(PlanYear,1,1),0),IF(ISNUMBER($G444),$G444,$F444)&gt;=DATE(PlanYear,1,1)),1,0))</f>
        <v>0</v>
      </c>
      <c r="P444">
        <f>IF($N444=0,0,IF(AND($F444&lt;=EOMONTH(DATE(PlanYear,2,1),0),IF(ISNUMBER($G444),$G444,$F444)&gt;=DATE(PlanYear,2,1)),1,0))</f>
        <v>0</v>
      </c>
      <c r="Q444">
        <f>IF($N444=0,0,IF(AND($F444&lt;=EOMONTH(DATE(PlanYear,3,1),0),IF(ISNUMBER($G444),$G444,$F444)&gt;=DATE(PlanYear,3,1)),1,0))</f>
        <v>0</v>
      </c>
      <c r="R444">
        <f>IF($N444=0,0,IF(AND($F444&lt;=EOMONTH(DATE(PlanYear,4,1),0),IF(ISNUMBER($G444),$G444,$F444)&gt;=DATE(PlanYear,4,1)),1,0))</f>
        <v>0</v>
      </c>
      <c r="S444">
        <f>IF($N444=0,0,IF(AND($F444&lt;=EOMONTH(DATE(PlanYear,5,1),0),IF(ISNUMBER($G444),$G444,$F444)&gt;=DATE(PlanYear,5,1)),1,0))</f>
        <v>0</v>
      </c>
      <c r="T444">
        <f>IF($N444=0,0,IF(AND($F444&lt;=EOMONTH(DATE(PlanYear,6,1),0),IF(ISNUMBER($G444),$G444,$F444)&gt;=DATE(PlanYear,6,1)),1,0))</f>
        <v>0</v>
      </c>
      <c r="U444">
        <f>IF($N444=0,0,IF(AND($F444&lt;=EOMONTH(DATE(PlanYear,7,1),0),IF(ISNUMBER($G444),$G444,$F444)&gt;=DATE(PlanYear,7,1)),1,0))</f>
        <v>0</v>
      </c>
      <c r="V444">
        <f>IF($N444=0,0,IF(AND($F444&lt;=EOMONTH(DATE(PlanYear,8,1),0),IF(ISNUMBER($G444),$G444,$F444)&gt;=DATE(PlanYear,8,1)),1,0))</f>
        <v>0</v>
      </c>
      <c r="W444">
        <f>IF($N444=0,0,IF(AND($F444&lt;=EOMONTH(DATE(PlanYear,9,1),0),IF(ISNUMBER($G444),$G444,$F444)&gt;=DATE(PlanYear,9,1)),1,0))</f>
        <v>0</v>
      </c>
      <c r="X444">
        <f>IF($N444=0,0,IF(AND($F444&lt;=EOMONTH(DATE(PlanYear,10,1),0),IF(ISNUMBER($G444),$G444,$F444)&gt;=DATE(PlanYear,10,1)),1,0))</f>
        <v>0</v>
      </c>
      <c r="Y444">
        <f>IF($N444=0,0,IF(AND($F444&lt;=EOMONTH(DATE(PlanYear,11,1),0),IF(ISNUMBER($G444),$G444,$F444)&gt;=DATE(PlanYear,11,1)),1,0))</f>
        <v>0</v>
      </c>
      <c r="Z444">
        <f>IF($N444=0,0,IF(AND($F444&lt;=EOMONTH(DATE(PlanYear,12,1),0),IF(ISNUMBER($G444),$G444,$F444)&gt;=DATE(PlanYear,12,1)),1,0))</f>
        <v>0</v>
      </c>
      <c r="AA444">
        <f>SUM($O444:$Z444)</f>
        <v>0</v>
      </c>
    </row>
    <row r="445" spans="1:27">
      <c r="A445" s="42">
        <f>IF($B445="","","ACT-"&amp;TEXT(ROW()-4,"000"))</f>
        <v>0</v>
      </c>
      <c r="M445" s="43">
        <f>IF(COUNTA($B445:$K445)=0,"",IF($B445="","Missing activity name",IF($C445="","Missing practice",IF(COUNTIF(PracticeNames,$C445)=0,"Practice not in Lists",IF($D445="","Missing motion",IF(NOT(ISNUMBER($F445)),"Missing or invalid start date",IF(AND(ISNUMBER($G445),$G445&lt;$F445),"End date before start",IF(AND($N445=1,$AA445=0),"Outside planning year","OK"))))))))</f>
        <v>0</v>
      </c>
      <c r="N445">
        <f>IF(AND($B445&lt;&gt;"",$C445&lt;&gt;"",$D445&lt;&gt;"",ISNUMBER($F445),COUNTIF(PracticeNames,$C445)&gt;0,COUNTIF(MotionNames,$D445)&gt;0,NOT(AND(ISNUMBER($G445),$G445&lt;$F445))),IF(StatusFilter="All (excl. Cancelled)",IF($H445="Cancelled",0,1),IF(StatusFilter="All",1,IF($H445=StatusFilter,1,0))),0)</f>
        <v>0</v>
      </c>
      <c r="O445">
        <f>IF($N445=0,0,IF(AND($F445&lt;=EOMONTH(DATE(PlanYear,1,1),0),IF(ISNUMBER($G445),$G445,$F445)&gt;=DATE(PlanYear,1,1)),1,0))</f>
        <v>0</v>
      </c>
      <c r="P445">
        <f>IF($N445=0,0,IF(AND($F445&lt;=EOMONTH(DATE(PlanYear,2,1),0),IF(ISNUMBER($G445),$G445,$F445)&gt;=DATE(PlanYear,2,1)),1,0))</f>
        <v>0</v>
      </c>
      <c r="Q445">
        <f>IF($N445=0,0,IF(AND($F445&lt;=EOMONTH(DATE(PlanYear,3,1),0),IF(ISNUMBER($G445),$G445,$F445)&gt;=DATE(PlanYear,3,1)),1,0))</f>
        <v>0</v>
      </c>
      <c r="R445">
        <f>IF($N445=0,0,IF(AND($F445&lt;=EOMONTH(DATE(PlanYear,4,1),0),IF(ISNUMBER($G445),$G445,$F445)&gt;=DATE(PlanYear,4,1)),1,0))</f>
        <v>0</v>
      </c>
      <c r="S445">
        <f>IF($N445=0,0,IF(AND($F445&lt;=EOMONTH(DATE(PlanYear,5,1),0),IF(ISNUMBER($G445),$G445,$F445)&gt;=DATE(PlanYear,5,1)),1,0))</f>
        <v>0</v>
      </c>
      <c r="T445">
        <f>IF($N445=0,0,IF(AND($F445&lt;=EOMONTH(DATE(PlanYear,6,1),0),IF(ISNUMBER($G445),$G445,$F445)&gt;=DATE(PlanYear,6,1)),1,0))</f>
        <v>0</v>
      </c>
      <c r="U445">
        <f>IF($N445=0,0,IF(AND($F445&lt;=EOMONTH(DATE(PlanYear,7,1),0),IF(ISNUMBER($G445),$G445,$F445)&gt;=DATE(PlanYear,7,1)),1,0))</f>
        <v>0</v>
      </c>
      <c r="V445">
        <f>IF($N445=0,0,IF(AND($F445&lt;=EOMONTH(DATE(PlanYear,8,1),0),IF(ISNUMBER($G445),$G445,$F445)&gt;=DATE(PlanYear,8,1)),1,0))</f>
        <v>0</v>
      </c>
      <c r="W445">
        <f>IF($N445=0,0,IF(AND($F445&lt;=EOMONTH(DATE(PlanYear,9,1),0),IF(ISNUMBER($G445),$G445,$F445)&gt;=DATE(PlanYear,9,1)),1,0))</f>
        <v>0</v>
      </c>
      <c r="X445">
        <f>IF($N445=0,0,IF(AND($F445&lt;=EOMONTH(DATE(PlanYear,10,1),0),IF(ISNUMBER($G445),$G445,$F445)&gt;=DATE(PlanYear,10,1)),1,0))</f>
        <v>0</v>
      </c>
      <c r="Y445">
        <f>IF($N445=0,0,IF(AND($F445&lt;=EOMONTH(DATE(PlanYear,11,1),0),IF(ISNUMBER($G445),$G445,$F445)&gt;=DATE(PlanYear,11,1)),1,0))</f>
        <v>0</v>
      </c>
      <c r="Z445">
        <f>IF($N445=0,0,IF(AND($F445&lt;=EOMONTH(DATE(PlanYear,12,1),0),IF(ISNUMBER($G445),$G445,$F445)&gt;=DATE(PlanYear,12,1)),1,0))</f>
        <v>0</v>
      </c>
      <c r="AA445">
        <f>SUM($O445:$Z445)</f>
        <v>0</v>
      </c>
    </row>
    <row r="446" spans="1:27">
      <c r="A446" s="42">
        <f>IF($B446="","","ACT-"&amp;TEXT(ROW()-4,"000"))</f>
        <v>0</v>
      </c>
      <c r="M446" s="43">
        <f>IF(COUNTA($B446:$K446)=0,"",IF($B446="","Missing activity name",IF($C446="","Missing practice",IF(COUNTIF(PracticeNames,$C446)=0,"Practice not in Lists",IF($D446="","Missing motion",IF(NOT(ISNUMBER($F446)),"Missing or invalid start date",IF(AND(ISNUMBER($G446),$G446&lt;$F446),"End date before start",IF(AND($N446=1,$AA446=0),"Outside planning year","OK"))))))))</f>
        <v>0</v>
      </c>
      <c r="N446">
        <f>IF(AND($B446&lt;&gt;"",$C446&lt;&gt;"",$D446&lt;&gt;"",ISNUMBER($F446),COUNTIF(PracticeNames,$C446)&gt;0,COUNTIF(MotionNames,$D446)&gt;0,NOT(AND(ISNUMBER($G446),$G446&lt;$F446))),IF(StatusFilter="All (excl. Cancelled)",IF($H446="Cancelled",0,1),IF(StatusFilter="All",1,IF($H446=StatusFilter,1,0))),0)</f>
        <v>0</v>
      </c>
      <c r="O446">
        <f>IF($N446=0,0,IF(AND($F446&lt;=EOMONTH(DATE(PlanYear,1,1),0),IF(ISNUMBER($G446),$G446,$F446)&gt;=DATE(PlanYear,1,1)),1,0))</f>
        <v>0</v>
      </c>
      <c r="P446">
        <f>IF($N446=0,0,IF(AND($F446&lt;=EOMONTH(DATE(PlanYear,2,1),0),IF(ISNUMBER($G446),$G446,$F446)&gt;=DATE(PlanYear,2,1)),1,0))</f>
        <v>0</v>
      </c>
      <c r="Q446">
        <f>IF($N446=0,0,IF(AND($F446&lt;=EOMONTH(DATE(PlanYear,3,1),0),IF(ISNUMBER($G446),$G446,$F446)&gt;=DATE(PlanYear,3,1)),1,0))</f>
        <v>0</v>
      </c>
      <c r="R446">
        <f>IF($N446=0,0,IF(AND($F446&lt;=EOMONTH(DATE(PlanYear,4,1),0),IF(ISNUMBER($G446),$G446,$F446)&gt;=DATE(PlanYear,4,1)),1,0))</f>
        <v>0</v>
      </c>
      <c r="S446">
        <f>IF($N446=0,0,IF(AND($F446&lt;=EOMONTH(DATE(PlanYear,5,1),0),IF(ISNUMBER($G446),$G446,$F446)&gt;=DATE(PlanYear,5,1)),1,0))</f>
        <v>0</v>
      </c>
      <c r="T446">
        <f>IF($N446=0,0,IF(AND($F446&lt;=EOMONTH(DATE(PlanYear,6,1),0),IF(ISNUMBER($G446),$G446,$F446)&gt;=DATE(PlanYear,6,1)),1,0))</f>
        <v>0</v>
      </c>
      <c r="U446">
        <f>IF($N446=0,0,IF(AND($F446&lt;=EOMONTH(DATE(PlanYear,7,1),0),IF(ISNUMBER($G446),$G446,$F446)&gt;=DATE(PlanYear,7,1)),1,0))</f>
        <v>0</v>
      </c>
      <c r="V446">
        <f>IF($N446=0,0,IF(AND($F446&lt;=EOMONTH(DATE(PlanYear,8,1),0),IF(ISNUMBER($G446),$G446,$F446)&gt;=DATE(PlanYear,8,1)),1,0))</f>
        <v>0</v>
      </c>
      <c r="W446">
        <f>IF($N446=0,0,IF(AND($F446&lt;=EOMONTH(DATE(PlanYear,9,1),0),IF(ISNUMBER($G446),$G446,$F446)&gt;=DATE(PlanYear,9,1)),1,0))</f>
        <v>0</v>
      </c>
      <c r="X446">
        <f>IF($N446=0,0,IF(AND($F446&lt;=EOMONTH(DATE(PlanYear,10,1),0),IF(ISNUMBER($G446),$G446,$F446)&gt;=DATE(PlanYear,10,1)),1,0))</f>
        <v>0</v>
      </c>
      <c r="Y446">
        <f>IF($N446=0,0,IF(AND($F446&lt;=EOMONTH(DATE(PlanYear,11,1),0),IF(ISNUMBER($G446),$G446,$F446)&gt;=DATE(PlanYear,11,1)),1,0))</f>
        <v>0</v>
      </c>
      <c r="Z446">
        <f>IF($N446=0,0,IF(AND($F446&lt;=EOMONTH(DATE(PlanYear,12,1),0),IF(ISNUMBER($G446),$G446,$F446)&gt;=DATE(PlanYear,12,1)),1,0))</f>
        <v>0</v>
      </c>
      <c r="AA446">
        <f>SUM($O446:$Z446)</f>
        <v>0</v>
      </c>
    </row>
    <row r="447" spans="1:27">
      <c r="A447" s="42">
        <f>IF($B447="","","ACT-"&amp;TEXT(ROW()-4,"000"))</f>
        <v>0</v>
      </c>
      <c r="M447" s="43">
        <f>IF(COUNTA($B447:$K447)=0,"",IF($B447="","Missing activity name",IF($C447="","Missing practice",IF(COUNTIF(PracticeNames,$C447)=0,"Practice not in Lists",IF($D447="","Missing motion",IF(NOT(ISNUMBER($F447)),"Missing or invalid start date",IF(AND(ISNUMBER($G447),$G447&lt;$F447),"End date before start",IF(AND($N447=1,$AA447=0),"Outside planning year","OK"))))))))</f>
        <v>0</v>
      </c>
      <c r="N447">
        <f>IF(AND($B447&lt;&gt;"",$C447&lt;&gt;"",$D447&lt;&gt;"",ISNUMBER($F447),COUNTIF(PracticeNames,$C447)&gt;0,COUNTIF(MotionNames,$D447)&gt;0,NOT(AND(ISNUMBER($G447),$G447&lt;$F447))),IF(StatusFilter="All (excl. Cancelled)",IF($H447="Cancelled",0,1),IF(StatusFilter="All",1,IF($H447=StatusFilter,1,0))),0)</f>
        <v>0</v>
      </c>
      <c r="O447">
        <f>IF($N447=0,0,IF(AND($F447&lt;=EOMONTH(DATE(PlanYear,1,1),0),IF(ISNUMBER($G447),$G447,$F447)&gt;=DATE(PlanYear,1,1)),1,0))</f>
        <v>0</v>
      </c>
      <c r="P447">
        <f>IF($N447=0,0,IF(AND($F447&lt;=EOMONTH(DATE(PlanYear,2,1),0),IF(ISNUMBER($G447),$G447,$F447)&gt;=DATE(PlanYear,2,1)),1,0))</f>
        <v>0</v>
      </c>
      <c r="Q447">
        <f>IF($N447=0,0,IF(AND($F447&lt;=EOMONTH(DATE(PlanYear,3,1),0),IF(ISNUMBER($G447),$G447,$F447)&gt;=DATE(PlanYear,3,1)),1,0))</f>
        <v>0</v>
      </c>
      <c r="R447">
        <f>IF($N447=0,0,IF(AND($F447&lt;=EOMONTH(DATE(PlanYear,4,1),0),IF(ISNUMBER($G447),$G447,$F447)&gt;=DATE(PlanYear,4,1)),1,0))</f>
        <v>0</v>
      </c>
      <c r="S447">
        <f>IF($N447=0,0,IF(AND($F447&lt;=EOMONTH(DATE(PlanYear,5,1),0),IF(ISNUMBER($G447),$G447,$F447)&gt;=DATE(PlanYear,5,1)),1,0))</f>
        <v>0</v>
      </c>
      <c r="T447">
        <f>IF($N447=0,0,IF(AND($F447&lt;=EOMONTH(DATE(PlanYear,6,1),0),IF(ISNUMBER($G447),$G447,$F447)&gt;=DATE(PlanYear,6,1)),1,0))</f>
        <v>0</v>
      </c>
      <c r="U447">
        <f>IF($N447=0,0,IF(AND($F447&lt;=EOMONTH(DATE(PlanYear,7,1),0),IF(ISNUMBER($G447),$G447,$F447)&gt;=DATE(PlanYear,7,1)),1,0))</f>
        <v>0</v>
      </c>
      <c r="V447">
        <f>IF($N447=0,0,IF(AND($F447&lt;=EOMONTH(DATE(PlanYear,8,1),0),IF(ISNUMBER($G447),$G447,$F447)&gt;=DATE(PlanYear,8,1)),1,0))</f>
        <v>0</v>
      </c>
      <c r="W447">
        <f>IF($N447=0,0,IF(AND($F447&lt;=EOMONTH(DATE(PlanYear,9,1),0),IF(ISNUMBER($G447),$G447,$F447)&gt;=DATE(PlanYear,9,1)),1,0))</f>
        <v>0</v>
      </c>
      <c r="X447">
        <f>IF($N447=0,0,IF(AND($F447&lt;=EOMONTH(DATE(PlanYear,10,1),0),IF(ISNUMBER($G447),$G447,$F447)&gt;=DATE(PlanYear,10,1)),1,0))</f>
        <v>0</v>
      </c>
      <c r="Y447">
        <f>IF($N447=0,0,IF(AND($F447&lt;=EOMONTH(DATE(PlanYear,11,1),0),IF(ISNUMBER($G447),$G447,$F447)&gt;=DATE(PlanYear,11,1)),1,0))</f>
        <v>0</v>
      </c>
      <c r="Z447">
        <f>IF($N447=0,0,IF(AND($F447&lt;=EOMONTH(DATE(PlanYear,12,1),0),IF(ISNUMBER($G447),$G447,$F447)&gt;=DATE(PlanYear,12,1)),1,0))</f>
        <v>0</v>
      </c>
      <c r="AA447">
        <f>SUM($O447:$Z447)</f>
        <v>0</v>
      </c>
    </row>
    <row r="448" spans="1:27">
      <c r="A448" s="42">
        <f>IF($B448="","","ACT-"&amp;TEXT(ROW()-4,"000"))</f>
        <v>0</v>
      </c>
      <c r="M448" s="43">
        <f>IF(COUNTA($B448:$K448)=0,"",IF($B448="","Missing activity name",IF($C448="","Missing practice",IF(COUNTIF(PracticeNames,$C448)=0,"Practice not in Lists",IF($D448="","Missing motion",IF(NOT(ISNUMBER($F448)),"Missing or invalid start date",IF(AND(ISNUMBER($G448),$G448&lt;$F448),"End date before start",IF(AND($N448=1,$AA448=0),"Outside planning year","OK"))))))))</f>
        <v>0</v>
      </c>
      <c r="N448">
        <f>IF(AND($B448&lt;&gt;"",$C448&lt;&gt;"",$D448&lt;&gt;"",ISNUMBER($F448),COUNTIF(PracticeNames,$C448)&gt;0,COUNTIF(MotionNames,$D448)&gt;0,NOT(AND(ISNUMBER($G448),$G448&lt;$F448))),IF(StatusFilter="All (excl. Cancelled)",IF($H448="Cancelled",0,1),IF(StatusFilter="All",1,IF($H448=StatusFilter,1,0))),0)</f>
        <v>0</v>
      </c>
      <c r="O448">
        <f>IF($N448=0,0,IF(AND($F448&lt;=EOMONTH(DATE(PlanYear,1,1),0),IF(ISNUMBER($G448),$G448,$F448)&gt;=DATE(PlanYear,1,1)),1,0))</f>
        <v>0</v>
      </c>
      <c r="P448">
        <f>IF($N448=0,0,IF(AND($F448&lt;=EOMONTH(DATE(PlanYear,2,1),0),IF(ISNUMBER($G448),$G448,$F448)&gt;=DATE(PlanYear,2,1)),1,0))</f>
        <v>0</v>
      </c>
      <c r="Q448">
        <f>IF($N448=0,0,IF(AND($F448&lt;=EOMONTH(DATE(PlanYear,3,1),0),IF(ISNUMBER($G448),$G448,$F448)&gt;=DATE(PlanYear,3,1)),1,0))</f>
        <v>0</v>
      </c>
      <c r="R448">
        <f>IF($N448=0,0,IF(AND($F448&lt;=EOMONTH(DATE(PlanYear,4,1),0),IF(ISNUMBER($G448),$G448,$F448)&gt;=DATE(PlanYear,4,1)),1,0))</f>
        <v>0</v>
      </c>
      <c r="S448">
        <f>IF($N448=0,0,IF(AND($F448&lt;=EOMONTH(DATE(PlanYear,5,1),0),IF(ISNUMBER($G448),$G448,$F448)&gt;=DATE(PlanYear,5,1)),1,0))</f>
        <v>0</v>
      </c>
      <c r="T448">
        <f>IF($N448=0,0,IF(AND($F448&lt;=EOMONTH(DATE(PlanYear,6,1),0),IF(ISNUMBER($G448),$G448,$F448)&gt;=DATE(PlanYear,6,1)),1,0))</f>
        <v>0</v>
      </c>
      <c r="U448">
        <f>IF($N448=0,0,IF(AND($F448&lt;=EOMONTH(DATE(PlanYear,7,1),0),IF(ISNUMBER($G448),$G448,$F448)&gt;=DATE(PlanYear,7,1)),1,0))</f>
        <v>0</v>
      </c>
      <c r="V448">
        <f>IF($N448=0,0,IF(AND($F448&lt;=EOMONTH(DATE(PlanYear,8,1),0),IF(ISNUMBER($G448),$G448,$F448)&gt;=DATE(PlanYear,8,1)),1,0))</f>
        <v>0</v>
      </c>
      <c r="W448">
        <f>IF($N448=0,0,IF(AND($F448&lt;=EOMONTH(DATE(PlanYear,9,1),0),IF(ISNUMBER($G448),$G448,$F448)&gt;=DATE(PlanYear,9,1)),1,0))</f>
        <v>0</v>
      </c>
      <c r="X448">
        <f>IF($N448=0,0,IF(AND($F448&lt;=EOMONTH(DATE(PlanYear,10,1),0),IF(ISNUMBER($G448),$G448,$F448)&gt;=DATE(PlanYear,10,1)),1,0))</f>
        <v>0</v>
      </c>
      <c r="Y448">
        <f>IF($N448=0,0,IF(AND($F448&lt;=EOMONTH(DATE(PlanYear,11,1),0),IF(ISNUMBER($G448),$G448,$F448)&gt;=DATE(PlanYear,11,1)),1,0))</f>
        <v>0</v>
      </c>
      <c r="Z448">
        <f>IF($N448=0,0,IF(AND($F448&lt;=EOMONTH(DATE(PlanYear,12,1),0),IF(ISNUMBER($G448),$G448,$F448)&gt;=DATE(PlanYear,12,1)),1,0))</f>
        <v>0</v>
      </c>
      <c r="AA448">
        <f>SUM($O448:$Z448)</f>
        <v>0</v>
      </c>
    </row>
    <row r="449" spans="1:27">
      <c r="A449" s="42">
        <f>IF($B449="","","ACT-"&amp;TEXT(ROW()-4,"000"))</f>
        <v>0</v>
      </c>
      <c r="M449" s="43">
        <f>IF(COUNTA($B449:$K449)=0,"",IF($B449="","Missing activity name",IF($C449="","Missing practice",IF(COUNTIF(PracticeNames,$C449)=0,"Practice not in Lists",IF($D449="","Missing motion",IF(NOT(ISNUMBER($F449)),"Missing or invalid start date",IF(AND(ISNUMBER($G449),$G449&lt;$F449),"End date before start",IF(AND($N449=1,$AA449=0),"Outside planning year","OK"))))))))</f>
        <v>0</v>
      </c>
      <c r="N449">
        <f>IF(AND($B449&lt;&gt;"",$C449&lt;&gt;"",$D449&lt;&gt;"",ISNUMBER($F449),COUNTIF(PracticeNames,$C449)&gt;0,COUNTIF(MotionNames,$D449)&gt;0,NOT(AND(ISNUMBER($G449),$G449&lt;$F449))),IF(StatusFilter="All (excl. Cancelled)",IF($H449="Cancelled",0,1),IF(StatusFilter="All",1,IF($H449=StatusFilter,1,0))),0)</f>
        <v>0</v>
      </c>
      <c r="O449">
        <f>IF($N449=0,0,IF(AND($F449&lt;=EOMONTH(DATE(PlanYear,1,1),0),IF(ISNUMBER($G449),$G449,$F449)&gt;=DATE(PlanYear,1,1)),1,0))</f>
        <v>0</v>
      </c>
      <c r="P449">
        <f>IF($N449=0,0,IF(AND($F449&lt;=EOMONTH(DATE(PlanYear,2,1),0),IF(ISNUMBER($G449),$G449,$F449)&gt;=DATE(PlanYear,2,1)),1,0))</f>
        <v>0</v>
      </c>
      <c r="Q449">
        <f>IF($N449=0,0,IF(AND($F449&lt;=EOMONTH(DATE(PlanYear,3,1),0),IF(ISNUMBER($G449),$G449,$F449)&gt;=DATE(PlanYear,3,1)),1,0))</f>
        <v>0</v>
      </c>
      <c r="R449">
        <f>IF($N449=0,0,IF(AND($F449&lt;=EOMONTH(DATE(PlanYear,4,1),0),IF(ISNUMBER($G449),$G449,$F449)&gt;=DATE(PlanYear,4,1)),1,0))</f>
        <v>0</v>
      </c>
      <c r="S449">
        <f>IF($N449=0,0,IF(AND($F449&lt;=EOMONTH(DATE(PlanYear,5,1),0),IF(ISNUMBER($G449),$G449,$F449)&gt;=DATE(PlanYear,5,1)),1,0))</f>
        <v>0</v>
      </c>
      <c r="T449">
        <f>IF($N449=0,0,IF(AND($F449&lt;=EOMONTH(DATE(PlanYear,6,1),0),IF(ISNUMBER($G449),$G449,$F449)&gt;=DATE(PlanYear,6,1)),1,0))</f>
        <v>0</v>
      </c>
      <c r="U449">
        <f>IF($N449=0,0,IF(AND($F449&lt;=EOMONTH(DATE(PlanYear,7,1),0),IF(ISNUMBER($G449),$G449,$F449)&gt;=DATE(PlanYear,7,1)),1,0))</f>
        <v>0</v>
      </c>
      <c r="V449">
        <f>IF($N449=0,0,IF(AND($F449&lt;=EOMONTH(DATE(PlanYear,8,1),0),IF(ISNUMBER($G449),$G449,$F449)&gt;=DATE(PlanYear,8,1)),1,0))</f>
        <v>0</v>
      </c>
      <c r="W449">
        <f>IF($N449=0,0,IF(AND($F449&lt;=EOMONTH(DATE(PlanYear,9,1),0),IF(ISNUMBER($G449),$G449,$F449)&gt;=DATE(PlanYear,9,1)),1,0))</f>
        <v>0</v>
      </c>
      <c r="X449">
        <f>IF($N449=0,0,IF(AND($F449&lt;=EOMONTH(DATE(PlanYear,10,1),0),IF(ISNUMBER($G449),$G449,$F449)&gt;=DATE(PlanYear,10,1)),1,0))</f>
        <v>0</v>
      </c>
      <c r="Y449">
        <f>IF($N449=0,0,IF(AND($F449&lt;=EOMONTH(DATE(PlanYear,11,1),0),IF(ISNUMBER($G449),$G449,$F449)&gt;=DATE(PlanYear,11,1)),1,0))</f>
        <v>0</v>
      </c>
      <c r="Z449">
        <f>IF($N449=0,0,IF(AND($F449&lt;=EOMONTH(DATE(PlanYear,12,1),0),IF(ISNUMBER($G449),$G449,$F449)&gt;=DATE(PlanYear,12,1)),1,0))</f>
        <v>0</v>
      </c>
      <c r="AA449">
        <f>SUM($O449:$Z449)</f>
        <v>0</v>
      </c>
    </row>
    <row r="450" spans="1:27">
      <c r="A450" s="42">
        <f>IF($B450="","","ACT-"&amp;TEXT(ROW()-4,"000"))</f>
        <v>0</v>
      </c>
      <c r="M450" s="43">
        <f>IF(COUNTA($B450:$K450)=0,"",IF($B450="","Missing activity name",IF($C450="","Missing practice",IF(COUNTIF(PracticeNames,$C450)=0,"Practice not in Lists",IF($D450="","Missing motion",IF(NOT(ISNUMBER($F450)),"Missing or invalid start date",IF(AND(ISNUMBER($G450),$G450&lt;$F450),"End date before start",IF(AND($N450=1,$AA450=0),"Outside planning year","OK"))))))))</f>
        <v>0</v>
      </c>
      <c r="N450">
        <f>IF(AND($B450&lt;&gt;"",$C450&lt;&gt;"",$D450&lt;&gt;"",ISNUMBER($F450),COUNTIF(PracticeNames,$C450)&gt;0,COUNTIF(MotionNames,$D450)&gt;0,NOT(AND(ISNUMBER($G450),$G450&lt;$F450))),IF(StatusFilter="All (excl. Cancelled)",IF($H450="Cancelled",0,1),IF(StatusFilter="All",1,IF($H450=StatusFilter,1,0))),0)</f>
        <v>0</v>
      </c>
      <c r="O450">
        <f>IF($N450=0,0,IF(AND($F450&lt;=EOMONTH(DATE(PlanYear,1,1),0),IF(ISNUMBER($G450),$G450,$F450)&gt;=DATE(PlanYear,1,1)),1,0))</f>
        <v>0</v>
      </c>
      <c r="P450">
        <f>IF($N450=0,0,IF(AND($F450&lt;=EOMONTH(DATE(PlanYear,2,1),0),IF(ISNUMBER($G450),$G450,$F450)&gt;=DATE(PlanYear,2,1)),1,0))</f>
        <v>0</v>
      </c>
      <c r="Q450">
        <f>IF($N450=0,0,IF(AND($F450&lt;=EOMONTH(DATE(PlanYear,3,1),0),IF(ISNUMBER($G450),$G450,$F450)&gt;=DATE(PlanYear,3,1)),1,0))</f>
        <v>0</v>
      </c>
      <c r="R450">
        <f>IF($N450=0,0,IF(AND($F450&lt;=EOMONTH(DATE(PlanYear,4,1),0),IF(ISNUMBER($G450),$G450,$F450)&gt;=DATE(PlanYear,4,1)),1,0))</f>
        <v>0</v>
      </c>
      <c r="S450">
        <f>IF($N450=0,0,IF(AND($F450&lt;=EOMONTH(DATE(PlanYear,5,1),0),IF(ISNUMBER($G450),$G450,$F450)&gt;=DATE(PlanYear,5,1)),1,0))</f>
        <v>0</v>
      </c>
      <c r="T450">
        <f>IF($N450=0,0,IF(AND($F450&lt;=EOMONTH(DATE(PlanYear,6,1),0),IF(ISNUMBER($G450),$G450,$F450)&gt;=DATE(PlanYear,6,1)),1,0))</f>
        <v>0</v>
      </c>
      <c r="U450">
        <f>IF($N450=0,0,IF(AND($F450&lt;=EOMONTH(DATE(PlanYear,7,1),0),IF(ISNUMBER($G450),$G450,$F450)&gt;=DATE(PlanYear,7,1)),1,0))</f>
        <v>0</v>
      </c>
      <c r="V450">
        <f>IF($N450=0,0,IF(AND($F450&lt;=EOMONTH(DATE(PlanYear,8,1),0),IF(ISNUMBER($G450),$G450,$F450)&gt;=DATE(PlanYear,8,1)),1,0))</f>
        <v>0</v>
      </c>
      <c r="W450">
        <f>IF($N450=0,0,IF(AND($F450&lt;=EOMONTH(DATE(PlanYear,9,1),0),IF(ISNUMBER($G450),$G450,$F450)&gt;=DATE(PlanYear,9,1)),1,0))</f>
        <v>0</v>
      </c>
      <c r="X450">
        <f>IF($N450=0,0,IF(AND($F450&lt;=EOMONTH(DATE(PlanYear,10,1),0),IF(ISNUMBER($G450),$G450,$F450)&gt;=DATE(PlanYear,10,1)),1,0))</f>
        <v>0</v>
      </c>
      <c r="Y450">
        <f>IF($N450=0,0,IF(AND($F450&lt;=EOMONTH(DATE(PlanYear,11,1),0),IF(ISNUMBER($G450),$G450,$F450)&gt;=DATE(PlanYear,11,1)),1,0))</f>
        <v>0</v>
      </c>
      <c r="Z450">
        <f>IF($N450=0,0,IF(AND($F450&lt;=EOMONTH(DATE(PlanYear,12,1),0),IF(ISNUMBER($G450),$G450,$F450)&gt;=DATE(PlanYear,12,1)),1,0))</f>
        <v>0</v>
      </c>
      <c r="AA450">
        <f>SUM($O450:$Z450)</f>
        <v>0</v>
      </c>
    </row>
    <row r="451" spans="1:27">
      <c r="A451" s="42">
        <f>IF($B451="","","ACT-"&amp;TEXT(ROW()-4,"000"))</f>
        <v>0</v>
      </c>
      <c r="M451" s="43">
        <f>IF(COUNTA($B451:$K451)=0,"",IF($B451="","Missing activity name",IF($C451="","Missing practice",IF(COUNTIF(PracticeNames,$C451)=0,"Practice not in Lists",IF($D451="","Missing motion",IF(NOT(ISNUMBER($F451)),"Missing or invalid start date",IF(AND(ISNUMBER($G451),$G451&lt;$F451),"End date before start",IF(AND($N451=1,$AA451=0),"Outside planning year","OK"))))))))</f>
        <v>0</v>
      </c>
      <c r="N451">
        <f>IF(AND($B451&lt;&gt;"",$C451&lt;&gt;"",$D451&lt;&gt;"",ISNUMBER($F451),COUNTIF(PracticeNames,$C451)&gt;0,COUNTIF(MotionNames,$D451)&gt;0,NOT(AND(ISNUMBER($G451),$G451&lt;$F451))),IF(StatusFilter="All (excl. Cancelled)",IF($H451="Cancelled",0,1),IF(StatusFilter="All",1,IF($H451=StatusFilter,1,0))),0)</f>
        <v>0</v>
      </c>
      <c r="O451">
        <f>IF($N451=0,0,IF(AND($F451&lt;=EOMONTH(DATE(PlanYear,1,1),0),IF(ISNUMBER($G451),$G451,$F451)&gt;=DATE(PlanYear,1,1)),1,0))</f>
        <v>0</v>
      </c>
      <c r="P451">
        <f>IF($N451=0,0,IF(AND($F451&lt;=EOMONTH(DATE(PlanYear,2,1),0),IF(ISNUMBER($G451),$G451,$F451)&gt;=DATE(PlanYear,2,1)),1,0))</f>
        <v>0</v>
      </c>
      <c r="Q451">
        <f>IF($N451=0,0,IF(AND($F451&lt;=EOMONTH(DATE(PlanYear,3,1),0),IF(ISNUMBER($G451),$G451,$F451)&gt;=DATE(PlanYear,3,1)),1,0))</f>
        <v>0</v>
      </c>
      <c r="R451">
        <f>IF($N451=0,0,IF(AND($F451&lt;=EOMONTH(DATE(PlanYear,4,1),0),IF(ISNUMBER($G451),$G451,$F451)&gt;=DATE(PlanYear,4,1)),1,0))</f>
        <v>0</v>
      </c>
      <c r="S451">
        <f>IF($N451=0,0,IF(AND($F451&lt;=EOMONTH(DATE(PlanYear,5,1),0),IF(ISNUMBER($G451),$G451,$F451)&gt;=DATE(PlanYear,5,1)),1,0))</f>
        <v>0</v>
      </c>
      <c r="T451">
        <f>IF($N451=0,0,IF(AND($F451&lt;=EOMONTH(DATE(PlanYear,6,1),0),IF(ISNUMBER($G451),$G451,$F451)&gt;=DATE(PlanYear,6,1)),1,0))</f>
        <v>0</v>
      </c>
      <c r="U451">
        <f>IF($N451=0,0,IF(AND($F451&lt;=EOMONTH(DATE(PlanYear,7,1),0),IF(ISNUMBER($G451),$G451,$F451)&gt;=DATE(PlanYear,7,1)),1,0))</f>
        <v>0</v>
      </c>
      <c r="V451">
        <f>IF($N451=0,0,IF(AND($F451&lt;=EOMONTH(DATE(PlanYear,8,1),0),IF(ISNUMBER($G451),$G451,$F451)&gt;=DATE(PlanYear,8,1)),1,0))</f>
        <v>0</v>
      </c>
      <c r="W451">
        <f>IF($N451=0,0,IF(AND($F451&lt;=EOMONTH(DATE(PlanYear,9,1),0),IF(ISNUMBER($G451),$G451,$F451)&gt;=DATE(PlanYear,9,1)),1,0))</f>
        <v>0</v>
      </c>
      <c r="X451">
        <f>IF($N451=0,0,IF(AND($F451&lt;=EOMONTH(DATE(PlanYear,10,1),0),IF(ISNUMBER($G451),$G451,$F451)&gt;=DATE(PlanYear,10,1)),1,0))</f>
        <v>0</v>
      </c>
      <c r="Y451">
        <f>IF($N451=0,0,IF(AND($F451&lt;=EOMONTH(DATE(PlanYear,11,1),0),IF(ISNUMBER($G451),$G451,$F451)&gt;=DATE(PlanYear,11,1)),1,0))</f>
        <v>0</v>
      </c>
      <c r="Z451">
        <f>IF($N451=0,0,IF(AND($F451&lt;=EOMONTH(DATE(PlanYear,12,1),0),IF(ISNUMBER($G451),$G451,$F451)&gt;=DATE(PlanYear,12,1)),1,0))</f>
        <v>0</v>
      </c>
      <c r="AA451">
        <f>SUM($O451:$Z451)</f>
        <v>0</v>
      </c>
    </row>
    <row r="452" spans="1:27">
      <c r="A452" s="42">
        <f>IF($B452="","","ACT-"&amp;TEXT(ROW()-4,"000"))</f>
        <v>0</v>
      </c>
      <c r="M452" s="43">
        <f>IF(COUNTA($B452:$K452)=0,"",IF($B452="","Missing activity name",IF($C452="","Missing practice",IF(COUNTIF(PracticeNames,$C452)=0,"Practice not in Lists",IF($D452="","Missing motion",IF(NOT(ISNUMBER($F452)),"Missing or invalid start date",IF(AND(ISNUMBER($G452),$G452&lt;$F452),"End date before start",IF(AND($N452=1,$AA452=0),"Outside planning year","OK"))))))))</f>
        <v>0</v>
      </c>
      <c r="N452">
        <f>IF(AND($B452&lt;&gt;"",$C452&lt;&gt;"",$D452&lt;&gt;"",ISNUMBER($F452),COUNTIF(PracticeNames,$C452)&gt;0,COUNTIF(MotionNames,$D452)&gt;0,NOT(AND(ISNUMBER($G452),$G452&lt;$F452))),IF(StatusFilter="All (excl. Cancelled)",IF($H452="Cancelled",0,1),IF(StatusFilter="All",1,IF($H452=StatusFilter,1,0))),0)</f>
        <v>0</v>
      </c>
      <c r="O452">
        <f>IF($N452=0,0,IF(AND($F452&lt;=EOMONTH(DATE(PlanYear,1,1),0),IF(ISNUMBER($G452),$G452,$F452)&gt;=DATE(PlanYear,1,1)),1,0))</f>
        <v>0</v>
      </c>
      <c r="P452">
        <f>IF($N452=0,0,IF(AND($F452&lt;=EOMONTH(DATE(PlanYear,2,1),0),IF(ISNUMBER($G452),$G452,$F452)&gt;=DATE(PlanYear,2,1)),1,0))</f>
        <v>0</v>
      </c>
      <c r="Q452">
        <f>IF($N452=0,0,IF(AND($F452&lt;=EOMONTH(DATE(PlanYear,3,1),0),IF(ISNUMBER($G452),$G452,$F452)&gt;=DATE(PlanYear,3,1)),1,0))</f>
        <v>0</v>
      </c>
      <c r="R452">
        <f>IF($N452=0,0,IF(AND($F452&lt;=EOMONTH(DATE(PlanYear,4,1),0),IF(ISNUMBER($G452),$G452,$F452)&gt;=DATE(PlanYear,4,1)),1,0))</f>
        <v>0</v>
      </c>
      <c r="S452">
        <f>IF($N452=0,0,IF(AND($F452&lt;=EOMONTH(DATE(PlanYear,5,1),0),IF(ISNUMBER($G452),$G452,$F452)&gt;=DATE(PlanYear,5,1)),1,0))</f>
        <v>0</v>
      </c>
      <c r="T452">
        <f>IF($N452=0,0,IF(AND($F452&lt;=EOMONTH(DATE(PlanYear,6,1),0),IF(ISNUMBER($G452),$G452,$F452)&gt;=DATE(PlanYear,6,1)),1,0))</f>
        <v>0</v>
      </c>
      <c r="U452">
        <f>IF($N452=0,0,IF(AND($F452&lt;=EOMONTH(DATE(PlanYear,7,1),0),IF(ISNUMBER($G452),$G452,$F452)&gt;=DATE(PlanYear,7,1)),1,0))</f>
        <v>0</v>
      </c>
      <c r="V452">
        <f>IF($N452=0,0,IF(AND($F452&lt;=EOMONTH(DATE(PlanYear,8,1),0),IF(ISNUMBER($G452),$G452,$F452)&gt;=DATE(PlanYear,8,1)),1,0))</f>
        <v>0</v>
      </c>
      <c r="W452">
        <f>IF($N452=0,0,IF(AND($F452&lt;=EOMONTH(DATE(PlanYear,9,1),0),IF(ISNUMBER($G452),$G452,$F452)&gt;=DATE(PlanYear,9,1)),1,0))</f>
        <v>0</v>
      </c>
      <c r="X452">
        <f>IF($N452=0,0,IF(AND($F452&lt;=EOMONTH(DATE(PlanYear,10,1),0),IF(ISNUMBER($G452),$G452,$F452)&gt;=DATE(PlanYear,10,1)),1,0))</f>
        <v>0</v>
      </c>
      <c r="Y452">
        <f>IF($N452=0,0,IF(AND($F452&lt;=EOMONTH(DATE(PlanYear,11,1),0),IF(ISNUMBER($G452),$G452,$F452)&gt;=DATE(PlanYear,11,1)),1,0))</f>
        <v>0</v>
      </c>
      <c r="Z452">
        <f>IF($N452=0,0,IF(AND($F452&lt;=EOMONTH(DATE(PlanYear,12,1),0),IF(ISNUMBER($G452),$G452,$F452)&gt;=DATE(PlanYear,12,1)),1,0))</f>
        <v>0</v>
      </c>
      <c r="AA452">
        <f>SUM($O452:$Z452)</f>
        <v>0</v>
      </c>
    </row>
    <row r="453" spans="1:27">
      <c r="A453" s="42">
        <f>IF($B453="","","ACT-"&amp;TEXT(ROW()-4,"000"))</f>
        <v>0</v>
      </c>
      <c r="M453" s="43">
        <f>IF(COUNTA($B453:$K453)=0,"",IF($B453="","Missing activity name",IF($C453="","Missing practice",IF(COUNTIF(PracticeNames,$C453)=0,"Practice not in Lists",IF($D453="","Missing motion",IF(NOT(ISNUMBER($F453)),"Missing or invalid start date",IF(AND(ISNUMBER($G453),$G453&lt;$F453),"End date before start",IF(AND($N453=1,$AA453=0),"Outside planning year","OK"))))))))</f>
        <v>0</v>
      </c>
      <c r="N453">
        <f>IF(AND($B453&lt;&gt;"",$C453&lt;&gt;"",$D453&lt;&gt;"",ISNUMBER($F453),COUNTIF(PracticeNames,$C453)&gt;0,COUNTIF(MotionNames,$D453)&gt;0,NOT(AND(ISNUMBER($G453),$G453&lt;$F453))),IF(StatusFilter="All (excl. Cancelled)",IF($H453="Cancelled",0,1),IF(StatusFilter="All",1,IF($H453=StatusFilter,1,0))),0)</f>
        <v>0</v>
      </c>
      <c r="O453">
        <f>IF($N453=0,0,IF(AND($F453&lt;=EOMONTH(DATE(PlanYear,1,1),0),IF(ISNUMBER($G453),$G453,$F453)&gt;=DATE(PlanYear,1,1)),1,0))</f>
        <v>0</v>
      </c>
      <c r="P453">
        <f>IF($N453=0,0,IF(AND($F453&lt;=EOMONTH(DATE(PlanYear,2,1),0),IF(ISNUMBER($G453),$G453,$F453)&gt;=DATE(PlanYear,2,1)),1,0))</f>
        <v>0</v>
      </c>
      <c r="Q453">
        <f>IF($N453=0,0,IF(AND($F453&lt;=EOMONTH(DATE(PlanYear,3,1),0),IF(ISNUMBER($G453),$G453,$F453)&gt;=DATE(PlanYear,3,1)),1,0))</f>
        <v>0</v>
      </c>
      <c r="R453">
        <f>IF($N453=0,0,IF(AND($F453&lt;=EOMONTH(DATE(PlanYear,4,1),0),IF(ISNUMBER($G453),$G453,$F453)&gt;=DATE(PlanYear,4,1)),1,0))</f>
        <v>0</v>
      </c>
      <c r="S453">
        <f>IF($N453=0,0,IF(AND($F453&lt;=EOMONTH(DATE(PlanYear,5,1),0),IF(ISNUMBER($G453),$G453,$F453)&gt;=DATE(PlanYear,5,1)),1,0))</f>
        <v>0</v>
      </c>
      <c r="T453">
        <f>IF($N453=0,0,IF(AND($F453&lt;=EOMONTH(DATE(PlanYear,6,1),0),IF(ISNUMBER($G453),$G453,$F453)&gt;=DATE(PlanYear,6,1)),1,0))</f>
        <v>0</v>
      </c>
      <c r="U453">
        <f>IF($N453=0,0,IF(AND($F453&lt;=EOMONTH(DATE(PlanYear,7,1),0),IF(ISNUMBER($G453),$G453,$F453)&gt;=DATE(PlanYear,7,1)),1,0))</f>
        <v>0</v>
      </c>
      <c r="V453">
        <f>IF($N453=0,0,IF(AND($F453&lt;=EOMONTH(DATE(PlanYear,8,1),0),IF(ISNUMBER($G453),$G453,$F453)&gt;=DATE(PlanYear,8,1)),1,0))</f>
        <v>0</v>
      </c>
      <c r="W453">
        <f>IF($N453=0,0,IF(AND($F453&lt;=EOMONTH(DATE(PlanYear,9,1),0),IF(ISNUMBER($G453),$G453,$F453)&gt;=DATE(PlanYear,9,1)),1,0))</f>
        <v>0</v>
      </c>
      <c r="X453">
        <f>IF($N453=0,0,IF(AND($F453&lt;=EOMONTH(DATE(PlanYear,10,1),0),IF(ISNUMBER($G453),$G453,$F453)&gt;=DATE(PlanYear,10,1)),1,0))</f>
        <v>0</v>
      </c>
      <c r="Y453">
        <f>IF($N453=0,0,IF(AND($F453&lt;=EOMONTH(DATE(PlanYear,11,1),0),IF(ISNUMBER($G453),$G453,$F453)&gt;=DATE(PlanYear,11,1)),1,0))</f>
        <v>0</v>
      </c>
      <c r="Z453">
        <f>IF($N453=0,0,IF(AND($F453&lt;=EOMONTH(DATE(PlanYear,12,1),0),IF(ISNUMBER($G453),$G453,$F453)&gt;=DATE(PlanYear,12,1)),1,0))</f>
        <v>0</v>
      </c>
      <c r="AA453">
        <f>SUM($O453:$Z453)</f>
        <v>0</v>
      </c>
    </row>
    <row r="454" spans="1:27">
      <c r="A454" s="42">
        <f>IF($B454="","","ACT-"&amp;TEXT(ROW()-4,"000"))</f>
        <v>0</v>
      </c>
      <c r="M454" s="43">
        <f>IF(COUNTA($B454:$K454)=0,"",IF($B454="","Missing activity name",IF($C454="","Missing practice",IF(COUNTIF(PracticeNames,$C454)=0,"Practice not in Lists",IF($D454="","Missing motion",IF(NOT(ISNUMBER($F454)),"Missing or invalid start date",IF(AND(ISNUMBER($G454),$G454&lt;$F454),"End date before start",IF(AND($N454=1,$AA454=0),"Outside planning year","OK"))))))))</f>
        <v>0</v>
      </c>
      <c r="N454">
        <f>IF(AND($B454&lt;&gt;"",$C454&lt;&gt;"",$D454&lt;&gt;"",ISNUMBER($F454),COUNTIF(PracticeNames,$C454)&gt;0,COUNTIF(MotionNames,$D454)&gt;0,NOT(AND(ISNUMBER($G454),$G454&lt;$F454))),IF(StatusFilter="All (excl. Cancelled)",IF($H454="Cancelled",0,1),IF(StatusFilter="All",1,IF($H454=StatusFilter,1,0))),0)</f>
        <v>0</v>
      </c>
      <c r="O454">
        <f>IF($N454=0,0,IF(AND($F454&lt;=EOMONTH(DATE(PlanYear,1,1),0),IF(ISNUMBER($G454),$G454,$F454)&gt;=DATE(PlanYear,1,1)),1,0))</f>
        <v>0</v>
      </c>
      <c r="P454">
        <f>IF($N454=0,0,IF(AND($F454&lt;=EOMONTH(DATE(PlanYear,2,1),0),IF(ISNUMBER($G454),$G454,$F454)&gt;=DATE(PlanYear,2,1)),1,0))</f>
        <v>0</v>
      </c>
      <c r="Q454">
        <f>IF($N454=0,0,IF(AND($F454&lt;=EOMONTH(DATE(PlanYear,3,1),0),IF(ISNUMBER($G454),$G454,$F454)&gt;=DATE(PlanYear,3,1)),1,0))</f>
        <v>0</v>
      </c>
      <c r="R454">
        <f>IF($N454=0,0,IF(AND($F454&lt;=EOMONTH(DATE(PlanYear,4,1),0),IF(ISNUMBER($G454),$G454,$F454)&gt;=DATE(PlanYear,4,1)),1,0))</f>
        <v>0</v>
      </c>
      <c r="S454">
        <f>IF($N454=0,0,IF(AND($F454&lt;=EOMONTH(DATE(PlanYear,5,1),0),IF(ISNUMBER($G454),$G454,$F454)&gt;=DATE(PlanYear,5,1)),1,0))</f>
        <v>0</v>
      </c>
      <c r="T454">
        <f>IF($N454=0,0,IF(AND($F454&lt;=EOMONTH(DATE(PlanYear,6,1),0),IF(ISNUMBER($G454),$G454,$F454)&gt;=DATE(PlanYear,6,1)),1,0))</f>
        <v>0</v>
      </c>
      <c r="U454">
        <f>IF($N454=0,0,IF(AND($F454&lt;=EOMONTH(DATE(PlanYear,7,1),0),IF(ISNUMBER($G454),$G454,$F454)&gt;=DATE(PlanYear,7,1)),1,0))</f>
        <v>0</v>
      </c>
      <c r="V454">
        <f>IF($N454=0,0,IF(AND($F454&lt;=EOMONTH(DATE(PlanYear,8,1),0),IF(ISNUMBER($G454),$G454,$F454)&gt;=DATE(PlanYear,8,1)),1,0))</f>
        <v>0</v>
      </c>
      <c r="W454">
        <f>IF($N454=0,0,IF(AND($F454&lt;=EOMONTH(DATE(PlanYear,9,1),0),IF(ISNUMBER($G454),$G454,$F454)&gt;=DATE(PlanYear,9,1)),1,0))</f>
        <v>0</v>
      </c>
      <c r="X454">
        <f>IF($N454=0,0,IF(AND($F454&lt;=EOMONTH(DATE(PlanYear,10,1),0),IF(ISNUMBER($G454),$G454,$F454)&gt;=DATE(PlanYear,10,1)),1,0))</f>
        <v>0</v>
      </c>
      <c r="Y454">
        <f>IF($N454=0,0,IF(AND($F454&lt;=EOMONTH(DATE(PlanYear,11,1),0),IF(ISNUMBER($G454),$G454,$F454)&gt;=DATE(PlanYear,11,1)),1,0))</f>
        <v>0</v>
      </c>
      <c r="Z454">
        <f>IF($N454=0,0,IF(AND($F454&lt;=EOMONTH(DATE(PlanYear,12,1),0),IF(ISNUMBER($G454),$G454,$F454)&gt;=DATE(PlanYear,12,1)),1,0))</f>
        <v>0</v>
      </c>
      <c r="AA454">
        <f>SUM($O454:$Z454)</f>
        <v>0</v>
      </c>
    </row>
    <row r="455" spans="1:27">
      <c r="A455" s="42">
        <f>IF($B455="","","ACT-"&amp;TEXT(ROW()-4,"000"))</f>
        <v>0</v>
      </c>
      <c r="M455" s="43">
        <f>IF(COUNTA($B455:$K455)=0,"",IF($B455="","Missing activity name",IF($C455="","Missing practice",IF(COUNTIF(PracticeNames,$C455)=0,"Practice not in Lists",IF($D455="","Missing motion",IF(NOT(ISNUMBER($F455)),"Missing or invalid start date",IF(AND(ISNUMBER($G455),$G455&lt;$F455),"End date before start",IF(AND($N455=1,$AA455=0),"Outside planning year","OK"))))))))</f>
        <v>0</v>
      </c>
      <c r="N455">
        <f>IF(AND($B455&lt;&gt;"",$C455&lt;&gt;"",$D455&lt;&gt;"",ISNUMBER($F455),COUNTIF(PracticeNames,$C455)&gt;0,COUNTIF(MotionNames,$D455)&gt;0,NOT(AND(ISNUMBER($G455),$G455&lt;$F455))),IF(StatusFilter="All (excl. Cancelled)",IF($H455="Cancelled",0,1),IF(StatusFilter="All",1,IF($H455=StatusFilter,1,0))),0)</f>
        <v>0</v>
      </c>
      <c r="O455">
        <f>IF($N455=0,0,IF(AND($F455&lt;=EOMONTH(DATE(PlanYear,1,1),0),IF(ISNUMBER($G455),$G455,$F455)&gt;=DATE(PlanYear,1,1)),1,0))</f>
        <v>0</v>
      </c>
      <c r="P455">
        <f>IF($N455=0,0,IF(AND($F455&lt;=EOMONTH(DATE(PlanYear,2,1),0),IF(ISNUMBER($G455),$G455,$F455)&gt;=DATE(PlanYear,2,1)),1,0))</f>
        <v>0</v>
      </c>
      <c r="Q455">
        <f>IF($N455=0,0,IF(AND($F455&lt;=EOMONTH(DATE(PlanYear,3,1),0),IF(ISNUMBER($G455),$G455,$F455)&gt;=DATE(PlanYear,3,1)),1,0))</f>
        <v>0</v>
      </c>
      <c r="R455">
        <f>IF($N455=0,0,IF(AND($F455&lt;=EOMONTH(DATE(PlanYear,4,1),0),IF(ISNUMBER($G455),$G455,$F455)&gt;=DATE(PlanYear,4,1)),1,0))</f>
        <v>0</v>
      </c>
      <c r="S455">
        <f>IF($N455=0,0,IF(AND($F455&lt;=EOMONTH(DATE(PlanYear,5,1),0),IF(ISNUMBER($G455),$G455,$F455)&gt;=DATE(PlanYear,5,1)),1,0))</f>
        <v>0</v>
      </c>
      <c r="T455">
        <f>IF($N455=0,0,IF(AND($F455&lt;=EOMONTH(DATE(PlanYear,6,1),0),IF(ISNUMBER($G455),$G455,$F455)&gt;=DATE(PlanYear,6,1)),1,0))</f>
        <v>0</v>
      </c>
      <c r="U455">
        <f>IF($N455=0,0,IF(AND($F455&lt;=EOMONTH(DATE(PlanYear,7,1),0),IF(ISNUMBER($G455),$G455,$F455)&gt;=DATE(PlanYear,7,1)),1,0))</f>
        <v>0</v>
      </c>
      <c r="V455">
        <f>IF($N455=0,0,IF(AND($F455&lt;=EOMONTH(DATE(PlanYear,8,1),0),IF(ISNUMBER($G455),$G455,$F455)&gt;=DATE(PlanYear,8,1)),1,0))</f>
        <v>0</v>
      </c>
      <c r="W455">
        <f>IF($N455=0,0,IF(AND($F455&lt;=EOMONTH(DATE(PlanYear,9,1),0),IF(ISNUMBER($G455),$G455,$F455)&gt;=DATE(PlanYear,9,1)),1,0))</f>
        <v>0</v>
      </c>
      <c r="X455">
        <f>IF($N455=0,0,IF(AND($F455&lt;=EOMONTH(DATE(PlanYear,10,1),0),IF(ISNUMBER($G455),$G455,$F455)&gt;=DATE(PlanYear,10,1)),1,0))</f>
        <v>0</v>
      </c>
      <c r="Y455">
        <f>IF($N455=0,0,IF(AND($F455&lt;=EOMONTH(DATE(PlanYear,11,1),0),IF(ISNUMBER($G455),$G455,$F455)&gt;=DATE(PlanYear,11,1)),1,0))</f>
        <v>0</v>
      </c>
      <c r="Z455">
        <f>IF($N455=0,0,IF(AND($F455&lt;=EOMONTH(DATE(PlanYear,12,1),0),IF(ISNUMBER($G455),$G455,$F455)&gt;=DATE(PlanYear,12,1)),1,0))</f>
        <v>0</v>
      </c>
      <c r="AA455">
        <f>SUM($O455:$Z455)</f>
        <v>0</v>
      </c>
    </row>
    <row r="456" spans="1:27">
      <c r="A456" s="42">
        <f>IF($B456="","","ACT-"&amp;TEXT(ROW()-4,"000"))</f>
        <v>0</v>
      </c>
      <c r="M456" s="43">
        <f>IF(COUNTA($B456:$K456)=0,"",IF($B456="","Missing activity name",IF($C456="","Missing practice",IF(COUNTIF(PracticeNames,$C456)=0,"Practice not in Lists",IF($D456="","Missing motion",IF(NOT(ISNUMBER($F456)),"Missing or invalid start date",IF(AND(ISNUMBER($G456),$G456&lt;$F456),"End date before start",IF(AND($N456=1,$AA456=0),"Outside planning year","OK"))))))))</f>
        <v>0</v>
      </c>
      <c r="N456">
        <f>IF(AND($B456&lt;&gt;"",$C456&lt;&gt;"",$D456&lt;&gt;"",ISNUMBER($F456),COUNTIF(PracticeNames,$C456)&gt;0,COUNTIF(MotionNames,$D456)&gt;0,NOT(AND(ISNUMBER($G456),$G456&lt;$F456))),IF(StatusFilter="All (excl. Cancelled)",IF($H456="Cancelled",0,1),IF(StatusFilter="All",1,IF($H456=StatusFilter,1,0))),0)</f>
        <v>0</v>
      </c>
      <c r="O456">
        <f>IF($N456=0,0,IF(AND($F456&lt;=EOMONTH(DATE(PlanYear,1,1),0),IF(ISNUMBER($G456),$G456,$F456)&gt;=DATE(PlanYear,1,1)),1,0))</f>
        <v>0</v>
      </c>
      <c r="P456">
        <f>IF($N456=0,0,IF(AND($F456&lt;=EOMONTH(DATE(PlanYear,2,1),0),IF(ISNUMBER($G456),$G456,$F456)&gt;=DATE(PlanYear,2,1)),1,0))</f>
        <v>0</v>
      </c>
      <c r="Q456">
        <f>IF($N456=0,0,IF(AND($F456&lt;=EOMONTH(DATE(PlanYear,3,1),0),IF(ISNUMBER($G456),$G456,$F456)&gt;=DATE(PlanYear,3,1)),1,0))</f>
        <v>0</v>
      </c>
      <c r="R456">
        <f>IF($N456=0,0,IF(AND($F456&lt;=EOMONTH(DATE(PlanYear,4,1),0),IF(ISNUMBER($G456),$G456,$F456)&gt;=DATE(PlanYear,4,1)),1,0))</f>
        <v>0</v>
      </c>
      <c r="S456">
        <f>IF($N456=0,0,IF(AND($F456&lt;=EOMONTH(DATE(PlanYear,5,1),0),IF(ISNUMBER($G456),$G456,$F456)&gt;=DATE(PlanYear,5,1)),1,0))</f>
        <v>0</v>
      </c>
      <c r="T456">
        <f>IF($N456=0,0,IF(AND($F456&lt;=EOMONTH(DATE(PlanYear,6,1),0),IF(ISNUMBER($G456),$G456,$F456)&gt;=DATE(PlanYear,6,1)),1,0))</f>
        <v>0</v>
      </c>
      <c r="U456">
        <f>IF($N456=0,0,IF(AND($F456&lt;=EOMONTH(DATE(PlanYear,7,1),0),IF(ISNUMBER($G456),$G456,$F456)&gt;=DATE(PlanYear,7,1)),1,0))</f>
        <v>0</v>
      </c>
      <c r="V456">
        <f>IF($N456=0,0,IF(AND($F456&lt;=EOMONTH(DATE(PlanYear,8,1),0),IF(ISNUMBER($G456),$G456,$F456)&gt;=DATE(PlanYear,8,1)),1,0))</f>
        <v>0</v>
      </c>
      <c r="W456">
        <f>IF($N456=0,0,IF(AND($F456&lt;=EOMONTH(DATE(PlanYear,9,1),0),IF(ISNUMBER($G456),$G456,$F456)&gt;=DATE(PlanYear,9,1)),1,0))</f>
        <v>0</v>
      </c>
      <c r="X456">
        <f>IF($N456=0,0,IF(AND($F456&lt;=EOMONTH(DATE(PlanYear,10,1),0),IF(ISNUMBER($G456),$G456,$F456)&gt;=DATE(PlanYear,10,1)),1,0))</f>
        <v>0</v>
      </c>
      <c r="Y456">
        <f>IF($N456=0,0,IF(AND($F456&lt;=EOMONTH(DATE(PlanYear,11,1),0),IF(ISNUMBER($G456),$G456,$F456)&gt;=DATE(PlanYear,11,1)),1,0))</f>
        <v>0</v>
      </c>
      <c r="Z456">
        <f>IF($N456=0,0,IF(AND($F456&lt;=EOMONTH(DATE(PlanYear,12,1),0),IF(ISNUMBER($G456),$G456,$F456)&gt;=DATE(PlanYear,12,1)),1,0))</f>
        <v>0</v>
      </c>
      <c r="AA456">
        <f>SUM($O456:$Z456)</f>
        <v>0</v>
      </c>
    </row>
    <row r="457" spans="1:27">
      <c r="A457" s="42">
        <f>IF($B457="","","ACT-"&amp;TEXT(ROW()-4,"000"))</f>
        <v>0</v>
      </c>
      <c r="M457" s="43">
        <f>IF(COUNTA($B457:$K457)=0,"",IF($B457="","Missing activity name",IF($C457="","Missing practice",IF(COUNTIF(PracticeNames,$C457)=0,"Practice not in Lists",IF($D457="","Missing motion",IF(NOT(ISNUMBER($F457)),"Missing or invalid start date",IF(AND(ISNUMBER($G457),$G457&lt;$F457),"End date before start",IF(AND($N457=1,$AA457=0),"Outside planning year","OK"))))))))</f>
        <v>0</v>
      </c>
      <c r="N457">
        <f>IF(AND($B457&lt;&gt;"",$C457&lt;&gt;"",$D457&lt;&gt;"",ISNUMBER($F457),COUNTIF(PracticeNames,$C457)&gt;0,COUNTIF(MotionNames,$D457)&gt;0,NOT(AND(ISNUMBER($G457),$G457&lt;$F457))),IF(StatusFilter="All (excl. Cancelled)",IF($H457="Cancelled",0,1),IF(StatusFilter="All",1,IF($H457=StatusFilter,1,0))),0)</f>
        <v>0</v>
      </c>
      <c r="O457">
        <f>IF($N457=0,0,IF(AND($F457&lt;=EOMONTH(DATE(PlanYear,1,1),0),IF(ISNUMBER($G457),$G457,$F457)&gt;=DATE(PlanYear,1,1)),1,0))</f>
        <v>0</v>
      </c>
      <c r="P457">
        <f>IF($N457=0,0,IF(AND($F457&lt;=EOMONTH(DATE(PlanYear,2,1),0),IF(ISNUMBER($G457),$G457,$F457)&gt;=DATE(PlanYear,2,1)),1,0))</f>
        <v>0</v>
      </c>
      <c r="Q457">
        <f>IF($N457=0,0,IF(AND($F457&lt;=EOMONTH(DATE(PlanYear,3,1),0),IF(ISNUMBER($G457),$G457,$F457)&gt;=DATE(PlanYear,3,1)),1,0))</f>
        <v>0</v>
      </c>
      <c r="R457">
        <f>IF($N457=0,0,IF(AND($F457&lt;=EOMONTH(DATE(PlanYear,4,1),0),IF(ISNUMBER($G457),$G457,$F457)&gt;=DATE(PlanYear,4,1)),1,0))</f>
        <v>0</v>
      </c>
      <c r="S457">
        <f>IF($N457=0,0,IF(AND($F457&lt;=EOMONTH(DATE(PlanYear,5,1),0),IF(ISNUMBER($G457),$G457,$F457)&gt;=DATE(PlanYear,5,1)),1,0))</f>
        <v>0</v>
      </c>
      <c r="T457">
        <f>IF($N457=0,0,IF(AND($F457&lt;=EOMONTH(DATE(PlanYear,6,1),0),IF(ISNUMBER($G457),$G457,$F457)&gt;=DATE(PlanYear,6,1)),1,0))</f>
        <v>0</v>
      </c>
      <c r="U457">
        <f>IF($N457=0,0,IF(AND($F457&lt;=EOMONTH(DATE(PlanYear,7,1),0),IF(ISNUMBER($G457),$G457,$F457)&gt;=DATE(PlanYear,7,1)),1,0))</f>
        <v>0</v>
      </c>
      <c r="V457">
        <f>IF($N457=0,0,IF(AND($F457&lt;=EOMONTH(DATE(PlanYear,8,1),0),IF(ISNUMBER($G457),$G457,$F457)&gt;=DATE(PlanYear,8,1)),1,0))</f>
        <v>0</v>
      </c>
      <c r="W457">
        <f>IF($N457=0,0,IF(AND($F457&lt;=EOMONTH(DATE(PlanYear,9,1),0),IF(ISNUMBER($G457),$G457,$F457)&gt;=DATE(PlanYear,9,1)),1,0))</f>
        <v>0</v>
      </c>
      <c r="X457">
        <f>IF($N457=0,0,IF(AND($F457&lt;=EOMONTH(DATE(PlanYear,10,1),0),IF(ISNUMBER($G457),$G457,$F457)&gt;=DATE(PlanYear,10,1)),1,0))</f>
        <v>0</v>
      </c>
      <c r="Y457">
        <f>IF($N457=0,0,IF(AND($F457&lt;=EOMONTH(DATE(PlanYear,11,1),0),IF(ISNUMBER($G457),$G457,$F457)&gt;=DATE(PlanYear,11,1)),1,0))</f>
        <v>0</v>
      </c>
      <c r="Z457">
        <f>IF($N457=0,0,IF(AND($F457&lt;=EOMONTH(DATE(PlanYear,12,1),0),IF(ISNUMBER($G457),$G457,$F457)&gt;=DATE(PlanYear,12,1)),1,0))</f>
        <v>0</v>
      </c>
      <c r="AA457">
        <f>SUM($O457:$Z457)</f>
        <v>0</v>
      </c>
    </row>
    <row r="458" spans="1:27">
      <c r="A458" s="42">
        <f>IF($B458="","","ACT-"&amp;TEXT(ROW()-4,"000"))</f>
        <v>0</v>
      </c>
      <c r="M458" s="43">
        <f>IF(COUNTA($B458:$K458)=0,"",IF($B458="","Missing activity name",IF($C458="","Missing practice",IF(COUNTIF(PracticeNames,$C458)=0,"Practice not in Lists",IF($D458="","Missing motion",IF(NOT(ISNUMBER($F458)),"Missing or invalid start date",IF(AND(ISNUMBER($G458),$G458&lt;$F458),"End date before start",IF(AND($N458=1,$AA458=0),"Outside planning year","OK"))))))))</f>
        <v>0</v>
      </c>
      <c r="N458">
        <f>IF(AND($B458&lt;&gt;"",$C458&lt;&gt;"",$D458&lt;&gt;"",ISNUMBER($F458),COUNTIF(PracticeNames,$C458)&gt;0,COUNTIF(MotionNames,$D458)&gt;0,NOT(AND(ISNUMBER($G458),$G458&lt;$F458))),IF(StatusFilter="All (excl. Cancelled)",IF($H458="Cancelled",0,1),IF(StatusFilter="All",1,IF($H458=StatusFilter,1,0))),0)</f>
        <v>0</v>
      </c>
      <c r="O458">
        <f>IF($N458=0,0,IF(AND($F458&lt;=EOMONTH(DATE(PlanYear,1,1),0),IF(ISNUMBER($G458),$G458,$F458)&gt;=DATE(PlanYear,1,1)),1,0))</f>
        <v>0</v>
      </c>
      <c r="P458">
        <f>IF($N458=0,0,IF(AND($F458&lt;=EOMONTH(DATE(PlanYear,2,1),0),IF(ISNUMBER($G458),$G458,$F458)&gt;=DATE(PlanYear,2,1)),1,0))</f>
        <v>0</v>
      </c>
      <c r="Q458">
        <f>IF($N458=0,0,IF(AND($F458&lt;=EOMONTH(DATE(PlanYear,3,1),0),IF(ISNUMBER($G458),$G458,$F458)&gt;=DATE(PlanYear,3,1)),1,0))</f>
        <v>0</v>
      </c>
      <c r="R458">
        <f>IF($N458=0,0,IF(AND($F458&lt;=EOMONTH(DATE(PlanYear,4,1),0),IF(ISNUMBER($G458),$G458,$F458)&gt;=DATE(PlanYear,4,1)),1,0))</f>
        <v>0</v>
      </c>
      <c r="S458">
        <f>IF($N458=0,0,IF(AND($F458&lt;=EOMONTH(DATE(PlanYear,5,1),0),IF(ISNUMBER($G458),$G458,$F458)&gt;=DATE(PlanYear,5,1)),1,0))</f>
        <v>0</v>
      </c>
      <c r="T458">
        <f>IF($N458=0,0,IF(AND($F458&lt;=EOMONTH(DATE(PlanYear,6,1),0),IF(ISNUMBER($G458),$G458,$F458)&gt;=DATE(PlanYear,6,1)),1,0))</f>
        <v>0</v>
      </c>
      <c r="U458">
        <f>IF($N458=0,0,IF(AND($F458&lt;=EOMONTH(DATE(PlanYear,7,1),0),IF(ISNUMBER($G458),$G458,$F458)&gt;=DATE(PlanYear,7,1)),1,0))</f>
        <v>0</v>
      </c>
      <c r="V458">
        <f>IF($N458=0,0,IF(AND($F458&lt;=EOMONTH(DATE(PlanYear,8,1),0),IF(ISNUMBER($G458),$G458,$F458)&gt;=DATE(PlanYear,8,1)),1,0))</f>
        <v>0</v>
      </c>
      <c r="W458">
        <f>IF($N458=0,0,IF(AND($F458&lt;=EOMONTH(DATE(PlanYear,9,1),0),IF(ISNUMBER($G458),$G458,$F458)&gt;=DATE(PlanYear,9,1)),1,0))</f>
        <v>0</v>
      </c>
      <c r="X458">
        <f>IF($N458=0,0,IF(AND($F458&lt;=EOMONTH(DATE(PlanYear,10,1),0),IF(ISNUMBER($G458),$G458,$F458)&gt;=DATE(PlanYear,10,1)),1,0))</f>
        <v>0</v>
      </c>
      <c r="Y458">
        <f>IF($N458=0,0,IF(AND($F458&lt;=EOMONTH(DATE(PlanYear,11,1),0),IF(ISNUMBER($G458),$G458,$F458)&gt;=DATE(PlanYear,11,1)),1,0))</f>
        <v>0</v>
      </c>
      <c r="Z458">
        <f>IF($N458=0,0,IF(AND($F458&lt;=EOMONTH(DATE(PlanYear,12,1),0),IF(ISNUMBER($G458),$G458,$F458)&gt;=DATE(PlanYear,12,1)),1,0))</f>
        <v>0</v>
      </c>
      <c r="AA458">
        <f>SUM($O458:$Z458)</f>
        <v>0</v>
      </c>
    </row>
    <row r="459" spans="1:27">
      <c r="A459" s="42">
        <f>IF($B459="","","ACT-"&amp;TEXT(ROW()-4,"000"))</f>
        <v>0</v>
      </c>
      <c r="M459" s="43">
        <f>IF(COUNTA($B459:$K459)=0,"",IF($B459="","Missing activity name",IF($C459="","Missing practice",IF(COUNTIF(PracticeNames,$C459)=0,"Practice not in Lists",IF($D459="","Missing motion",IF(NOT(ISNUMBER($F459)),"Missing or invalid start date",IF(AND(ISNUMBER($G459),$G459&lt;$F459),"End date before start",IF(AND($N459=1,$AA459=0),"Outside planning year","OK"))))))))</f>
        <v>0</v>
      </c>
      <c r="N459">
        <f>IF(AND($B459&lt;&gt;"",$C459&lt;&gt;"",$D459&lt;&gt;"",ISNUMBER($F459),COUNTIF(PracticeNames,$C459)&gt;0,COUNTIF(MotionNames,$D459)&gt;0,NOT(AND(ISNUMBER($G459),$G459&lt;$F459))),IF(StatusFilter="All (excl. Cancelled)",IF($H459="Cancelled",0,1),IF(StatusFilter="All",1,IF($H459=StatusFilter,1,0))),0)</f>
        <v>0</v>
      </c>
      <c r="O459">
        <f>IF($N459=0,0,IF(AND($F459&lt;=EOMONTH(DATE(PlanYear,1,1),0),IF(ISNUMBER($G459),$G459,$F459)&gt;=DATE(PlanYear,1,1)),1,0))</f>
        <v>0</v>
      </c>
      <c r="P459">
        <f>IF($N459=0,0,IF(AND($F459&lt;=EOMONTH(DATE(PlanYear,2,1),0),IF(ISNUMBER($G459),$G459,$F459)&gt;=DATE(PlanYear,2,1)),1,0))</f>
        <v>0</v>
      </c>
      <c r="Q459">
        <f>IF($N459=0,0,IF(AND($F459&lt;=EOMONTH(DATE(PlanYear,3,1),0),IF(ISNUMBER($G459),$G459,$F459)&gt;=DATE(PlanYear,3,1)),1,0))</f>
        <v>0</v>
      </c>
      <c r="R459">
        <f>IF($N459=0,0,IF(AND($F459&lt;=EOMONTH(DATE(PlanYear,4,1),0),IF(ISNUMBER($G459),$G459,$F459)&gt;=DATE(PlanYear,4,1)),1,0))</f>
        <v>0</v>
      </c>
      <c r="S459">
        <f>IF($N459=0,0,IF(AND($F459&lt;=EOMONTH(DATE(PlanYear,5,1),0),IF(ISNUMBER($G459),$G459,$F459)&gt;=DATE(PlanYear,5,1)),1,0))</f>
        <v>0</v>
      </c>
      <c r="T459">
        <f>IF($N459=0,0,IF(AND($F459&lt;=EOMONTH(DATE(PlanYear,6,1),0),IF(ISNUMBER($G459),$G459,$F459)&gt;=DATE(PlanYear,6,1)),1,0))</f>
        <v>0</v>
      </c>
      <c r="U459">
        <f>IF($N459=0,0,IF(AND($F459&lt;=EOMONTH(DATE(PlanYear,7,1),0),IF(ISNUMBER($G459),$G459,$F459)&gt;=DATE(PlanYear,7,1)),1,0))</f>
        <v>0</v>
      </c>
      <c r="V459">
        <f>IF($N459=0,0,IF(AND($F459&lt;=EOMONTH(DATE(PlanYear,8,1),0),IF(ISNUMBER($G459),$G459,$F459)&gt;=DATE(PlanYear,8,1)),1,0))</f>
        <v>0</v>
      </c>
      <c r="W459">
        <f>IF($N459=0,0,IF(AND($F459&lt;=EOMONTH(DATE(PlanYear,9,1),0),IF(ISNUMBER($G459),$G459,$F459)&gt;=DATE(PlanYear,9,1)),1,0))</f>
        <v>0</v>
      </c>
      <c r="X459">
        <f>IF($N459=0,0,IF(AND($F459&lt;=EOMONTH(DATE(PlanYear,10,1),0),IF(ISNUMBER($G459),$G459,$F459)&gt;=DATE(PlanYear,10,1)),1,0))</f>
        <v>0</v>
      </c>
      <c r="Y459">
        <f>IF($N459=0,0,IF(AND($F459&lt;=EOMONTH(DATE(PlanYear,11,1),0),IF(ISNUMBER($G459),$G459,$F459)&gt;=DATE(PlanYear,11,1)),1,0))</f>
        <v>0</v>
      </c>
      <c r="Z459">
        <f>IF($N459=0,0,IF(AND($F459&lt;=EOMONTH(DATE(PlanYear,12,1),0),IF(ISNUMBER($G459),$G459,$F459)&gt;=DATE(PlanYear,12,1)),1,0))</f>
        <v>0</v>
      </c>
      <c r="AA459">
        <f>SUM($O459:$Z459)</f>
        <v>0</v>
      </c>
    </row>
    <row r="460" spans="1:27">
      <c r="A460" s="42">
        <f>IF($B460="","","ACT-"&amp;TEXT(ROW()-4,"000"))</f>
        <v>0</v>
      </c>
      <c r="M460" s="43">
        <f>IF(COUNTA($B460:$K460)=0,"",IF($B460="","Missing activity name",IF($C460="","Missing practice",IF(COUNTIF(PracticeNames,$C460)=0,"Practice not in Lists",IF($D460="","Missing motion",IF(NOT(ISNUMBER($F460)),"Missing or invalid start date",IF(AND(ISNUMBER($G460),$G460&lt;$F460),"End date before start",IF(AND($N460=1,$AA460=0),"Outside planning year","OK"))))))))</f>
        <v>0</v>
      </c>
      <c r="N460">
        <f>IF(AND($B460&lt;&gt;"",$C460&lt;&gt;"",$D460&lt;&gt;"",ISNUMBER($F460),COUNTIF(PracticeNames,$C460)&gt;0,COUNTIF(MotionNames,$D460)&gt;0,NOT(AND(ISNUMBER($G460),$G460&lt;$F460))),IF(StatusFilter="All (excl. Cancelled)",IF($H460="Cancelled",0,1),IF(StatusFilter="All",1,IF($H460=StatusFilter,1,0))),0)</f>
        <v>0</v>
      </c>
      <c r="O460">
        <f>IF($N460=0,0,IF(AND($F460&lt;=EOMONTH(DATE(PlanYear,1,1),0),IF(ISNUMBER($G460),$G460,$F460)&gt;=DATE(PlanYear,1,1)),1,0))</f>
        <v>0</v>
      </c>
      <c r="P460">
        <f>IF($N460=0,0,IF(AND($F460&lt;=EOMONTH(DATE(PlanYear,2,1),0),IF(ISNUMBER($G460),$G460,$F460)&gt;=DATE(PlanYear,2,1)),1,0))</f>
        <v>0</v>
      </c>
      <c r="Q460">
        <f>IF($N460=0,0,IF(AND($F460&lt;=EOMONTH(DATE(PlanYear,3,1),0),IF(ISNUMBER($G460),$G460,$F460)&gt;=DATE(PlanYear,3,1)),1,0))</f>
        <v>0</v>
      </c>
      <c r="R460">
        <f>IF($N460=0,0,IF(AND($F460&lt;=EOMONTH(DATE(PlanYear,4,1),0),IF(ISNUMBER($G460),$G460,$F460)&gt;=DATE(PlanYear,4,1)),1,0))</f>
        <v>0</v>
      </c>
      <c r="S460">
        <f>IF($N460=0,0,IF(AND($F460&lt;=EOMONTH(DATE(PlanYear,5,1),0),IF(ISNUMBER($G460),$G460,$F460)&gt;=DATE(PlanYear,5,1)),1,0))</f>
        <v>0</v>
      </c>
      <c r="T460">
        <f>IF($N460=0,0,IF(AND($F460&lt;=EOMONTH(DATE(PlanYear,6,1),0),IF(ISNUMBER($G460),$G460,$F460)&gt;=DATE(PlanYear,6,1)),1,0))</f>
        <v>0</v>
      </c>
      <c r="U460">
        <f>IF($N460=0,0,IF(AND($F460&lt;=EOMONTH(DATE(PlanYear,7,1),0),IF(ISNUMBER($G460),$G460,$F460)&gt;=DATE(PlanYear,7,1)),1,0))</f>
        <v>0</v>
      </c>
      <c r="V460">
        <f>IF($N460=0,0,IF(AND($F460&lt;=EOMONTH(DATE(PlanYear,8,1),0),IF(ISNUMBER($G460),$G460,$F460)&gt;=DATE(PlanYear,8,1)),1,0))</f>
        <v>0</v>
      </c>
      <c r="W460">
        <f>IF($N460=0,0,IF(AND($F460&lt;=EOMONTH(DATE(PlanYear,9,1),0),IF(ISNUMBER($G460),$G460,$F460)&gt;=DATE(PlanYear,9,1)),1,0))</f>
        <v>0</v>
      </c>
      <c r="X460">
        <f>IF($N460=0,0,IF(AND($F460&lt;=EOMONTH(DATE(PlanYear,10,1),0),IF(ISNUMBER($G460),$G460,$F460)&gt;=DATE(PlanYear,10,1)),1,0))</f>
        <v>0</v>
      </c>
      <c r="Y460">
        <f>IF($N460=0,0,IF(AND($F460&lt;=EOMONTH(DATE(PlanYear,11,1),0),IF(ISNUMBER($G460),$G460,$F460)&gt;=DATE(PlanYear,11,1)),1,0))</f>
        <v>0</v>
      </c>
      <c r="Z460">
        <f>IF($N460=0,0,IF(AND($F460&lt;=EOMONTH(DATE(PlanYear,12,1),0),IF(ISNUMBER($G460),$G460,$F460)&gt;=DATE(PlanYear,12,1)),1,0))</f>
        <v>0</v>
      </c>
      <c r="AA460">
        <f>SUM($O460:$Z460)</f>
        <v>0</v>
      </c>
    </row>
    <row r="461" spans="1:27">
      <c r="A461" s="42">
        <f>IF($B461="","","ACT-"&amp;TEXT(ROW()-4,"000"))</f>
        <v>0</v>
      </c>
      <c r="M461" s="43">
        <f>IF(COUNTA($B461:$K461)=0,"",IF($B461="","Missing activity name",IF($C461="","Missing practice",IF(COUNTIF(PracticeNames,$C461)=0,"Practice not in Lists",IF($D461="","Missing motion",IF(NOT(ISNUMBER($F461)),"Missing or invalid start date",IF(AND(ISNUMBER($G461),$G461&lt;$F461),"End date before start",IF(AND($N461=1,$AA461=0),"Outside planning year","OK"))))))))</f>
        <v>0</v>
      </c>
      <c r="N461">
        <f>IF(AND($B461&lt;&gt;"",$C461&lt;&gt;"",$D461&lt;&gt;"",ISNUMBER($F461),COUNTIF(PracticeNames,$C461)&gt;0,COUNTIF(MotionNames,$D461)&gt;0,NOT(AND(ISNUMBER($G461),$G461&lt;$F461))),IF(StatusFilter="All (excl. Cancelled)",IF($H461="Cancelled",0,1),IF(StatusFilter="All",1,IF($H461=StatusFilter,1,0))),0)</f>
        <v>0</v>
      </c>
      <c r="O461">
        <f>IF($N461=0,0,IF(AND($F461&lt;=EOMONTH(DATE(PlanYear,1,1),0),IF(ISNUMBER($G461),$G461,$F461)&gt;=DATE(PlanYear,1,1)),1,0))</f>
        <v>0</v>
      </c>
      <c r="P461">
        <f>IF($N461=0,0,IF(AND($F461&lt;=EOMONTH(DATE(PlanYear,2,1),0),IF(ISNUMBER($G461),$G461,$F461)&gt;=DATE(PlanYear,2,1)),1,0))</f>
        <v>0</v>
      </c>
      <c r="Q461">
        <f>IF($N461=0,0,IF(AND($F461&lt;=EOMONTH(DATE(PlanYear,3,1),0),IF(ISNUMBER($G461),$G461,$F461)&gt;=DATE(PlanYear,3,1)),1,0))</f>
        <v>0</v>
      </c>
      <c r="R461">
        <f>IF($N461=0,0,IF(AND($F461&lt;=EOMONTH(DATE(PlanYear,4,1),0),IF(ISNUMBER($G461),$G461,$F461)&gt;=DATE(PlanYear,4,1)),1,0))</f>
        <v>0</v>
      </c>
      <c r="S461">
        <f>IF($N461=0,0,IF(AND($F461&lt;=EOMONTH(DATE(PlanYear,5,1),0),IF(ISNUMBER($G461),$G461,$F461)&gt;=DATE(PlanYear,5,1)),1,0))</f>
        <v>0</v>
      </c>
      <c r="T461">
        <f>IF($N461=0,0,IF(AND($F461&lt;=EOMONTH(DATE(PlanYear,6,1),0),IF(ISNUMBER($G461),$G461,$F461)&gt;=DATE(PlanYear,6,1)),1,0))</f>
        <v>0</v>
      </c>
      <c r="U461">
        <f>IF($N461=0,0,IF(AND($F461&lt;=EOMONTH(DATE(PlanYear,7,1),0),IF(ISNUMBER($G461),$G461,$F461)&gt;=DATE(PlanYear,7,1)),1,0))</f>
        <v>0</v>
      </c>
      <c r="V461">
        <f>IF($N461=0,0,IF(AND($F461&lt;=EOMONTH(DATE(PlanYear,8,1),0),IF(ISNUMBER($G461),$G461,$F461)&gt;=DATE(PlanYear,8,1)),1,0))</f>
        <v>0</v>
      </c>
      <c r="W461">
        <f>IF($N461=0,0,IF(AND($F461&lt;=EOMONTH(DATE(PlanYear,9,1),0),IF(ISNUMBER($G461),$G461,$F461)&gt;=DATE(PlanYear,9,1)),1,0))</f>
        <v>0</v>
      </c>
      <c r="X461">
        <f>IF($N461=0,0,IF(AND($F461&lt;=EOMONTH(DATE(PlanYear,10,1),0),IF(ISNUMBER($G461),$G461,$F461)&gt;=DATE(PlanYear,10,1)),1,0))</f>
        <v>0</v>
      </c>
      <c r="Y461">
        <f>IF($N461=0,0,IF(AND($F461&lt;=EOMONTH(DATE(PlanYear,11,1),0),IF(ISNUMBER($G461),$G461,$F461)&gt;=DATE(PlanYear,11,1)),1,0))</f>
        <v>0</v>
      </c>
      <c r="Z461">
        <f>IF($N461=0,0,IF(AND($F461&lt;=EOMONTH(DATE(PlanYear,12,1),0),IF(ISNUMBER($G461),$G461,$F461)&gt;=DATE(PlanYear,12,1)),1,0))</f>
        <v>0</v>
      </c>
      <c r="AA461">
        <f>SUM($O461:$Z461)</f>
        <v>0</v>
      </c>
    </row>
    <row r="462" spans="1:27">
      <c r="A462" s="42">
        <f>IF($B462="","","ACT-"&amp;TEXT(ROW()-4,"000"))</f>
        <v>0</v>
      </c>
      <c r="M462" s="43">
        <f>IF(COUNTA($B462:$K462)=0,"",IF($B462="","Missing activity name",IF($C462="","Missing practice",IF(COUNTIF(PracticeNames,$C462)=0,"Practice not in Lists",IF($D462="","Missing motion",IF(NOT(ISNUMBER($F462)),"Missing or invalid start date",IF(AND(ISNUMBER($G462),$G462&lt;$F462),"End date before start",IF(AND($N462=1,$AA462=0),"Outside planning year","OK"))))))))</f>
        <v>0</v>
      </c>
      <c r="N462">
        <f>IF(AND($B462&lt;&gt;"",$C462&lt;&gt;"",$D462&lt;&gt;"",ISNUMBER($F462),COUNTIF(PracticeNames,$C462)&gt;0,COUNTIF(MotionNames,$D462)&gt;0,NOT(AND(ISNUMBER($G462),$G462&lt;$F462))),IF(StatusFilter="All (excl. Cancelled)",IF($H462="Cancelled",0,1),IF(StatusFilter="All",1,IF($H462=StatusFilter,1,0))),0)</f>
        <v>0</v>
      </c>
      <c r="O462">
        <f>IF($N462=0,0,IF(AND($F462&lt;=EOMONTH(DATE(PlanYear,1,1),0),IF(ISNUMBER($G462),$G462,$F462)&gt;=DATE(PlanYear,1,1)),1,0))</f>
        <v>0</v>
      </c>
      <c r="P462">
        <f>IF($N462=0,0,IF(AND($F462&lt;=EOMONTH(DATE(PlanYear,2,1),0),IF(ISNUMBER($G462),$G462,$F462)&gt;=DATE(PlanYear,2,1)),1,0))</f>
        <v>0</v>
      </c>
      <c r="Q462">
        <f>IF($N462=0,0,IF(AND($F462&lt;=EOMONTH(DATE(PlanYear,3,1),0),IF(ISNUMBER($G462),$G462,$F462)&gt;=DATE(PlanYear,3,1)),1,0))</f>
        <v>0</v>
      </c>
      <c r="R462">
        <f>IF($N462=0,0,IF(AND($F462&lt;=EOMONTH(DATE(PlanYear,4,1),0),IF(ISNUMBER($G462),$G462,$F462)&gt;=DATE(PlanYear,4,1)),1,0))</f>
        <v>0</v>
      </c>
      <c r="S462">
        <f>IF($N462=0,0,IF(AND($F462&lt;=EOMONTH(DATE(PlanYear,5,1),0),IF(ISNUMBER($G462),$G462,$F462)&gt;=DATE(PlanYear,5,1)),1,0))</f>
        <v>0</v>
      </c>
      <c r="T462">
        <f>IF($N462=0,0,IF(AND($F462&lt;=EOMONTH(DATE(PlanYear,6,1),0),IF(ISNUMBER($G462),$G462,$F462)&gt;=DATE(PlanYear,6,1)),1,0))</f>
        <v>0</v>
      </c>
      <c r="U462">
        <f>IF($N462=0,0,IF(AND($F462&lt;=EOMONTH(DATE(PlanYear,7,1),0),IF(ISNUMBER($G462),$G462,$F462)&gt;=DATE(PlanYear,7,1)),1,0))</f>
        <v>0</v>
      </c>
      <c r="V462">
        <f>IF($N462=0,0,IF(AND($F462&lt;=EOMONTH(DATE(PlanYear,8,1),0),IF(ISNUMBER($G462),$G462,$F462)&gt;=DATE(PlanYear,8,1)),1,0))</f>
        <v>0</v>
      </c>
      <c r="W462">
        <f>IF($N462=0,0,IF(AND($F462&lt;=EOMONTH(DATE(PlanYear,9,1),0),IF(ISNUMBER($G462),$G462,$F462)&gt;=DATE(PlanYear,9,1)),1,0))</f>
        <v>0</v>
      </c>
      <c r="X462">
        <f>IF($N462=0,0,IF(AND($F462&lt;=EOMONTH(DATE(PlanYear,10,1),0),IF(ISNUMBER($G462),$G462,$F462)&gt;=DATE(PlanYear,10,1)),1,0))</f>
        <v>0</v>
      </c>
      <c r="Y462">
        <f>IF($N462=0,0,IF(AND($F462&lt;=EOMONTH(DATE(PlanYear,11,1),0),IF(ISNUMBER($G462),$G462,$F462)&gt;=DATE(PlanYear,11,1)),1,0))</f>
        <v>0</v>
      </c>
      <c r="Z462">
        <f>IF($N462=0,0,IF(AND($F462&lt;=EOMONTH(DATE(PlanYear,12,1),0),IF(ISNUMBER($G462),$G462,$F462)&gt;=DATE(PlanYear,12,1)),1,0))</f>
        <v>0</v>
      </c>
      <c r="AA462">
        <f>SUM($O462:$Z462)</f>
        <v>0</v>
      </c>
    </row>
    <row r="463" spans="1:27">
      <c r="A463" s="42">
        <f>IF($B463="","","ACT-"&amp;TEXT(ROW()-4,"000"))</f>
        <v>0</v>
      </c>
      <c r="M463" s="43">
        <f>IF(COUNTA($B463:$K463)=0,"",IF($B463="","Missing activity name",IF($C463="","Missing practice",IF(COUNTIF(PracticeNames,$C463)=0,"Practice not in Lists",IF($D463="","Missing motion",IF(NOT(ISNUMBER($F463)),"Missing or invalid start date",IF(AND(ISNUMBER($G463),$G463&lt;$F463),"End date before start",IF(AND($N463=1,$AA463=0),"Outside planning year","OK"))))))))</f>
        <v>0</v>
      </c>
      <c r="N463">
        <f>IF(AND($B463&lt;&gt;"",$C463&lt;&gt;"",$D463&lt;&gt;"",ISNUMBER($F463),COUNTIF(PracticeNames,$C463)&gt;0,COUNTIF(MotionNames,$D463)&gt;0,NOT(AND(ISNUMBER($G463),$G463&lt;$F463))),IF(StatusFilter="All (excl. Cancelled)",IF($H463="Cancelled",0,1),IF(StatusFilter="All",1,IF($H463=StatusFilter,1,0))),0)</f>
        <v>0</v>
      </c>
      <c r="O463">
        <f>IF($N463=0,0,IF(AND($F463&lt;=EOMONTH(DATE(PlanYear,1,1),0),IF(ISNUMBER($G463),$G463,$F463)&gt;=DATE(PlanYear,1,1)),1,0))</f>
        <v>0</v>
      </c>
      <c r="P463">
        <f>IF($N463=0,0,IF(AND($F463&lt;=EOMONTH(DATE(PlanYear,2,1),0),IF(ISNUMBER($G463),$G463,$F463)&gt;=DATE(PlanYear,2,1)),1,0))</f>
        <v>0</v>
      </c>
      <c r="Q463">
        <f>IF($N463=0,0,IF(AND($F463&lt;=EOMONTH(DATE(PlanYear,3,1),0),IF(ISNUMBER($G463),$G463,$F463)&gt;=DATE(PlanYear,3,1)),1,0))</f>
        <v>0</v>
      </c>
      <c r="R463">
        <f>IF($N463=0,0,IF(AND($F463&lt;=EOMONTH(DATE(PlanYear,4,1),0),IF(ISNUMBER($G463),$G463,$F463)&gt;=DATE(PlanYear,4,1)),1,0))</f>
        <v>0</v>
      </c>
      <c r="S463">
        <f>IF($N463=0,0,IF(AND($F463&lt;=EOMONTH(DATE(PlanYear,5,1),0),IF(ISNUMBER($G463),$G463,$F463)&gt;=DATE(PlanYear,5,1)),1,0))</f>
        <v>0</v>
      </c>
      <c r="T463">
        <f>IF($N463=0,0,IF(AND($F463&lt;=EOMONTH(DATE(PlanYear,6,1),0),IF(ISNUMBER($G463),$G463,$F463)&gt;=DATE(PlanYear,6,1)),1,0))</f>
        <v>0</v>
      </c>
      <c r="U463">
        <f>IF($N463=0,0,IF(AND($F463&lt;=EOMONTH(DATE(PlanYear,7,1),0),IF(ISNUMBER($G463),$G463,$F463)&gt;=DATE(PlanYear,7,1)),1,0))</f>
        <v>0</v>
      </c>
      <c r="V463">
        <f>IF($N463=0,0,IF(AND($F463&lt;=EOMONTH(DATE(PlanYear,8,1),0),IF(ISNUMBER($G463),$G463,$F463)&gt;=DATE(PlanYear,8,1)),1,0))</f>
        <v>0</v>
      </c>
      <c r="W463">
        <f>IF($N463=0,0,IF(AND($F463&lt;=EOMONTH(DATE(PlanYear,9,1),0),IF(ISNUMBER($G463),$G463,$F463)&gt;=DATE(PlanYear,9,1)),1,0))</f>
        <v>0</v>
      </c>
      <c r="X463">
        <f>IF($N463=0,0,IF(AND($F463&lt;=EOMONTH(DATE(PlanYear,10,1),0),IF(ISNUMBER($G463),$G463,$F463)&gt;=DATE(PlanYear,10,1)),1,0))</f>
        <v>0</v>
      </c>
      <c r="Y463">
        <f>IF($N463=0,0,IF(AND($F463&lt;=EOMONTH(DATE(PlanYear,11,1),0),IF(ISNUMBER($G463),$G463,$F463)&gt;=DATE(PlanYear,11,1)),1,0))</f>
        <v>0</v>
      </c>
      <c r="Z463">
        <f>IF($N463=0,0,IF(AND($F463&lt;=EOMONTH(DATE(PlanYear,12,1),0),IF(ISNUMBER($G463),$G463,$F463)&gt;=DATE(PlanYear,12,1)),1,0))</f>
        <v>0</v>
      </c>
      <c r="AA463">
        <f>SUM($O463:$Z463)</f>
        <v>0</v>
      </c>
    </row>
    <row r="464" spans="1:27">
      <c r="A464" s="42">
        <f>IF($B464="","","ACT-"&amp;TEXT(ROW()-4,"000"))</f>
        <v>0</v>
      </c>
      <c r="M464" s="43">
        <f>IF(COUNTA($B464:$K464)=0,"",IF($B464="","Missing activity name",IF($C464="","Missing practice",IF(COUNTIF(PracticeNames,$C464)=0,"Practice not in Lists",IF($D464="","Missing motion",IF(NOT(ISNUMBER($F464)),"Missing or invalid start date",IF(AND(ISNUMBER($G464),$G464&lt;$F464),"End date before start",IF(AND($N464=1,$AA464=0),"Outside planning year","OK"))))))))</f>
        <v>0</v>
      </c>
      <c r="N464">
        <f>IF(AND($B464&lt;&gt;"",$C464&lt;&gt;"",$D464&lt;&gt;"",ISNUMBER($F464),COUNTIF(PracticeNames,$C464)&gt;0,COUNTIF(MotionNames,$D464)&gt;0,NOT(AND(ISNUMBER($G464),$G464&lt;$F464))),IF(StatusFilter="All (excl. Cancelled)",IF($H464="Cancelled",0,1),IF(StatusFilter="All",1,IF($H464=StatusFilter,1,0))),0)</f>
        <v>0</v>
      </c>
      <c r="O464">
        <f>IF($N464=0,0,IF(AND($F464&lt;=EOMONTH(DATE(PlanYear,1,1),0),IF(ISNUMBER($G464),$G464,$F464)&gt;=DATE(PlanYear,1,1)),1,0))</f>
        <v>0</v>
      </c>
      <c r="P464">
        <f>IF($N464=0,0,IF(AND($F464&lt;=EOMONTH(DATE(PlanYear,2,1),0),IF(ISNUMBER($G464),$G464,$F464)&gt;=DATE(PlanYear,2,1)),1,0))</f>
        <v>0</v>
      </c>
      <c r="Q464">
        <f>IF($N464=0,0,IF(AND($F464&lt;=EOMONTH(DATE(PlanYear,3,1),0),IF(ISNUMBER($G464),$G464,$F464)&gt;=DATE(PlanYear,3,1)),1,0))</f>
        <v>0</v>
      </c>
      <c r="R464">
        <f>IF($N464=0,0,IF(AND($F464&lt;=EOMONTH(DATE(PlanYear,4,1),0),IF(ISNUMBER($G464),$G464,$F464)&gt;=DATE(PlanYear,4,1)),1,0))</f>
        <v>0</v>
      </c>
      <c r="S464">
        <f>IF($N464=0,0,IF(AND($F464&lt;=EOMONTH(DATE(PlanYear,5,1),0),IF(ISNUMBER($G464),$G464,$F464)&gt;=DATE(PlanYear,5,1)),1,0))</f>
        <v>0</v>
      </c>
      <c r="T464">
        <f>IF($N464=0,0,IF(AND($F464&lt;=EOMONTH(DATE(PlanYear,6,1),0),IF(ISNUMBER($G464),$G464,$F464)&gt;=DATE(PlanYear,6,1)),1,0))</f>
        <v>0</v>
      </c>
      <c r="U464">
        <f>IF($N464=0,0,IF(AND($F464&lt;=EOMONTH(DATE(PlanYear,7,1),0),IF(ISNUMBER($G464),$G464,$F464)&gt;=DATE(PlanYear,7,1)),1,0))</f>
        <v>0</v>
      </c>
      <c r="V464">
        <f>IF($N464=0,0,IF(AND($F464&lt;=EOMONTH(DATE(PlanYear,8,1),0),IF(ISNUMBER($G464),$G464,$F464)&gt;=DATE(PlanYear,8,1)),1,0))</f>
        <v>0</v>
      </c>
      <c r="W464">
        <f>IF($N464=0,0,IF(AND($F464&lt;=EOMONTH(DATE(PlanYear,9,1),0),IF(ISNUMBER($G464),$G464,$F464)&gt;=DATE(PlanYear,9,1)),1,0))</f>
        <v>0</v>
      </c>
      <c r="X464">
        <f>IF($N464=0,0,IF(AND($F464&lt;=EOMONTH(DATE(PlanYear,10,1),0),IF(ISNUMBER($G464),$G464,$F464)&gt;=DATE(PlanYear,10,1)),1,0))</f>
        <v>0</v>
      </c>
      <c r="Y464">
        <f>IF($N464=0,0,IF(AND($F464&lt;=EOMONTH(DATE(PlanYear,11,1),0),IF(ISNUMBER($G464),$G464,$F464)&gt;=DATE(PlanYear,11,1)),1,0))</f>
        <v>0</v>
      </c>
      <c r="Z464">
        <f>IF($N464=0,0,IF(AND($F464&lt;=EOMONTH(DATE(PlanYear,12,1),0),IF(ISNUMBER($G464),$G464,$F464)&gt;=DATE(PlanYear,12,1)),1,0))</f>
        <v>0</v>
      </c>
      <c r="AA464">
        <f>SUM($O464:$Z464)</f>
        <v>0</v>
      </c>
    </row>
    <row r="465" spans="1:27">
      <c r="A465" s="42">
        <f>IF($B465="","","ACT-"&amp;TEXT(ROW()-4,"000"))</f>
        <v>0</v>
      </c>
      <c r="M465" s="43">
        <f>IF(COUNTA($B465:$K465)=0,"",IF($B465="","Missing activity name",IF($C465="","Missing practice",IF(COUNTIF(PracticeNames,$C465)=0,"Practice not in Lists",IF($D465="","Missing motion",IF(NOT(ISNUMBER($F465)),"Missing or invalid start date",IF(AND(ISNUMBER($G465),$G465&lt;$F465),"End date before start",IF(AND($N465=1,$AA465=0),"Outside planning year","OK"))))))))</f>
        <v>0</v>
      </c>
      <c r="N465">
        <f>IF(AND($B465&lt;&gt;"",$C465&lt;&gt;"",$D465&lt;&gt;"",ISNUMBER($F465),COUNTIF(PracticeNames,$C465)&gt;0,COUNTIF(MotionNames,$D465)&gt;0,NOT(AND(ISNUMBER($G465),$G465&lt;$F465))),IF(StatusFilter="All (excl. Cancelled)",IF($H465="Cancelled",0,1),IF(StatusFilter="All",1,IF($H465=StatusFilter,1,0))),0)</f>
        <v>0</v>
      </c>
      <c r="O465">
        <f>IF($N465=0,0,IF(AND($F465&lt;=EOMONTH(DATE(PlanYear,1,1),0),IF(ISNUMBER($G465),$G465,$F465)&gt;=DATE(PlanYear,1,1)),1,0))</f>
        <v>0</v>
      </c>
      <c r="P465">
        <f>IF($N465=0,0,IF(AND($F465&lt;=EOMONTH(DATE(PlanYear,2,1),0),IF(ISNUMBER($G465),$G465,$F465)&gt;=DATE(PlanYear,2,1)),1,0))</f>
        <v>0</v>
      </c>
      <c r="Q465">
        <f>IF($N465=0,0,IF(AND($F465&lt;=EOMONTH(DATE(PlanYear,3,1),0),IF(ISNUMBER($G465),$G465,$F465)&gt;=DATE(PlanYear,3,1)),1,0))</f>
        <v>0</v>
      </c>
      <c r="R465">
        <f>IF($N465=0,0,IF(AND($F465&lt;=EOMONTH(DATE(PlanYear,4,1),0),IF(ISNUMBER($G465),$G465,$F465)&gt;=DATE(PlanYear,4,1)),1,0))</f>
        <v>0</v>
      </c>
      <c r="S465">
        <f>IF($N465=0,0,IF(AND($F465&lt;=EOMONTH(DATE(PlanYear,5,1),0),IF(ISNUMBER($G465),$G465,$F465)&gt;=DATE(PlanYear,5,1)),1,0))</f>
        <v>0</v>
      </c>
      <c r="T465">
        <f>IF($N465=0,0,IF(AND($F465&lt;=EOMONTH(DATE(PlanYear,6,1),0),IF(ISNUMBER($G465),$G465,$F465)&gt;=DATE(PlanYear,6,1)),1,0))</f>
        <v>0</v>
      </c>
      <c r="U465">
        <f>IF($N465=0,0,IF(AND($F465&lt;=EOMONTH(DATE(PlanYear,7,1),0),IF(ISNUMBER($G465),$G465,$F465)&gt;=DATE(PlanYear,7,1)),1,0))</f>
        <v>0</v>
      </c>
      <c r="V465">
        <f>IF($N465=0,0,IF(AND($F465&lt;=EOMONTH(DATE(PlanYear,8,1),0),IF(ISNUMBER($G465),$G465,$F465)&gt;=DATE(PlanYear,8,1)),1,0))</f>
        <v>0</v>
      </c>
      <c r="W465">
        <f>IF($N465=0,0,IF(AND($F465&lt;=EOMONTH(DATE(PlanYear,9,1),0),IF(ISNUMBER($G465),$G465,$F465)&gt;=DATE(PlanYear,9,1)),1,0))</f>
        <v>0</v>
      </c>
      <c r="X465">
        <f>IF($N465=0,0,IF(AND($F465&lt;=EOMONTH(DATE(PlanYear,10,1),0),IF(ISNUMBER($G465),$G465,$F465)&gt;=DATE(PlanYear,10,1)),1,0))</f>
        <v>0</v>
      </c>
      <c r="Y465">
        <f>IF($N465=0,0,IF(AND($F465&lt;=EOMONTH(DATE(PlanYear,11,1),0),IF(ISNUMBER($G465),$G465,$F465)&gt;=DATE(PlanYear,11,1)),1,0))</f>
        <v>0</v>
      </c>
      <c r="Z465">
        <f>IF($N465=0,0,IF(AND($F465&lt;=EOMONTH(DATE(PlanYear,12,1),0),IF(ISNUMBER($G465),$G465,$F465)&gt;=DATE(PlanYear,12,1)),1,0))</f>
        <v>0</v>
      </c>
      <c r="AA465">
        <f>SUM($O465:$Z465)</f>
        <v>0</v>
      </c>
    </row>
    <row r="466" spans="1:27">
      <c r="A466" s="42">
        <f>IF($B466="","","ACT-"&amp;TEXT(ROW()-4,"000"))</f>
        <v>0</v>
      </c>
      <c r="M466" s="43">
        <f>IF(COUNTA($B466:$K466)=0,"",IF($B466="","Missing activity name",IF($C466="","Missing practice",IF(COUNTIF(PracticeNames,$C466)=0,"Practice not in Lists",IF($D466="","Missing motion",IF(NOT(ISNUMBER($F466)),"Missing or invalid start date",IF(AND(ISNUMBER($G466),$G466&lt;$F466),"End date before start",IF(AND($N466=1,$AA466=0),"Outside planning year","OK"))))))))</f>
        <v>0</v>
      </c>
      <c r="N466">
        <f>IF(AND($B466&lt;&gt;"",$C466&lt;&gt;"",$D466&lt;&gt;"",ISNUMBER($F466),COUNTIF(PracticeNames,$C466)&gt;0,COUNTIF(MotionNames,$D466)&gt;0,NOT(AND(ISNUMBER($G466),$G466&lt;$F466))),IF(StatusFilter="All (excl. Cancelled)",IF($H466="Cancelled",0,1),IF(StatusFilter="All",1,IF($H466=StatusFilter,1,0))),0)</f>
        <v>0</v>
      </c>
      <c r="O466">
        <f>IF($N466=0,0,IF(AND($F466&lt;=EOMONTH(DATE(PlanYear,1,1),0),IF(ISNUMBER($G466),$G466,$F466)&gt;=DATE(PlanYear,1,1)),1,0))</f>
        <v>0</v>
      </c>
      <c r="P466">
        <f>IF($N466=0,0,IF(AND($F466&lt;=EOMONTH(DATE(PlanYear,2,1),0),IF(ISNUMBER($G466),$G466,$F466)&gt;=DATE(PlanYear,2,1)),1,0))</f>
        <v>0</v>
      </c>
      <c r="Q466">
        <f>IF($N466=0,0,IF(AND($F466&lt;=EOMONTH(DATE(PlanYear,3,1),0),IF(ISNUMBER($G466),$G466,$F466)&gt;=DATE(PlanYear,3,1)),1,0))</f>
        <v>0</v>
      </c>
      <c r="R466">
        <f>IF($N466=0,0,IF(AND($F466&lt;=EOMONTH(DATE(PlanYear,4,1),0),IF(ISNUMBER($G466),$G466,$F466)&gt;=DATE(PlanYear,4,1)),1,0))</f>
        <v>0</v>
      </c>
      <c r="S466">
        <f>IF($N466=0,0,IF(AND($F466&lt;=EOMONTH(DATE(PlanYear,5,1),0),IF(ISNUMBER($G466),$G466,$F466)&gt;=DATE(PlanYear,5,1)),1,0))</f>
        <v>0</v>
      </c>
      <c r="T466">
        <f>IF($N466=0,0,IF(AND($F466&lt;=EOMONTH(DATE(PlanYear,6,1),0),IF(ISNUMBER($G466),$G466,$F466)&gt;=DATE(PlanYear,6,1)),1,0))</f>
        <v>0</v>
      </c>
      <c r="U466">
        <f>IF($N466=0,0,IF(AND($F466&lt;=EOMONTH(DATE(PlanYear,7,1),0),IF(ISNUMBER($G466),$G466,$F466)&gt;=DATE(PlanYear,7,1)),1,0))</f>
        <v>0</v>
      </c>
      <c r="V466">
        <f>IF($N466=0,0,IF(AND($F466&lt;=EOMONTH(DATE(PlanYear,8,1),0),IF(ISNUMBER($G466),$G466,$F466)&gt;=DATE(PlanYear,8,1)),1,0))</f>
        <v>0</v>
      </c>
      <c r="W466">
        <f>IF($N466=0,0,IF(AND($F466&lt;=EOMONTH(DATE(PlanYear,9,1),0),IF(ISNUMBER($G466),$G466,$F466)&gt;=DATE(PlanYear,9,1)),1,0))</f>
        <v>0</v>
      </c>
      <c r="X466">
        <f>IF($N466=0,0,IF(AND($F466&lt;=EOMONTH(DATE(PlanYear,10,1),0),IF(ISNUMBER($G466),$G466,$F466)&gt;=DATE(PlanYear,10,1)),1,0))</f>
        <v>0</v>
      </c>
      <c r="Y466">
        <f>IF($N466=0,0,IF(AND($F466&lt;=EOMONTH(DATE(PlanYear,11,1),0),IF(ISNUMBER($G466),$G466,$F466)&gt;=DATE(PlanYear,11,1)),1,0))</f>
        <v>0</v>
      </c>
      <c r="Z466">
        <f>IF($N466=0,0,IF(AND($F466&lt;=EOMONTH(DATE(PlanYear,12,1),0),IF(ISNUMBER($G466),$G466,$F466)&gt;=DATE(PlanYear,12,1)),1,0))</f>
        <v>0</v>
      </c>
      <c r="AA466">
        <f>SUM($O466:$Z466)</f>
        <v>0</v>
      </c>
    </row>
    <row r="467" spans="1:27">
      <c r="A467" s="42">
        <f>IF($B467="","","ACT-"&amp;TEXT(ROW()-4,"000"))</f>
        <v>0</v>
      </c>
      <c r="M467" s="43">
        <f>IF(COUNTA($B467:$K467)=0,"",IF($B467="","Missing activity name",IF($C467="","Missing practice",IF(COUNTIF(PracticeNames,$C467)=0,"Practice not in Lists",IF($D467="","Missing motion",IF(NOT(ISNUMBER($F467)),"Missing or invalid start date",IF(AND(ISNUMBER($G467),$G467&lt;$F467),"End date before start",IF(AND($N467=1,$AA467=0),"Outside planning year","OK"))))))))</f>
        <v>0</v>
      </c>
      <c r="N467">
        <f>IF(AND($B467&lt;&gt;"",$C467&lt;&gt;"",$D467&lt;&gt;"",ISNUMBER($F467),COUNTIF(PracticeNames,$C467)&gt;0,COUNTIF(MotionNames,$D467)&gt;0,NOT(AND(ISNUMBER($G467),$G467&lt;$F467))),IF(StatusFilter="All (excl. Cancelled)",IF($H467="Cancelled",0,1),IF(StatusFilter="All",1,IF($H467=StatusFilter,1,0))),0)</f>
        <v>0</v>
      </c>
      <c r="O467">
        <f>IF($N467=0,0,IF(AND($F467&lt;=EOMONTH(DATE(PlanYear,1,1),0),IF(ISNUMBER($G467),$G467,$F467)&gt;=DATE(PlanYear,1,1)),1,0))</f>
        <v>0</v>
      </c>
      <c r="P467">
        <f>IF($N467=0,0,IF(AND($F467&lt;=EOMONTH(DATE(PlanYear,2,1),0),IF(ISNUMBER($G467),$G467,$F467)&gt;=DATE(PlanYear,2,1)),1,0))</f>
        <v>0</v>
      </c>
      <c r="Q467">
        <f>IF($N467=0,0,IF(AND($F467&lt;=EOMONTH(DATE(PlanYear,3,1),0),IF(ISNUMBER($G467),$G467,$F467)&gt;=DATE(PlanYear,3,1)),1,0))</f>
        <v>0</v>
      </c>
      <c r="R467">
        <f>IF($N467=0,0,IF(AND($F467&lt;=EOMONTH(DATE(PlanYear,4,1),0),IF(ISNUMBER($G467),$G467,$F467)&gt;=DATE(PlanYear,4,1)),1,0))</f>
        <v>0</v>
      </c>
      <c r="S467">
        <f>IF($N467=0,0,IF(AND($F467&lt;=EOMONTH(DATE(PlanYear,5,1),0),IF(ISNUMBER($G467),$G467,$F467)&gt;=DATE(PlanYear,5,1)),1,0))</f>
        <v>0</v>
      </c>
      <c r="T467">
        <f>IF($N467=0,0,IF(AND($F467&lt;=EOMONTH(DATE(PlanYear,6,1),0),IF(ISNUMBER($G467),$G467,$F467)&gt;=DATE(PlanYear,6,1)),1,0))</f>
        <v>0</v>
      </c>
      <c r="U467">
        <f>IF($N467=0,0,IF(AND($F467&lt;=EOMONTH(DATE(PlanYear,7,1),0),IF(ISNUMBER($G467),$G467,$F467)&gt;=DATE(PlanYear,7,1)),1,0))</f>
        <v>0</v>
      </c>
      <c r="V467">
        <f>IF($N467=0,0,IF(AND($F467&lt;=EOMONTH(DATE(PlanYear,8,1),0),IF(ISNUMBER($G467),$G467,$F467)&gt;=DATE(PlanYear,8,1)),1,0))</f>
        <v>0</v>
      </c>
      <c r="W467">
        <f>IF($N467=0,0,IF(AND($F467&lt;=EOMONTH(DATE(PlanYear,9,1),0),IF(ISNUMBER($G467),$G467,$F467)&gt;=DATE(PlanYear,9,1)),1,0))</f>
        <v>0</v>
      </c>
      <c r="X467">
        <f>IF($N467=0,0,IF(AND($F467&lt;=EOMONTH(DATE(PlanYear,10,1),0),IF(ISNUMBER($G467),$G467,$F467)&gt;=DATE(PlanYear,10,1)),1,0))</f>
        <v>0</v>
      </c>
      <c r="Y467">
        <f>IF($N467=0,0,IF(AND($F467&lt;=EOMONTH(DATE(PlanYear,11,1),0),IF(ISNUMBER($G467),$G467,$F467)&gt;=DATE(PlanYear,11,1)),1,0))</f>
        <v>0</v>
      </c>
      <c r="Z467">
        <f>IF($N467=0,0,IF(AND($F467&lt;=EOMONTH(DATE(PlanYear,12,1),0),IF(ISNUMBER($G467),$G467,$F467)&gt;=DATE(PlanYear,12,1)),1,0))</f>
        <v>0</v>
      </c>
      <c r="AA467">
        <f>SUM($O467:$Z467)</f>
        <v>0</v>
      </c>
    </row>
    <row r="468" spans="1:27">
      <c r="A468" s="42">
        <f>IF($B468="","","ACT-"&amp;TEXT(ROW()-4,"000"))</f>
        <v>0</v>
      </c>
      <c r="M468" s="43">
        <f>IF(COUNTA($B468:$K468)=0,"",IF($B468="","Missing activity name",IF($C468="","Missing practice",IF(COUNTIF(PracticeNames,$C468)=0,"Practice not in Lists",IF($D468="","Missing motion",IF(NOT(ISNUMBER($F468)),"Missing or invalid start date",IF(AND(ISNUMBER($G468),$G468&lt;$F468),"End date before start",IF(AND($N468=1,$AA468=0),"Outside planning year","OK"))))))))</f>
        <v>0</v>
      </c>
      <c r="N468">
        <f>IF(AND($B468&lt;&gt;"",$C468&lt;&gt;"",$D468&lt;&gt;"",ISNUMBER($F468),COUNTIF(PracticeNames,$C468)&gt;0,COUNTIF(MotionNames,$D468)&gt;0,NOT(AND(ISNUMBER($G468),$G468&lt;$F468))),IF(StatusFilter="All (excl. Cancelled)",IF($H468="Cancelled",0,1),IF(StatusFilter="All",1,IF($H468=StatusFilter,1,0))),0)</f>
        <v>0</v>
      </c>
      <c r="O468">
        <f>IF($N468=0,0,IF(AND($F468&lt;=EOMONTH(DATE(PlanYear,1,1),0),IF(ISNUMBER($G468),$G468,$F468)&gt;=DATE(PlanYear,1,1)),1,0))</f>
        <v>0</v>
      </c>
      <c r="P468">
        <f>IF($N468=0,0,IF(AND($F468&lt;=EOMONTH(DATE(PlanYear,2,1),0),IF(ISNUMBER($G468),$G468,$F468)&gt;=DATE(PlanYear,2,1)),1,0))</f>
        <v>0</v>
      </c>
      <c r="Q468">
        <f>IF($N468=0,0,IF(AND($F468&lt;=EOMONTH(DATE(PlanYear,3,1),0),IF(ISNUMBER($G468),$G468,$F468)&gt;=DATE(PlanYear,3,1)),1,0))</f>
        <v>0</v>
      </c>
      <c r="R468">
        <f>IF($N468=0,0,IF(AND($F468&lt;=EOMONTH(DATE(PlanYear,4,1),0),IF(ISNUMBER($G468),$G468,$F468)&gt;=DATE(PlanYear,4,1)),1,0))</f>
        <v>0</v>
      </c>
      <c r="S468">
        <f>IF($N468=0,0,IF(AND($F468&lt;=EOMONTH(DATE(PlanYear,5,1),0),IF(ISNUMBER($G468),$G468,$F468)&gt;=DATE(PlanYear,5,1)),1,0))</f>
        <v>0</v>
      </c>
      <c r="T468">
        <f>IF($N468=0,0,IF(AND($F468&lt;=EOMONTH(DATE(PlanYear,6,1),0),IF(ISNUMBER($G468),$G468,$F468)&gt;=DATE(PlanYear,6,1)),1,0))</f>
        <v>0</v>
      </c>
      <c r="U468">
        <f>IF($N468=0,0,IF(AND($F468&lt;=EOMONTH(DATE(PlanYear,7,1),0),IF(ISNUMBER($G468),$G468,$F468)&gt;=DATE(PlanYear,7,1)),1,0))</f>
        <v>0</v>
      </c>
      <c r="V468">
        <f>IF($N468=0,0,IF(AND($F468&lt;=EOMONTH(DATE(PlanYear,8,1),0),IF(ISNUMBER($G468),$G468,$F468)&gt;=DATE(PlanYear,8,1)),1,0))</f>
        <v>0</v>
      </c>
      <c r="W468">
        <f>IF($N468=0,0,IF(AND($F468&lt;=EOMONTH(DATE(PlanYear,9,1),0),IF(ISNUMBER($G468),$G468,$F468)&gt;=DATE(PlanYear,9,1)),1,0))</f>
        <v>0</v>
      </c>
      <c r="X468">
        <f>IF($N468=0,0,IF(AND($F468&lt;=EOMONTH(DATE(PlanYear,10,1),0),IF(ISNUMBER($G468),$G468,$F468)&gt;=DATE(PlanYear,10,1)),1,0))</f>
        <v>0</v>
      </c>
      <c r="Y468">
        <f>IF($N468=0,0,IF(AND($F468&lt;=EOMONTH(DATE(PlanYear,11,1),0),IF(ISNUMBER($G468),$G468,$F468)&gt;=DATE(PlanYear,11,1)),1,0))</f>
        <v>0</v>
      </c>
      <c r="Z468">
        <f>IF($N468=0,0,IF(AND($F468&lt;=EOMONTH(DATE(PlanYear,12,1),0),IF(ISNUMBER($G468),$G468,$F468)&gt;=DATE(PlanYear,12,1)),1,0))</f>
        <v>0</v>
      </c>
      <c r="AA468">
        <f>SUM($O468:$Z468)</f>
        <v>0</v>
      </c>
    </row>
    <row r="469" spans="1:27">
      <c r="A469" s="42">
        <f>IF($B469="","","ACT-"&amp;TEXT(ROW()-4,"000"))</f>
        <v>0</v>
      </c>
      <c r="M469" s="43">
        <f>IF(COUNTA($B469:$K469)=0,"",IF($B469="","Missing activity name",IF($C469="","Missing practice",IF(COUNTIF(PracticeNames,$C469)=0,"Practice not in Lists",IF($D469="","Missing motion",IF(NOT(ISNUMBER($F469)),"Missing or invalid start date",IF(AND(ISNUMBER($G469),$G469&lt;$F469),"End date before start",IF(AND($N469=1,$AA469=0),"Outside planning year","OK"))))))))</f>
        <v>0</v>
      </c>
      <c r="N469">
        <f>IF(AND($B469&lt;&gt;"",$C469&lt;&gt;"",$D469&lt;&gt;"",ISNUMBER($F469),COUNTIF(PracticeNames,$C469)&gt;0,COUNTIF(MotionNames,$D469)&gt;0,NOT(AND(ISNUMBER($G469),$G469&lt;$F469))),IF(StatusFilter="All (excl. Cancelled)",IF($H469="Cancelled",0,1),IF(StatusFilter="All",1,IF($H469=StatusFilter,1,0))),0)</f>
        <v>0</v>
      </c>
      <c r="O469">
        <f>IF($N469=0,0,IF(AND($F469&lt;=EOMONTH(DATE(PlanYear,1,1),0),IF(ISNUMBER($G469),$G469,$F469)&gt;=DATE(PlanYear,1,1)),1,0))</f>
        <v>0</v>
      </c>
      <c r="P469">
        <f>IF($N469=0,0,IF(AND($F469&lt;=EOMONTH(DATE(PlanYear,2,1),0),IF(ISNUMBER($G469),$G469,$F469)&gt;=DATE(PlanYear,2,1)),1,0))</f>
        <v>0</v>
      </c>
      <c r="Q469">
        <f>IF($N469=0,0,IF(AND($F469&lt;=EOMONTH(DATE(PlanYear,3,1),0),IF(ISNUMBER($G469),$G469,$F469)&gt;=DATE(PlanYear,3,1)),1,0))</f>
        <v>0</v>
      </c>
      <c r="R469">
        <f>IF($N469=0,0,IF(AND($F469&lt;=EOMONTH(DATE(PlanYear,4,1),0),IF(ISNUMBER($G469),$G469,$F469)&gt;=DATE(PlanYear,4,1)),1,0))</f>
        <v>0</v>
      </c>
      <c r="S469">
        <f>IF($N469=0,0,IF(AND($F469&lt;=EOMONTH(DATE(PlanYear,5,1),0),IF(ISNUMBER($G469),$G469,$F469)&gt;=DATE(PlanYear,5,1)),1,0))</f>
        <v>0</v>
      </c>
      <c r="T469">
        <f>IF($N469=0,0,IF(AND($F469&lt;=EOMONTH(DATE(PlanYear,6,1),0),IF(ISNUMBER($G469),$G469,$F469)&gt;=DATE(PlanYear,6,1)),1,0))</f>
        <v>0</v>
      </c>
      <c r="U469">
        <f>IF($N469=0,0,IF(AND($F469&lt;=EOMONTH(DATE(PlanYear,7,1),0),IF(ISNUMBER($G469),$G469,$F469)&gt;=DATE(PlanYear,7,1)),1,0))</f>
        <v>0</v>
      </c>
      <c r="V469">
        <f>IF($N469=0,0,IF(AND($F469&lt;=EOMONTH(DATE(PlanYear,8,1),0),IF(ISNUMBER($G469),$G469,$F469)&gt;=DATE(PlanYear,8,1)),1,0))</f>
        <v>0</v>
      </c>
      <c r="W469">
        <f>IF($N469=0,0,IF(AND($F469&lt;=EOMONTH(DATE(PlanYear,9,1),0),IF(ISNUMBER($G469),$G469,$F469)&gt;=DATE(PlanYear,9,1)),1,0))</f>
        <v>0</v>
      </c>
      <c r="X469">
        <f>IF($N469=0,0,IF(AND($F469&lt;=EOMONTH(DATE(PlanYear,10,1),0),IF(ISNUMBER($G469),$G469,$F469)&gt;=DATE(PlanYear,10,1)),1,0))</f>
        <v>0</v>
      </c>
      <c r="Y469">
        <f>IF($N469=0,0,IF(AND($F469&lt;=EOMONTH(DATE(PlanYear,11,1),0),IF(ISNUMBER($G469),$G469,$F469)&gt;=DATE(PlanYear,11,1)),1,0))</f>
        <v>0</v>
      </c>
      <c r="Z469">
        <f>IF($N469=0,0,IF(AND($F469&lt;=EOMONTH(DATE(PlanYear,12,1),0),IF(ISNUMBER($G469),$G469,$F469)&gt;=DATE(PlanYear,12,1)),1,0))</f>
        <v>0</v>
      </c>
      <c r="AA469">
        <f>SUM($O469:$Z469)</f>
        <v>0</v>
      </c>
    </row>
    <row r="470" spans="1:27">
      <c r="A470" s="42">
        <f>IF($B470="","","ACT-"&amp;TEXT(ROW()-4,"000"))</f>
        <v>0</v>
      </c>
      <c r="M470" s="43">
        <f>IF(COUNTA($B470:$K470)=0,"",IF($B470="","Missing activity name",IF($C470="","Missing practice",IF(COUNTIF(PracticeNames,$C470)=0,"Practice not in Lists",IF($D470="","Missing motion",IF(NOT(ISNUMBER($F470)),"Missing or invalid start date",IF(AND(ISNUMBER($G470),$G470&lt;$F470),"End date before start",IF(AND($N470=1,$AA470=0),"Outside planning year","OK"))))))))</f>
        <v>0</v>
      </c>
      <c r="N470">
        <f>IF(AND($B470&lt;&gt;"",$C470&lt;&gt;"",$D470&lt;&gt;"",ISNUMBER($F470),COUNTIF(PracticeNames,$C470)&gt;0,COUNTIF(MotionNames,$D470)&gt;0,NOT(AND(ISNUMBER($G470),$G470&lt;$F470))),IF(StatusFilter="All (excl. Cancelled)",IF($H470="Cancelled",0,1),IF(StatusFilter="All",1,IF($H470=StatusFilter,1,0))),0)</f>
        <v>0</v>
      </c>
      <c r="O470">
        <f>IF($N470=0,0,IF(AND($F470&lt;=EOMONTH(DATE(PlanYear,1,1),0),IF(ISNUMBER($G470),$G470,$F470)&gt;=DATE(PlanYear,1,1)),1,0))</f>
        <v>0</v>
      </c>
      <c r="P470">
        <f>IF($N470=0,0,IF(AND($F470&lt;=EOMONTH(DATE(PlanYear,2,1),0),IF(ISNUMBER($G470),$G470,$F470)&gt;=DATE(PlanYear,2,1)),1,0))</f>
        <v>0</v>
      </c>
      <c r="Q470">
        <f>IF($N470=0,0,IF(AND($F470&lt;=EOMONTH(DATE(PlanYear,3,1),0),IF(ISNUMBER($G470),$G470,$F470)&gt;=DATE(PlanYear,3,1)),1,0))</f>
        <v>0</v>
      </c>
      <c r="R470">
        <f>IF($N470=0,0,IF(AND($F470&lt;=EOMONTH(DATE(PlanYear,4,1),0),IF(ISNUMBER($G470),$G470,$F470)&gt;=DATE(PlanYear,4,1)),1,0))</f>
        <v>0</v>
      </c>
      <c r="S470">
        <f>IF($N470=0,0,IF(AND($F470&lt;=EOMONTH(DATE(PlanYear,5,1),0),IF(ISNUMBER($G470),$G470,$F470)&gt;=DATE(PlanYear,5,1)),1,0))</f>
        <v>0</v>
      </c>
      <c r="T470">
        <f>IF($N470=0,0,IF(AND($F470&lt;=EOMONTH(DATE(PlanYear,6,1),0),IF(ISNUMBER($G470),$G470,$F470)&gt;=DATE(PlanYear,6,1)),1,0))</f>
        <v>0</v>
      </c>
      <c r="U470">
        <f>IF($N470=0,0,IF(AND($F470&lt;=EOMONTH(DATE(PlanYear,7,1),0),IF(ISNUMBER($G470),$G470,$F470)&gt;=DATE(PlanYear,7,1)),1,0))</f>
        <v>0</v>
      </c>
      <c r="V470">
        <f>IF($N470=0,0,IF(AND($F470&lt;=EOMONTH(DATE(PlanYear,8,1),0),IF(ISNUMBER($G470),$G470,$F470)&gt;=DATE(PlanYear,8,1)),1,0))</f>
        <v>0</v>
      </c>
      <c r="W470">
        <f>IF($N470=0,0,IF(AND($F470&lt;=EOMONTH(DATE(PlanYear,9,1),0),IF(ISNUMBER($G470),$G470,$F470)&gt;=DATE(PlanYear,9,1)),1,0))</f>
        <v>0</v>
      </c>
      <c r="X470">
        <f>IF($N470=0,0,IF(AND($F470&lt;=EOMONTH(DATE(PlanYear,10,1),0),IF(ISNUMBER($G470),$G470,$F470)&gt;=DATE(PlanYear,10,1)),1,0))</f>
        <v>0</v>
      </c>
      <c r="Y470">
        <f>IF($N470=0,0,IF(AND($F470&lt;=EOMONTH(DATE(PlanYear,11,1),0),IF(ISNUMBER($G470),$G470,$F470)&gt;=DATE(PlanYear,11,1)),1,0))</f>
        <v>0</v>
      </c>
      <c r="Z470">
        <f>IF($N470=0,0,IF(AND($F470&lt;=EOMONTH(DATE(PlanYear,12,1),0),IF(ISNUMBER($G470),$G470,$F470)&gt;=DATE(PlanYear,12,1)),1,0))</f>
        <v>0</v>
      </c>
      <c r="AA470">
        <f>SUM($O470:$Z470)</f>
        <v>0</v>
      </c>
    </row>
    <row r="471" spans="1:27">
      <c r="A471" s="42">
        <f>IF($B471="","","ACT-"&amp;TEXT(ROW()-4,"000"))</f>
        <v>0</v>
      </c>
      <c r="M471" s="43">
        <f>IF(COUNTA($B471:$K471)=0,"",IF($B471="","Missing activity name",IF($C471="","Missing practice",IF(COUNTIF(PracticeNames,$C471)=0,"Practice not in Lists",IF($D471="","Missing motion",IF(NOT(ISNUMBER($F471)),"Missing or invalid start date",IF(AND(ISNUMBER($G471),$G471&lt;$F471),"End date before start",IF(AND($N471=1,$AA471=0),"Outside planning year","OK"))))))))</f>
        <v>0</v>
      </c>
      <c r="N471">
        <f>IF(AND($B471&lt;&gt;"",$C471&lt;&gt;"",$D471&lt;&gt;"",ISNUMBER($F471),COUNTIF(PracticeNames,$C471)&gt;0,COUNTIF(MotionNames,$D471)&gt;0,NOT(AND(ISNUMBER($G471),$G471&lt;$F471))),IF(StatusFilter="All (excl. Cancelled)",IF($H471="Cancelled",0,1),IF(StatusFilter="All",1,IF($H471=StatusFilter,1,0))),0)</f>
        <v>0</v>
      </c>
      <c r="O471">
        <f>IF($N471=0,0,IF(AND($F471&lt;=EOMONTH(DATE(PlanYear,1,1),0),IF(ISNUMBER($G471),$G471,$F471)&gt;=DATE(PlanYear,1,1)),1,0))</f>
        <v>0</v>
      </c>
      <c r="P471">
        <f>IF($N471=0,0,IF(AND($F471&lt;=EOMONTH(DATE(PlanYear,2,1),0),IF(ISNUMBER($G471),$G471,$F471)&gt;=DATE(PlanYear,2,1)),1,0))</f>
        <v>0</v>
      </c>
      <c r="Q471">
        <f>IF($N471=0,0,IF(AND($F471&lt;=EOMONTH(DATE(PlanYear,3,1),0),IF(ISNUMBER($G471),$G471,$F471)&gt;=DATE(PlanYear,3,1)),1,0))</f>
        <v>0</v>
      </c>
      <c r="R471">
        <f>IF($N471=0,0,IF(AND($F471&lt;=EOMONTH(DATE(PlanYear,4,1),0),IF(ISNUMBER($G471),$G471,$F471)&gt;=DATE(PlanYear,4,1)),1,0))</f>
        <v>0</v>
      </c>
      <c r="S471">
        <f>IF($N471=0,0,IF(AND($F471&lt;=EOMONTH(DATE(PlanYear,5,1),0),IF(ISNUMBER($G471),$G471,$F471)&gt;=DATE(PlanYear,5,1)),1,0))</f>
        <v>0</v>
      </c>
      <c r="T471">
        <f>IF($N471=0,0,IF(AND($F471&lt;=EOMONTH(DATE(PlanYear,6,1),0),IF(ISNUMBER($G471),$G471,$F471)&gt;=DATE(PlanYear,6,1)),1,0))</f>
        <v>0</v>
      </c>
      <c r="U471">
        <f>IF($N471=0,0,IF(AND($F471&lt;=EOMONTH(DATE(PlanYear,7,1),0),IF(ISNUMBER($G471),$G471,$F471)&gt;=DATE(PlanYear,7,1)),1,0))</f>
        <v>0</v>
      </c>
      <c r="V471">
        <f>IF($N471=0,0,IF(AND($F471&lt;=EOMONTH(DATE(PlanYear,8,1),0),IF(ISNUMBER($G471),$G471,$F471)&gt;=DATE(PlanYear,8,1)),1,0))</f>
        <v>0</v>
      </c>
      <c r="W471">
        <f>IF($N471=0,0,IF(AND($F471&lt;=EOMONTH(DATE(PlanYear,9,1),0),IF(ISNUMBER($G471),$G471,$F471)&gt;=DATE(PlanYear,9,1)),1,0))</f>
        <v>0</v>
      </c>
      <c r="X471">
        <f>IF($N471=0,0,IF(AND($F471&lt;=EOMONTH(DATE(PlanYear,10,1),0),IF(ISNUMBER($G471),$G471,$F471)&gt;=DATE(PlanYear,10,1)),1,0))</f>
        <v>0</v>
      </c>
      <c r="Y471">
        <f>IF($N471=0,0,IF(AND($F471&lt;=EOMONTH(DATE(PlanYear,11,1),0),IF(ISNUMBER($G471),$G471,$F471)&gt;=DATE(PlanYear,11,1)),1,0))</f>
        <v>0</v>
      </c>
      <c r="Z471">
        <f>IF($N471=0,0,IF(AND($F471&lt;=EOMONTH(DATE(PlanYear,12,1),0),IF(ISNUMBER($G471),$G471,$F471)&gt;=DATE(PlanYear,12,1)),1,0))</f>
        <v>0</v>
      </c>
      <c r="AA471">
        <f>SUM($O471:$Z471)</f>
        <v>0</v>
      </c>
    </row>
    <row r="472" spans="1:27">
      <c r="A472" s="42">
        <f>IF($B472="","","ACT-"&amp;TEXT(ROW()-4,"000"))</f>
        <v>0</v>
      </c>
      <c r="M472" s="43">
        <f>IF(COUNTA($B472:$K472)=0,"",IF($B472="","Missing activity name",IF($C472="","Missing practice",IF(COUNTIF(PracticeNames,$C472)=0,"Practice not in Lists",IF($D472="","Missing motion",IF(NOT(ISNUMBER($F472)),"Missing or invalid start date",IF(AND(ISNUMBER($G472),$G472&lt;$F472),"End date before start",IF(AND($N472=1,$AA472=0),"Outside planning year","OK"))))))))</f>
        <v>0</v>
      </c>
      <c r="N472">
        <f>IF(AND($B472&lt;&gt;"",$C472&lt;&gt;"",$D472&lt;&gt;"",ISNUMBER($F472),COUNTIF(PracticeNames,$C472)&gt;0,COUNTIF(MotionNames,$D472)&gt;0,NOT(AND(ISNUMBER($G472),$G472&lt;$F472))),IF(StatusFilter="All (excl. Cancelled)",IF($H472="Cancelled",0,1),IF(StatusFilter="All",1,IF($H472=StatusFilter,1,0))),0)</f>
        <v>0</v>
      </c>
      <c r="O472">
        <f>IF($N472=0,0,IF(AND($F472&lt;=EOMONTH(DATE(PlanYear,1,1),0),IF(ISNUMBER($G472),$G472,$F472)&gt;=DATE(PlanYear,1,1)),1,0))</f>
        <v>0</v>
      </c>
      <c r="P472">
        <f>IF($N472=0,0,IF(AND($F472&lt;=EOMONTH(DATE(PlanYear,2,1),0),IF(ISNUMBER($G472),$G472,$F472)&gt;=DATE(PlanYear,2,1)),1,0))</f>
        <v>0</v>
      </c>
      <c r="Q472">
        <f>IF($N472=0,0,IF(AND($F472&lt;=EOMONTH(DATE(PlanYear,3,1),0),IF(ISNUMBER($G472),$G472,$F472)&gt;=DATE(PlanYear,3,1)),1,0))</f>
        <v>0</v>
      </c>
      <c r="R472">
        <f>IF($N472=0,0,IF(AND($F472&lt;=EOMONTH(DATE(PlanYear,4,1),0),IF(ISNUMBER($G472),$G472,$F472)&gt;=DATE(PlanYear,4,1)),1,0))</f>
        <v>0</v>
      </c>
      <c r="S472">
        <f>IF($N472=0,0,IF(AND($F472&lt;=EOMONTH(DATE(PlanYear,5,1),0),IF(ISNUMBER($G472),$G472,$F472)&gt;=DATE(PlanYear,5,1)),1,0))</f>
        <v>0</v>
      </c>
      <c r="T472">
        <f>IF($N472=0,0,IF(AND($F472&lt;=EOMONTH(DATE(PlanYear,6,1),0),IF(ISNUMBER($G472),$G472,$F472)&gt;=DATE(PlanYear,6,1)),1,0))</f>
        <v>0</v>
      </c>
      <c r="U472">
        <f>IF($N472=0,0,IF(AND($F472&lt;=EOMONTH(DATE(PlanYear,7,1),0),IF(ISNUMBER($G472),$G472,$F472)&gt;=DATE(PlanYear,7,1)),1,0))</f>
        <v>0</v>
      </c>
      <c r="V472">
        <f>IF($N472=0,0,IF(AND($F472&lt;=EOMONTH(DATE(PlanYear,8,1),0),IF(ISNUMBER($G472),$G472,$F472)&gt;=DATE(PlanYear,8,1)),1,0))</f>
        <v>0</v>
      </c>
      <c r="W472">
        <f>IF($N472=0,0,IF(AND($F472&lt;=EOMONTH(DATE(PlanYear,9,1),0),IF(ISNUMBER($G472),$G472,$F472)&gt;=DATE(PlanYear,9,1)),1,0))</f>
        <v>0</v>
      </c>
      <c r="X472">
        <f>IF($N472=0,0,IF(AND($F472&lt;=EOMONTH(DATE(PlanYear,10,1),0),IF(ISNUMBER($G472),$G472,$F472)&gt;=DATE(PlanYear,10,1)),1,0))</f>
        <v>0</v>
      </c>
      <c r="Y472">
        <f>IF($N472=0,0,IF(AND($F472&lt;=EOMONTH(DATE(PlanYear,11,1),0),IF(ISNUMBER($G472),$G472,$F472)&gt;=DATE(PlanYear,11,1)),1,0))</f>
        <v>0</v>
      </c>
      <c r="Z472">
        <f>IF($N472=0,0,IF(AND($F472&lt;=EOMONTH(DATE(PlanYear,12,1),0),IF(ISNUMBER($G472),$G472,$F472)&gt;=DATE(PlanYear,12,1)),1,0))</f>
        <v>0</v>
      </c>
      <c r="AA472">
        <f>SUM($O472:$Z472)</f>
        <v>0</v>
      </c>
    </row>
    <row r="473" spans="1:27">
      <c r="A473" s="42">
        <f>IF($B473="","","ACT-"&amp;TEXT(ROW()-4,"000"))</f>
        <v>0</v>
      </c>
      <c r="M473" s="43">
        <f>IF(COUNTA($B473:$K473)=0,"",IF($B473="","Missing activity name",IF($C473="","Missing practice",IF(COUNTIF(PracticeNames,$C473)=0,"Practice not in Lists",IF($D473="","Missing motion",IF(NOT(ISNUMBER($F473)),"Missing or invalid start date",IF(AND(ISNUMBER($G473),$G473&lt;$F473),"End date before start",IF(AND($N473=1,$AA473=0),"Outside planning year","OK"))))))))</f>
        <v>0</v>
      </c>
      <c r="N473">
        <f>IF(AND($B473&lt;&gt;"",$C473&lt;&gt;"",$D473&lt;&gt;"",ISNUMBER($F473),COUNTIF(PracticeNames,$C473)&gt;0,COUNTIF(MotionNames,$D473)&gt;0,NOT(AND(ISNUMBER($G473),$G473&lt;$F473))),IF(StatusFilter="All (excl. Cancelled)",IF($H473="Cancelled",0,1),IF(StatusFilter="All",1,IF($H473=StatusFilter,1,0))),0)</f>
        <v>0</v>
      </c>
      <c r="O473">
        <f>IF($N473=0,0,IF(AND($F473&lt;=EOMONTH(DATE(PlanYear,1,1),0),IF(ISNUMBER($G473),$G473,$F473)&gt;=DATE(PlanYear,1,1)),1,0))</f>
        <v>0</v>
      </c>
      <c r="P473">
        <f>IF($N473=0,0,IF(AND($F473&lt;=EOMONTH(DATE(PlanYear,2,1),0),IF(ISNUMBER($G473),$G473,$F473)&gt;=DATE(PlanYear,2,1)),1,0))</f>
        <v>0</v>
      </c>
      <c r="Q473">
        <f>IF($N473=0,0,IF(AND($F473&lt;=EOMONTH(DATE(PlanYear,3,1),0),IF(ISNUMBER($G473),$G473,$F473)&gt;=DATE(PlanYear,3,1)),1,0))</f>
        <v>0</v>
      </c>
      <c r="R473">
        <f>IF($N473=0,0,IF(AND($F473&lt;=EOMONTH(DATE(PlanYear,4,1),0),IF(ISNUMBER($G473),$G473,$F473)&gt;=DATE(PlanYear,4,1)),1,0))</f>
        <v>0</v>
      </c>
      <c r="S473">
        <f>IF($N473=0,0,IF(AND($F473&lt;=EOMONTH(DATE(PlanYear,5,1),0),IF(ISNUMBER($G473),$G473,$F473)&gt;=DATE(PlanYear,5,1)),1,0))</f>
        <v>0</v>
      </c>
      <c r="T473">
        <f>IF($N473=0,0,IF(AND($F473&lt;=EOMONTH(DATE(PlanYear,6,1),0),IF(ISNUMBER($G473),$G473,$F473)&gt;=DATE(PlanYear,6,1)),1,0))</f>
        <v>0</v>
      </c>
      <c r="U473">
        <f>IF($N473=0,0,IF(AND($F473&lt;=EOMONTH(DATE(PlanYear,7,1),0),IF(ISNUMBER($G473),$G473,$F473)&gt;=DATE(PlanYear,7,1)),1,0))</f>
        <v>0</v>
      </c>
      <c r="V473">
        <f>IF($N473=0,0,IF(AND($F473&lt;=EOMONTH(DATE(PlanYear,8,1),0),IF(ISNUMBER($G473),$G473,$F473)&gt;=DATE(PlanYear,8,1)),1,0))</f>
        <v>0</v>
      </c>
      <c r="W473">
        <f>IF($N473=0,0,IF(AND($F473&lt;=EOMONTH(DATE(PlanYear,9,1),0),IF(ISNUMBER($G473),$G473,$F473)&gt;=DATE(PlanYear,9,1)),1,0))</f>
        <v>0</v>
      </c>
      <c r="X473">
        <f>IF($N473=0,0,IF(AND($F473&lt;=EOMONTH(DATE(PlanYear,10,1),0),IF(ISNUMBER($G473),$G473,$F473)&gt;=DATE(PlanYear,10,1)),1,0))</f>
        <v>0</v>
      </c>
      <c r="Y473">
        <f>IF($N473=0,0,IF(AND($F473&lt;=EOMONTH(DATE(PlanYear,11,1),0),IF(ISNUMBER($G473),$G473,$F473)&gt;=DATE(PlanYear,11,1)),1,0))</f>
        <v>0</v>
      </c>
      <c r="Z473">
        <f>IF($N473=0,0,IF(AND($F473&lt;=EOMONTH(DATE(PlanYear,12,1),0),IF(ISNUMBER($G473),$G473,$F473)&gt;=DATE(PlanYear,12,1)),1,0))</f>
        <v>0</v>
      </c>
      <c r="AA473">
        <f>SUM($O473:$Z473)</f>
        <v>0</v>
      </c>
    </row>
    <row r="474" spans="1:27">
      <c r="A474" s="42">
        <f>IF($B474="","","ACT-"&amp;TEXT(ROW()-4,"000"))</f>
        <v>0</v>
      </c>
      <c r="M474" s="43">
        <f>IF(COUNTA($B474:$K474)=0,"",IF($B474="","Missing activity name",IF($C474="","Missing practice",IF(COUNTIF(PracticeNames,$C474)=0,"Practice not in Lists",IF($D474="","Missing motion",IF(NOT(ISNUMBER($F474)),"Missing or invalid start date",IF(AND(ISNUMBER($G474),$G474&lt;$F474),"End date before start",IF(AND($N474=1,$AA474=0),"Outside planning year","OK"))))))))</f>
        <v>0</v>
      </c>
      <c r="N474">
        <f>IF(AND($B474&lt;&gt;"",$C474&lt;&gt;"",$D474&lt;&gt;"",ISNUMBER($F474),COUNTIF(PracticeNames,$C474)&gt;0,COUNTIF(MotionNames,$D474)&gt;0,NOT(AND(ISNUMBER($G474),$G474&lt;$F474))),IF(StatusFilter="All (excl. Cancelled)",IF($H474="Cancelled",0,1),IF(StatusFilter="All",1,IF($H474=StatusFilter,1,0))),0)</f>
        <v>0</v>
      </c>
      <c r="O474">
        <f>IF($N474=0,0,IF(AND($F474&lt;=EOMONTH(DATE(PlanYear,1,1),0),IF(ISNUMBER($G474),$G474,$F474)&gt;=DATE(PlanYear,1,1)),1,0))</f>
        <v>0</v>
      </c>
      <c r="P474">
        <f>IF($N474=0,0,IF(AND($F474&lt;=EOMONTH(DATE(PlanYear,2,1),0),IF(ISNUMBER($G474),$G474,$F474)&gt;=DATE(PlanYear,2,1)),1,0))</f>
        <v>0</v>
      </c>
      <c r="Q474">
        <f>IF($N474=0,0,IF(AND($F474&lt;=EOMONTH(DATE(PlanYear,3,1),0),IF(ISNUMBER($G474),$G474,$F474)&gt;=DATE(PlanYear,3,1)),1,0))</f>
        <v>0</v>
      </c>
      <c r="R474">
        <f>IF($N474=0,0,IF(AND($F474&lt;=EOMONTH(DATE(PlanYear,4,1),0),IF(ISNUMBER($G474),$G474,$F474)&gt;=DATE(PlanYear,4,1)),1,0))</f>
        <v>0</v>
      </c>
      <c r="S474">
        <f>IF($N474=0,0,IF(AND($F474&lt;=EOMONTH(DATE(PlanYear,5,1),0),IF(ISNUMBER($G474),$G474,$F474)&gt;=DATE(PlanYear,5,1)),1,0))</f>
        <v>0</v>
      </c>
      <c r="T474">
        <f>IF($N474=0,0,IF(AND($F474&lt;=EOMONTH(DATE(PlanYear,6,1),0),IF(ISNUMBER($G474),$G474,$F474)&gt;=DATE(PlanYear,6,1)),1,0))</f>
        <v>0</v>
      </c>
      <c r="U474">
        <f>IF($N474=0,0,IF(AND($F474&lt;=EOMONTH(DATE(PlanYear,7,1),0),IF(ISNUMBER($G474),$G474,$F474)&gt;=DATE(PlanYear,7,1)),1,0))</f>
        <v>0</v>
      </c>
      <c r="V474">
        <f>IF($N474=0,0,IF(AND($F474&lt;=EOMONTH(DATE(PlanYear,8,1),0),IF(ISNUMBER($G474),$G474,$F474)&gt;=DATE(PlanYear,8,1)),1,0))</f>
        <v>0</v>
      </c>
      <c r="W474">
        <f>IF($N474=0,0,IF(AND($F474&lt;=EOMONTH(DATE(PlanYear,9,1),0),IF(ISNUMBER($G474),$G474,$F474)&gt;=DATE(PlanYear,9,1)),1,0))</f>
        <v>0</v>
      </c>
      <c r="X474">
        <f>IF($N474=0,0,IF(AND($F474&lt;=EOMONTH(DATE(PlanYear,10,1),0),IF(ISNUMBER($G474),$G474,$F474)&gt;=DATE(PlanYear,10,1)),1,0))</f>
        <v>0</v>
      </c>
      <c r="Y474">
        <f>IF($N474=0,0,IF(AND($F474&lt;=EOMONTH(DATE(PlanYear,11,1),0),IF(ISNUMBER($G474),$G474,$F474)&gt;=DATE(PlanYear,11,1)),1,0))</f>
        <v>0</v>
      </c>
      <c r="Z474">
        <f>IF($N474=0,0,IF(AND($F474&lt;=EOMONTH(DATE(PlanYear,12,1),0),IF(ISNUMBER($G474),$G474,$F474)&gt;=DATE(PlanYear,12,1)),1,0))</f>
        <v>0</v>
      </c>
      <c r="AA474">
        <f>SUM($O474:$Z474)</f>
        <v>0</v>
      </c>
    </row>
    <row r="475" spans="1:27">
      <c r="A475" s="42">
        <f>IF($B475="","","ACT-"&amp;TEXT(ROW()-4,"000"))</f>
        <v>0</v>
      </c>
      <c r="M475" s="43">
        <f>IF(COUNTA($B475:$K475)=0,"",IF($B475="","Missing activity name",IF($C475="","Missing practice",IF(COUNTIF(PracticeNames,$C475)=0,"Practice not in Lists",IF($D475="","Missing motion",IF(NOT(ISNUMBER($F475)),"Missing or invalid start date",IF(AND(ISNUMBER($G475),$G475&lt;$F475),"End date before start",IF(AND($N475=1,$AA475=0),"Outside planning year","OK"))))))))</f>
        <v>0</v>
      </c>
      <c r="N475">
        <f>IF(AND($B475&lt;&gt;"",$C475&lt;&gt;"",$D475&lt;&gt;"",ISNUMBER($F475),COUNTIF(PracticeNames,$C475)&gt;0,COUNTIF(MotionNames,$D475)&gt;0,NOT(AND(ISNUMBER($G475),$G475&lt;$F475))),IF(StatusFilter="All (excl. Cancelled)",IF($H475="Cancelled",0,1),IF(StatusFilter="All",1,IF($H475=StatusFilter,1,0))),0)</f>
        <v>0</v>
      </c>
      <c r="O475">
        <f>IF($N475=0,0,IF(AND($F475&lt;=EOMONTH(DATE(PlanYear,1,1),0),IF(ISNUMBER($G475),$G475,$F475)&gt;=DATE(PlanYear,1,1)),1,0))</f>
        <v>0</v>
      </c>
      <c r="P475">
        <f>IF($N475=0,0,IF(AND($F475&lt;=EOMONTH(DATE(PlanYear,2,1),0),IF(ISNUMBER($G475),$G475,$F475)&gt;=DATE(PlanYear,2,1)),1,0))</f>
        <v>0</v>
      </c>
      <c r="Q475">
        <f>IF($N475=0,0,IF(AND($F475&lt;=EOMONTH(DATE(PlanYear,3,1),0),IF(ISNUMBER($G475),$G475,$F475)&gt;=DATE(PlanYear,3,1)),1,0))</f>
        <v>0</v>
      </c>
      <c r="R475">
        <f>IF($N475=0,0,IF(AND($F475&lt;=EOMONTH(DATE(PlanYear,4,1),0),IF(ISNUMBER($G475),$G475,$F475)&gt;=DATE(PlanYear,4,1)),1,0))</f>
        <v>0</v>
      </c>
      <c r="S475">
        <f>IF($N475=0,0,IF(AND($F475&lt;=EOMONTH(DATE(PlanYear,5,1),0),IF(ISNUMBER($G475),$G475,$F475)&gt;=DATE(PlanYear,5,1)),1,0))</f>
        <v>0</v>
      </c>
      <c r="T475">
        <f>IF($N475=0,0,IF(AND($F475&lt;=EOMONTH(DATE(PlanYear,6,1),0),IF(ISNUMBER($G475),$G475,$F475)&gt;=DATE(PlanYear,6,1)),1,0))</f>
        <v>0</v>
      </c>
      <c r="U475">
        <f>IF($N475=0,0,IF(AND($F475&lt;=EOMONTH(DATE(PlanYear,7,1),0),IF(ISNUMBER($G475),$G475,$F475)&gt;=DATE(PlanYear,7,1)),1,0))</f>
        <v>0</v>
      </c>
      <c r="V475">
        <f>IF($N475=0,0,IF(AND($F475&lt;=EOMONTH(DATE(PlanYear,8,1),0),IF(ISNUMBER($G475),$G475,$F475)&gt;=DATE(PlanYear,8,1)),1,0))</f>
        <v>0</v>
      </c>
      <c r="W475">
        <f>IF($N475=0,0,IF(AND($F475&lt;=EOMONTH(DATE(PlanYear,9,1),0),IF(ISNUMBER($G475),$G475,$F475)&gt;=DATE(PlanYear,9,1)),1,0))</f>
        <v>0</v>
      </c>
      <c r="X475">
        <f>IF($N475=0,0,IF(AND($F475&lt;=EOMONTH(DATE(PlanYear,10,1),0),IF(ISNUMBER($G475),$G475,$F475)&gt;=DATE(PlanYear,10,1)),1,0))</f>
        <v>0</v>
      </c>
      <c r="Y475">
        <f>IF($N475=0,0,IF(AND($F475&lt;=EOMONTH(DATE(PlanYear,11,1),0),IF(ISNUMBER($G475),$G475,$F475)&gt;=DATE(PlanYear,11,1)),1,0))</f>
        <v>0</v>
      </c>
      <c r="Z475">
        <f>IF($N475=0,0,IF(AND($F475&lt;=EOMONTH(DATE(PlanYear,12,1),0),IF(ISNUMBER($G475),$G475,$F475)&gt;=DATE(PlanYear,12,1)),1,0))</f>
        <v>0</v>
      </c>
      <c r="AA475">
        <f>SUM($O475:$Z475)</f>
        <v>0</v>
      </c>
    </row>
    <row r="476" spans="1:27">
      <c r="A476" s="42">
        <f>IF($B476="","","ACT-"&amp;TEXT(ROW()-4,"000"))</f>
        <v>0</v>
      </c>
      <c r="M476" s="43">
        <f>IF(COUNTA($B476:$K476)=0,"",IF($B476="","Missing activity name",IF($C476="","Missing practice",IF(COUNTIF(PracticeNames,$C476)=0,"Practice not in Lists",IF($D476="","Missing motion",IF(NOT(ISNUMBER($F476)),"Missing or invalid start date",IF(AND(ISNUMBER($G476),$G476&lt;$F476),"End date before start",IF(AND($N476=1,$AA476=0),"Outside planning year","OK"))))))))</f>
        <v>0</v>
      </c>
      <c r="N476">
        <f>IF(AND($B476&lt;&gt;"",$C476&lt;&gt;"",$D476&lt;&gt;"",ISNUMBER($F476),COUNTIF(PracticeNames,$C476)&gt;0,COUNTIF(MotionNames,$D476)&gt;0,NOT(AND(ISNUMBER($G476),$G476&lt;$F476))),IF(StatusFilter="All (excl. Cancelled)",IF($H476="Cancelled",0,1),IF(StatusFilter="All",1,IF($H476=StatusFilter,1,0))),0)</f>
        <v>0</v>
      </c>
      <c r="O476">
        <f>IF($N476=0,0,IF(AND($F476&lt;=EOMONTH(DATE(PlanYear,1,1),0),IF(ISNUMBER($G476),$G476,$F476)&gt;=DATE(PlanYear,1,1)),1,0))</f>
        <v>0</v>
      </c>
      <c r="P476">
        <f>IF($N476=0,0,IF(AND($F476&lt;=EOMONTH(DATE(PlanYear,2,1),0),IF(ISNUMBER($G476),$G476,$F476)&gt;=DATE(PlanYear,2,1)),1,0))</f>
        <v>0</v>
      </c>
      <c r="Q476">
        <f>IF($N476=0,0,IF(AND($F476&lt;=EOMONTH(DATE(PlanYear,3,1),0),IF(ISNUMBER($G476),$G476,$F476)&gt;=DATE(PlanYear,3,1)),1,0))</f>
        <v>0</v>
      </c>
      <c r="R476">
        <f>IF($N476=0,0,IF(AND($F476&lt;=EOMONTH(DATE(PlanYear,4,1),0),IF(ISNUMBER($G476),$G476,$F476)&gt;=DATE(PlanYear,4,1)),1,0))</f>
        <v>0</v>
      </c>
      <c r="S476">
        <f>IF($N476=0,0,IF(AND($F476&lt;=EOMONTH(DATE(PlanYear,5,1),0),IF(ISNUMBER($G476),$G476,$F476)&gt;=DATE(PlanYear,5,1)),1,0))</f>
        <v>0</v>
      </c>
      <c r="T476">
        <f>IF($N476=0,0,IF(AND($F476&lt;=EOMONTH(DATE(PlanYear,6,1),0),IF(ISNUMBER($G476),$G476,$F476)&gt;=DATE(PlanYear,6,1)),1,0))</f>
        <v>0</v>
      </c>
      <c r="U476">
        <f>IF($N476=0,0,IF(AND($F476&lt;=EOMONTH(DATE(PlanYear,7,1),0),IF(ISNUMBER($G476),$G476,$F476)&gt;=DATE(PlanYear,7,1)),1,0))</f>
        <v>0</v>
      </c>
      <c r="V476">
        <f>IF($N476=0,0,IF(AND($F476&lt;=EOMONTH(DATE(PlanYear,8,1),0),IF(ISNUMBER($G476),$G476,$F476)&gt;=DATE(PlanYear,8,1)),1,0))</f>
        <v>0</v>
      </c>
      <c r="W476">
        <f>IF($N476=0,0,IF(AND($F476&lt;=EOMONTH(DATE(PlanYear,9,1),0),IF(ISNUMBER($G476),$G476,$F476)&gt;=DATE(PlanYear,9,1)),1,0))</f>
        <v>0</v>
      </c>
      <c r="X476">
        <f>IF($N476=0,0,IF(AND($F476&lt;=EOMONTH(DATE(PlanYear,10,1),0),IF(ISNUMBER($G476),$G476,$F476)&gt;=DATE(PlanYear,10,1)),1,0))</f>
        <v>0</v>
      </c>
      <c r="Y476">
        <f>IF($N476=0,0,IF(AND($F476&lt;=EOMONTH(DATE(PlanYear,11,1),0),IF(ISNUMBER($G476),$G476,$F476)&gt;=DATE(PlanYear,11,1)),1,0))</f>
        <v>0</v>
      </c>
      <c r="Z476">
        <f>IF($N476=0,0,IF(AND($F476&lt;=EOMONTH(DATE(PlanYear,12,1),0),IF(ISNUMBER($G476),$G476,$F476)&gt;=DATE(PlanYear,12,1)),1,0))</f>
        <v>0</v>
      </c>
      <c r="AA476">
        <f>SUM($O476:$Z476)</f>
        <v>0</v>
      </c>
    </row>
    <row r="477" spans="1:27">
      <c r="A477" s="42">
        <f>IF($B477="","","ACT-"&amp;TEXT(ROW()-4,"000"))</f>
        <v>0</v>
      </c>
      <c r="M477" s="43">
        <f>IF(COUNTA($B477:$K477)=0,"",IF($B477="","Missing activity name",IF($C477="","Missing practice",IF(COUNTIF(PracticeNames,$C477)=0,"Practice not in Lists",IF($D477="","Missing motion",IF(NOT(ISNUMBER($F477)),"Missing or invalid start date",IF(AND(ISNUMBER($G477),$G477&lt;$F477),"End date before start",IF(AND($N477=1,$AA477=0),"Outside planning year","OK"))))))))</f>
        <v>0</v>
      </c>
      <c r="N477">
        <f>IF(AND($B477&lt;&gt;"",$C477&lt;&gt;"",$D477&lt;&gt;"",ISNUMBER($F477),COUNTIF(PracticeNames,$C477)&gt;0,COUNTIF(MotionNames,$D477)&gt;0,NOT(AND(ISNUMBER($G477),$G477&lt;$F477))),IF(StatusFilter="All (excl. Cancelled)",IF($H477="Cancelled",0,1),IF(StatusFilter="All",1,IF($H477=StatusFilter,1,0))),0)</f>
        <v>0</v>
      </c>
      <c r="O477">
        <f>IF($N477=0,0,IF(AND($F477&lt;=EOMONTH(DATE(PlanYear,1,1),0),IF(ISNUMBER($G477),$G477,$F477)&gt;=DATE(PlanYear,1,1)),1,0))</f>
        <v>0</v>
      </c>
      <c r="P477">
        <f>IF($N477=0,0,IF(AND($F477&lt;=EOMONTH(DATE(PlanYear,2,1),0),IF(ISNUMBER($G477),$G477,$F477)&gt;=DATE(PlanYear,2,1)),1,0))</f>
        <v>0</v>
      </c>
      <c r="Q477">
        <f>IF($N477=0,0,IF(AND($F477&lt;=EOMONTH(DATE(PlanYear,3,1),0),IF(ISNUMBER($G477),$G477,$F477)&gt;=DATE(PlanYear,3,1)),1,0))</f>
        <v>0</v>
      </c>
      <c r="R477">
        <f>IF($N477=0,0,IF(AND($F477&lt;=EOMONTH(DATE(PlanYear,4,1),0),IF(ISNUMBER($G477),$G477,$F477)&gt;=DATE(PlanYear,4,1)),1,0))</f>
        <v>0</v>
      </c>
      <c r="S477">
        <f>IF($N477=0,0,IF(AND($F477&lt;=EOMONTH(DATE(PlanYear,5,1),0),IF(ISNUMBER($G477),$G477,$F477)&gt;=DATE(PlanYear,5,1)),1,0))</f>
        <v>0</v>
      </c>
      <c r="T477">
        <f>IF($N477=0,0,IF(AND($F477&lt;=EOMONTH(DATE(PlanYear,6,1),0),IF(ISNUMBER($G477),$G477,$F477)&gt;=DATE(PlanYear,6,1)),1,0))</f>
        <v>0</v>
      </c>
      <c r="U477">
        <f>IF($N477=0,0,IF(AND($F477&lt;=EOMONTH(DATE(PlanYear,7,1),0),IF(ISNUMBER($G477),$G477,$F477)&gt;=DATE(PlanYear,7,1)),1,0))</f>
        <v>0</v>
      </c>
      <c r="V477">
        <f>IF($N477=0,0,IF(AND($F477&lt;=EOMONTH(DATE(PlanYear,8,1),0),IF(ISNUMBER($G477),$G477,$F477)&gt;=DATE(PlanYear,8,1)),1,0))</f>
        <v>0</v>
      </c>
      <c r="W477">
        <f>IF($N477=0,0,IF(AND($F477&lt;=EOMONTH(DATE(PlanYear,9,1),0),IF(ISNUMBER($G477),$G477,$F477)&gt;=DATE(PlanYear,9,1)),1,0))</f>
        <v>0</v>
      </c>
      <c r="X477">
        <f>IF($N477=0,0,IF(AND($F477&lt;=EOMONTH(DATE(PlanYear,10,1),0),IF(ISNUMBER($G477),$G477,$F477)&gt;=DATE(PlanYear,10,1)),1,0))</f>
        <v>0</v>
      </c>
      <c r="Y477">
        <f>IF($N477=0,0,IF(AND($F477&lt;=EOMONTH(DATE(PlanYear,11,1),0),IF(ISNUMBER($G477),$G477,$F477)&gt;=DATE(PlanYear,11,1)),1,0))</f>
        <v>0</v>
      </c>
      <c r="Z477">
        <f>IF($N477=0,0,IF(AND($F477&lt;=EOMONTH(DATE(PlanYear,12,1),0),IF(ISNUMBER($G477),$G477,$F477)&gt;=DATE(PlanYear,12,1)),1,0))</f>
        <v>0</v>
      </c>
      <c r="AA477">
        <f>SUM($O477:$Z477)</f>
        <v>0</v>
      </c>
    </row>
    <row r="478" spans="1:27">
      <c r="A478" s="42">
        <f>IF($B478="","","ACT-"&amp;TEXT(ROW()-4,"000"))</f>
        <v>0</v>
      </c>
      <c r="M478" s="43">
        <f>IF(COUNTA($B478:$K478)=0,"",IF($B478="","Missing activity name",IF($C478="","Missing practice",IF(COUNTIF(PracticeNames,$C478)=0,"Practice not in Lists",IF($D478="","Missing motion",IF(NOT(ISNUMBER($F478)),"Missing or invalid start date",IF(AND(ISNUMBER($G478),$G478&lt;$F478),"End date before start",IF(AND($N478=1,$AA478=0),"Outside planning year","OK"))))))))</f>
        <v>0</v>
      </c>
      <c r="N478">
        <f>IF(AND($B478&lt;&gt;"",$C478&lt;&gt;"",$D478&lt;&gt;"",ISNUMBER($F478),COUNTIF(PracticeNames,$C478)&gt;0,COUNTIF(MotionNames,$D478)&gt;0,NOT(AND(ISNUMBER($G478),$G478&lt;$F478))),IF(StatusFilter="All (excl. Cancelled)",IF($H478="Cancelled",0,1),IF(StatusFilter="All",1,IF($H478=StatusFilter,1,0))),0)</f>
        <v>0</v>
      </c>
      <c r="O478">
        <f>IF($N478=0,0,IF(AND($F478&lt;=EOMONTH(DATE(PlanYear,1,1),0),IF(ISNUMBER($G478),$G478,$F478)&gt;=DATE(PlanYear,1,1)),1,0))</f>
        <v>0</v>
      </c>
      <c r="P478">
        <f>IF($N478=0,0,IF(AND($F478&lt;=EOMONTH(DATE(PlanYear,2,1),0),IF(ISNUMBER($G478),$G478,$F478)&gt;=DATE(PlanYear,2,1)),1,0))</f>
        <v>0</v>
      </c>
      <c r="Q478">
        <f>IF($N478=0,0,IF(AND($F478&lt;=EOMONTH(DATE(PlanYear,3,1),0),IF(ISNUMBER($G478),$G478,$F478)&gt;=DATE(PlanYear,3,1)),1,0))</f>
        <v>0</v>
      </c>
      <c r="R478">
        <f>IF($N478=0,0,IF(AND($F478&lt;=EOMONTH(DATE(PlanYear,4,1),0),IF(ISNUMBER($G478),$G478,$F478)&gt;=DATE(PlanYear,4,1)),1,0))</f>
        <v>0</v>
      </c>
      <c r="S478">
        <f>IF($N478=0,0,IF(AND($F478&lt;=EOMONTH(DATE(PlanYear,5,1),0),IF(ISNUMBER($G478),$G478,$F478)&gt;=DATE(PlanYear,5,1)),1,0))</f>
        <v>0</v>
      </c>
      <c r="T478">
        <f>IF($N478=0,0,IF(AND($F478&lt;=EOMONTH(DATE(PlanYear,6,1),0),IF(ISNUMBER($G478),$G478,$F478)&gt;=DATE(PlanYear,6,1)),1,0))</f>
        <v>0</v>
      </c>
      <c r="U478">
        <f>IF($N478=0,0,IF(AND($F478&lt;=EOMONTH(DATE(PlanYear,7,1),0),IF(ISNUMBER($G478),$G478,$F478)&gt;=DATE(PlanYear,7,1)),1,0))</f>
        <v>0</v>
      </c>
      <c r="V478">
        <f>IF($N478=0,0,IF(AND($F478&lt;=EOMONTH(DATE(PlanYear,8,1),0),IF(ISNUMBER($G478),$G478,$F478)&gt;=DATE(PlanYear,8,1)),1,0))</f>
        <v>0</v>
      </c>
      <c r="W478">
        <f>IF($N478=0,0,IF(AND($F478&lt;=EOMONTH(DATE(PlanYear,9,1),0),IF(ISNUMBER($G478),$G478,$F478)&gt;=DATE(PlanYear,9,1)),1,0))</f>
        <v>0</v>
      </c>
      <c r="X478">
        <f>IF($N478=0,0,IF(AND($F478&lt;=EOMONTH(DATE(PlanYear,10,1),0),IF(ISNUMBER($G478),$G478,$F478)&gt;=DATE(PlanYear,10,1)),1,0))</f>
        <v>0</v>
      </c>
      <c r="Y478">
        <f>IF($N478=0,0,IF(AND($F478&lt;=EOMONTH(DATE(PlanYear,11,1),0),IF(ISNUMBER($G478),$G478,$F478)&gt;=DATE(PlanYear,11,1)),1,0))</f>
        <v>0</v>
      </c>
      <c r="Z478">
        <f>IF($N478=0,0,IF(AND($F478&lt;=EOMONTH(DATE(PlanYear,12,1),0),IF(ISNUMBER($G478),$G478,$F478)&gt;=DATE(PlanYear,12,1)),1,0))</f>
        <v>0</v>
      </c>
      <c r="AA478">
        <f>SUM($O478:$Z478)</f>
        <v>0</v>
      </c>
    </row>
    <row r="479" spans="1:27">
      <c r="A479" s="42">
        <f>IF($B479="","","ACT-"&amp;TEXT(ROW()-4,"000"))</f>
        <v>0</v>
      </c>
      <c r="M479" s="43">
        <f>IF(COUNTA($B479:$K479)=0,"",IF($B479="","Missing activity name",IF($C479="","Missing practice",IF(COUNTIF(PracticeNames,$C479)=0,"Practice not in Lists",IF($D479="","Missing motion",IF(NOT(ISNUMBER($F479)),"Missing or invalid start date",IF(AND(ISNUMBER($G479),$G479&lt;$F479),"End date before start",IF(AND($N479=1,$AA479=0),"Outside planning year","OK"))))))))</f>
        <v>0</v>
      </c>
      <c r="N479">
        <f>IF(AND($B479&lt;&gt;"",$C479&lt;&gt;"",$D479&lt;&gt;"",ISNUMBER($F479),COUNTIF(PracticeNames,$C479)&gt;0,COUNTIF(MotionNames,$D479)&gt;0,NOT(AND(ISNUMBER($G479),$G479&lt;$F479))),IF(StatusFilter="All (excl. Cancelled)",IF($H479="Cancelled",0,1),IF(StatusFilter="All",1,IF($H479=StatusFilter,1,0))),0)</f>
        <v>0</v>
      </c>
      <c r="O479">
        <f>IF($N479=0,0,IF(AND($F479&lt;=EOMONTH(DATE(PlanYear,1,1),0),IF(ISNUMBER($G479),$G479,$F479)&gt;=DATE(PlanYear,1,1)),1,0))</f>
        <v>0</v>
      </c>
      <c r="P479">
        <f>IF($N479=0,0,IF(AND($F479&lt;=EOMONTH(DATE(PlanYear,2,1),0),IF(ISNUMBER($G479),$G479,$F479)&gt;=DATE(PlanYear,2,1)),1,0))</f>
        <v>0</v>
      </c>
      <c r="Q479">
        <f>IF($N479=0,0,IF(AND($F479&lt;=EOMONTH(DATE(PlanYear,3,1),0),IF(ISNUMBER($G479),$G479,$F479)&gt;=DATE(PlanYear,3,1)),1,0))</f>
        <v>0</v>
      </c>
      <c r="R479">
        <f>IF($N479=0,0,IF(AND($F479&lt;=EOMONTH(DATE(PlanYear,4,1),0),IF(ISNUMBER($G479),$G479,$F479)&gt;=DATE(PlanYear,4,1)),1,0))</f>
        <v>0</v>
      </c>
      <c r="S479">
        <f>IF($N479=0,0,IF(AND($F479&lt;=EOMONTH(DATE(PlanYear,5,1),0),IF(ISNUMBER($G479),$G479,$F479)&gt;=DATE(PlanYear,5,1)),1,0))</f>
        <v>0</v>
      </c>
      <c r="T479">
        <f>IF($N479=0,0,IF(AND($F479&lt;=EOMONTH(DATE(PlanYear,6,1),0),IF(ISNUMBER($G479),$G479,$F479)&gt;=DATE(PlanYear,6,1)),1,0))</f>
        <v>0</v>
      </c>
      <c r="U479">
        <f>IF($N479=0,0,IF(AND($F479&lt;=EOMONTH(DATE(PlanYear,7,1),0),IF(ISNUMBER($G479),$G479,$F479)&gt;=DATE(PlanYear,7,1)),1,0))</f>
        <v>0</v>
      </c>
      <c r="V479">
        <f>IF($N479=0,0,IF(AND($F479&lt;=EOMONTH(DATE(PlanYear,8,1),0),IF(ISNUMBER($G479),$G479,$F479)&gt;=DATE(PlanYear,8,1)),1,0))</f>
        <v>0</v>
      </c>
      <c r="W479">
        <f>IF($N479=0,0,IF(AND($F479&lt;=EOMONTH(DATE(PlanYear,9,1),0),IF(ISNUMBER($G479),$G479,$F479)&gt;=DATE(PlanYear,9,1)),1,0))</f>
        <v>0</v>
      </c>
      <c r="X479">
        <f>IF($N479=0,0,IF(AND($F479&lt;=EOMONTH(DATE(PlanYear,10,1),0),IF(ISNUMBER($G479),$G479,$F479)&gt;=DATE(PlanYear,10,1)),1,0))</f>
        <v>0</v>
      </c>
      <c r="Y479">
        <f>IF($N479=0,0,IF(AND($F479&lt;=EOMONTH(DATE(PlanYear,11,1),0),IF(ISNUMBER($G479),$G479,$F479)&gt;=DATE(PlanYear,11,1)),1,0))</f>
        <v>0</v>
      </c>
      <c r="Z479">
        <f>IF($N479=0,0,IF(AND($F479&lt;=EOMONTH(DATE(PlanYear,12,1),0),IF(ISNUMBER($G479),$G479,$F479)&gt;=DATE(PlanYear,12,1)),1,0))</f>
        <v>0</v>
      </c>
      <c r="AA479">
        <f>SUM($O479:$Z479)</f>
        <v>0</v>
      </c>
    </row>
    <row r="480" spans="1:27">
      <c r="A480" s="42">
        <f>IF($B480="","","ACT-"&amp;TEXT(ROW()-4,"000"))</f>
        <v>0</v>
      </c>
      <c r="M480" s="43">
        <f>IF(COUNTA($B480:$K480)=0,"",IF($B480="","Missing activity name",IF($C480="","Missing practice",IF(COUNTIF(PracticeNames,$C480)=0,"Practice not in Lists",IF($D480="","Missing motion",IF(NOT(ISNUMBER($F480)),"Missing or invalid start date",IF(AND(ISNUMBER($G480),$G480&lt;$F480),"End date before start",IF(AND($N480=1,$AA480=0),"Outside planning year","OK"))))))))</f>
        <v>0</v>
      </c>
      <c r="N480">
        <f>IF(AND($B480&lt;&gt;"",$C480&lt;&gt;"",$D480&lt;&gt;"",ISNUMBER($F480),COUNTIF(PracticeNames,$C480)&gt;0,COUNTIF(MotionNames,$D480)&gt;0,NOT(AND(ISNUMBER($G480),$G480&lt;$F480))),IF(StatusFilter="All (excl. Cancelled)",IF($H480="Cancelled",0,1),IF(StatusFilter="All",1,IF($H480=StatusFilter,1,0))),0)</f>
        <v>0</v>
      </c>
      <c r="O480">
        <f>IF($N480=0,0,IF(AND($F480&lt;=EOMONTH(DATE(PlanYear,1,1),0),IF(ISNUMBER($G480),$G480,$F480)&gt;=DATE(PlanYear,1,1)),1,0))</f>
        <v>0</v>
      </c>
      <c r="P480">
        <f>IF($N480=0,0,IF(AND($F480&lt;=EOMONTH(DATE(PlanYear,2,1),0),IF(ISNUMBER($G480),$G480,$F480)&gt;=DATE(PlanYear,2,1)),1,0))</f>
        <v>0</v>
      </c>
      <c r="Q480">
        <f>IF($N480=0,0,IF(AND($F480&lt;=EOMONTH(DATE(PlanYear,3,1),0),IF(ISNUMBER($G480),$G480,$F480)&gt;=DATE(PlanYear,3,1)),1,0))</f>
        <v>0</v>
      </c>
      <c r="R480">
        <f>IF($N480=0,0,IF(AND($F480&lt;=EOMONTH(DATE(PlanYear,4,1),0),IF(ISNUMBER($G480),$G480,$F480)&gt;=DATE(PlanYear,4,1)),1,0))</f>
        <v>0</v>
      </c>
      <c r="S480">
        <f>IF($N480=0,0,IF(AND($F480&lt;=EOMONTH(DATE(PlanYear,5,1),0),IF(ISNUMBER($G480),$G480,$F480)&gt;=DATE(PlanYear,5,1)),1,0))</f>
        <v>0</v>
      </c>
      <c r="T480">
        <f>IF($N480=0,0,IF(AND($F480&lt;=EOMONTH(DATE(PlanYear,6,1),0),IF(ISNUMBER($G480),$G480,$F480)&gt;=DATE(PlanYear,6,1)),1,0))</f>
        <v>0</v>
      </c>
      <c r="U480">
        <f>IF($N480=0,0,IF(AND($F480&lt;=EOMONTH(DATE(PlanYear,7,1),0),IF(ISNUMBER($G480),$G480,$F480)&gt;=DATE(PlanYear,7,1)),1,0))</f>
        <v>0</v>
      </c>
      <c r="V480">
        <f>IF($N480=0,0,IF(AND($F480&lt;=EOMONTH(DATE(PlanYear,8,1),0),IF(ISNUMBER($G480),$G480,$F480)&gt;=DATE(PlanYear,8,1)),1,0))</f>
        <v>0</v>
      </c>
      <c r="W480">
        <f>IF($N480=0,0,IF(AND($F480&lt;=EOMONTH(DATE(PlanYear,9,1),0),IF(ISNUMBER($G480),$G480,$F480)&gt;=DATE(PlanYear,9,1)),1,0))</f>
        <v>0</v>
      </c>
      <c r="X480">
        <f>IF($N480=0,0,IF(AND($F480&lt;=EOMONTH(DATE(PlanYear,10,1),0),IF(ISNUMBER($G480),$G480,$F480)&gt;=DATE(PlanYear,10,1)),1,0))</f>
        <v>0</v>
      </c>
      <c r="Y480">
        <f>IF($N480=0,0,IF(AND($F480&lt;=EOMONTH(DATE(PlanYear,11,1),0),IF(ISNUMBER($G480),$G480,$F480)&gt;=DATE(PlanYear,11,1)),1,0))</f>
        <v>0</v>
      </c>
      <c r="Z480">
        <f>IF($N480=0,0,IF(AND($F480&lt;=EOMONTH(DATE(PlanYear,12,1),0),IF(ISNUMBER($G480),$G480,$F480)&gt;=DATE(PlanYear,12,1)),1,0))</f>
        <v>0</v>
      </c>
      <c r="AA480">
        <f>SUM($O480:$Z480)</f>
        <v>0</v>
      </c>
    </row>
    <row r="481" spans="1:27">
      <c r="A481" s="42">
        <f>IF($B481="","","ACT-"&amp;TEXT(ROW()-4,"000"))</f>
        <v>0</v>
      </c>
      <c r="M481" s="43">
        <f>IF(COUNTA($B481:$K481)=0,"",IF($B481="","Missing activity name",IF($C481="","Missing practice",IF(COUNTIF(PracticeNames,$C481)=0,"Practice not in Lists",IF($D481="","Missing motion",IF(NOT(ISNUMBER($F481)),"Missing or invalid start date",IF(AND(ISNUMBER($G481),$G481&lt;$F481),"End date before start",IF(AND($N481=1,$AA481=0),"Outside planning year","OK"))))))))</f>
        <v>0</v>
      </c>
      <c r="N481">
        <f>IF(AND($B481&lt;&gt;"",$C481&lt;&gt;"",$D481&lt;&gt;"",ISNUMBER($F481),COUNTIF(PracticeNames,$C481)&gt;0,COUNTIF(MotionNames,$D481)&gt;0,NOT(AND(ISNUMBER($G481),$G481&lt;$F481))),IF(StatusFilter="All (excl. Cancelled)",IF($H481="Cancelled",0,1),IF(StatusFilter="All",1,IF($H481=StatusFilter,1,0))),0)</f>
        <v>0</v>
      </c>
      <c r="O481">
        <f>IF($N481=0,0,IF(AND($F481&lt;=EOMONTH(DATE(PlanYear,1,1),0),IF(ISNUMBER($G481),$G481,$F481)&gt;=DATE(PlanYear,1,1)),1,0))</f>
        <v>0</v>
      </c>
      <c r="P481">
        <f>IF($N481=0,0,IF(AND($F481&lt;=EOMONTH(DATE(PlanYear,2,1),0),IF(ISNUMBER($G481),$G481,$F481)&gt;=DATE(PlanYear,2,1)),1,0))</f>
        <v>0</v>
      </c>
      <c r="Q481">
        <f>IF($N481=0,0,IF(AND($F481&lt;=EOMONTH(DATE(PlanYear,3,1),0),IF(ISNUMBER($G481),$G481,$F481)&gt;=DATE(PlanYear,3,1)),1,0))</f>
        <v>0</v>
      </c>
      <c r="R481">
        <f>IF($N481=0,0,IF(AND($F481&lt;=EOMONTH(DATE(PlanYear,4,1),0),IF(ISNUMBER($G481),$G481,$F481)&gt;=DATE(PlanYear,4,1)),1,0))</f>
        <v>0</v>
      </c>
      <c r="S481">
        <f>IF($N481=0,0,IF(AND($F481&lt;=EOMONTH(DATE(PlanYear,5,1),0),IF(ISNUMBER($G481),$G481,$F481)&gt;=DATE(PlanYear,5,1)),1,0))</f>
        <v>0</v>
      </c>
      <c r="T481">
        <f>IF($N481=0,0,IF(AND($F481&lt;=EOMONTH(DATE(PlanYear,6,1),0),IF(ISNUMBER($G481),$G481,$F481)&gt;=DATE(PlanYear,6,1)),1,0))</f>
        <v>0</v>
      </c>
      <c r="U481">
        <f>IF($N481=0,0,IF(AND($F481&lt;=EOMONTH(DATE(PlanYear,7,1),0),IF(ISNUMBER($G481),$G481,$F481)&gt;=DATE(PlanYear,7,1)),1,0))</f>
        <v>0</v>
      </c>
      <c r="V481">
        <f>IF($N481=0,0,IF(AND($F481&lt;=EOMONTH(DATE(PlanYear,8,1),0),IF(ISNUMBER($G481),$G481,$F481)&gt;=DATE(PlanYear,8,1)),1,0))</f>
        <v>0</v>
      </c>
      <c r="W481">
        <f>IF($N481=0,0,IF(AND($F481&lt;=EOMONTH(DATE(PlanYear,9,1),0),IF(ISNUMBER($G481),$G481,$F481)&gt;=DATE(PlanYear,9,1)),1,0))</f>
        <v>0</v>
      </c>
      <c r="X481">
        <f>IF($N481=0,0,IF(AND($F481&lt;=EOMONTH(DATE(PlanYear,10,1),0),IF(ISNUMBER($G481),$G481,$F481)&gt;=DATE(PlanYear,10,1)),1,0))</f>
        <v>0</v>
      </c>
      <c r="Y481">
        <f>IF($N481=0,0,IF(AND($F481&lt;=EOMONTH(DATE(PlanYear,11,1),0),IF(ISNUMBER($G481),$G481,$F481)&gt;=DATE(PlanYear,11,1)),1,0))</f>
        <v>0</v>
      </c>
      <c r="Z481">
        <f>IF($N481=0,0,IF(AND($F481&lt;=EOMONTH(DATE(PlanYear,12,1),0),IF(ISNUMBER($G481),$G481,$F481)&gt;=DATE(PlanYear,12,1)),1,0))</f>
        <v>0</v>
      </c>
      <c r="AA481">
        <f>SUM($O481:$Z481)</f>
        <v>0</v>
      </c>
    </row>
    <row r="482" spans="1:27">
      <c r="A482" s="42">
        <f>IF($B482="","","ACT-"&amp;TEXT(ROW()-4,"000"))</f>
        <v>0</v>
      </c>
      <c r="M482" s="43">
        <f>IF(COUNTA($B482:$K482)=0,"",IF($B482="","Missing activity name",IF($C482="","Missing practice",IF(COUNTIF(PracticeNames,$C482)=0,"Practice not in Lists",IF($D482="","Missing motion",IF(NOT(ISNUMBER($F482)),"Missing or invalid start date",IF(AND(ISNUMBER($G482),$G482&lt;$F482),"End date before start",IF(AND($N482=1,$AA482=0),"Outside planning year","OK"))))))))</f>
        <v>0</v>
      </c>
      <c r="N482">
        <f>IF(AND($B482&lt;&gt;"",$C482&lt;&gt;"",$D482&lt;&gt;"",ISNUMBER($F482),COUNTIF(PracticeNames,$C482)&gt;0,COUNTIF(MotionNames,$D482)&gt;0,NOT(AND(ISNUMBER($G482),$G482&lt;$F482))),IF(StatusFilter="All (excl. Cancelled)",IF($H482="Cancelled",0,1),IF(StatusFilter="All",1,IF($H482=StatusFilter,1,0))),0)</f>
        <v>0</v>
      </c>
      <c r="O482">
        <f>IF($N482=0,0,IF(AND($F482&lt;=EOMONTH(DATE(PlanYear,1,1),0),IF(ISNUMBER($G482),$G482,$F482)&gt;=DATE(PlanYear,1,1)),1,0))</f>
        <v>0</v>
      </c>
      <c r="P482">
        <f>IF($N482=0,0,IF(AND($F482&lt;=EOMONTH(DATE(PlanYear,2,1),0),IF(ISNUMBER($G482),$G482,$F482)&gt;=DATE(PlanYear,2,1)),1,0))</f>
        <v>0</v>
      </c>
      <c r="Q482">
        <f>IF($N482=0,0,IF(AND($F482&lt;=EOMONTH(DATE(PlanYear,3,1),0),IF(ISNUMBER($G482),$G482,$F482)&gt;=DATE(PlanYear,3,1)),1,0))</f>
        <v>0</v>
      </c>
      <c r="R482">
        <f>IF($N482=0,0,IF(AND($F482&lt;=EOMONTH(DATE(PlanYear,4,1),0),IF(ISNUMBER($G482),$G482,$F482)&gt;=DATE(PlanYear,4,1)),1,0))</f>
        <v>0</v>
      </c>
      <c r="S482">
        <f>IF($N482=0,0,IF(AND($F482&lt;=EOMONTH(DATE(PlanYear,5,1),0),IF(ISNUMBER($G482),$G482,$F482)&gt;=DATE(PlanYear,5,1)),1,0))</f>
        <v>0</v>
      </c>
      <c r="T482">
        <f>IF($N482=0,0,IF(AND($F482&lt;=EOMONTH(DATE(PlanYear,6,1),0),IF(ISNUMBER($G482),$G482,$F482)&gt;=DATE(PlanYear,6,1)),1,0))</f>
        <v>0</v>
      </c>
      <c r="U482">
        <f>IF($N482=0,0,IF(AND($F482&lt;=EOMONTH(DATE(PlanYear,7,1),0),IF(ISNUMBER($G482),$G482,$F482)&gt;=DATE(PlanYear,7,1)),1,0))</f>
        <v>0</v>
      </c>
      <c r="V482">
        <f>IF($N482=0,0,IF(AND($F482&lt;=EOMONTH(DATE(PlanYear,8,1),0),IF(ISNUMBER($G482),$G482,$F482)&gt;=DATE(PlanYear,8,1)),1,0))</f>
        <v>0</v>
      </c>
      <c r="W482">
        <f>IF($N482=0,0,IF(AND($F482&lt;=EOMONTH(DATE(PlanYear,9,1),0),IF(ISNUMBER($G482),$G482,$F482)&gt;=DATE(PlanYear,9,1)),1,0))</f>
        <v>0</v>
      </c>
      <c r="X482">
        <f>IF($N482=0,0,IF(AND($F482&lt;=EOMONTH(DATE(PlanYear,10,1),0),IF(ISNUMBER($G482),$G482,$F482)&gt;=DATE(PlanYear,10,1)),1,0))</f>
        <v>0</v>
      </c>
      <c r="Y482">
        <f>IF($N482=0,0,IF(AND($F482&lt;=EOMONTH(DATE(PlanYear,11,1),0),IF(ISNUMBER($G482),$G482,$F482)&gt;=DATE(PlanYear,11,1)),1,0))</f>
        <v>0</v>
      </c>
      <c r="Z482">
        <f>IF($N482=0,0,IF(AND($F482&lt;=EOMONTH(DATE(PlanYear,12,1),0),IF(ISNUMBER($G482),$G482,$F482)&gt;=DATE(PlanYear,12,1)),1,0))</f>
        <v>0</v>
      </c>
      <c r="AA482">
        <f>SUM($O482:$Z482)</f>
        <v>0</v>
      </c>
    </row>
    <row r="483" spans="1:27">
      <c r="A483" s="42">
        <f>IF($B483="","","ACT-"&amp;TEXT(ROW()-4,"000"))</f>
        <v>0</v>
      </c>
      <c r="M483" s="43">
        <f>IF(COUNTA($B483:$K483)=0,"",IF($B483="","Missing activity name",IF($C483="","Missing practice",IF(COUNTIF(PracticeNames,$C483)=0,"Practice not in Lists",IF($D483="","Missing motion",IF(NOT(ISNUMBER($F483)),"Missing or invalid start date",IF(AND(ISNUMBER($G483),$G483&lt;$F483),"End date before start",IF(AND($N483=1,$AA483=0),"Outside planning year","OK"))))))))</f>
        <v>0</v>
      </c>
      <c r="N483">
        <f>IF(AND($B483&lt;&gt;"",$C483&lt;&gt;"",$D483&lt;&gt;"",ISNUMBER($F483),COUNTIF(PracticeNames,$C483)&gt;0,COUNTIF(MotionNames,$D483)&gt;0,NOT(AND(ISNUMBER($G483),$G483&lt;$F483))),IF(StatusFilter="All (excl. Cancelled)",IF($H483="Cancelled",0,1),IF(StatusFilter="All",1,IF($H483=StatusFilter,1,0))),0)</f>
        <v>0</v>
      </c>
      <c r="O483">
        <f>IF($N483=0,0,IF(AND($F483&lt;=EOMONTH(DATE(PlanYear,1,1),0),IF(ISNUMBER($G483),$G483,$F483)&gt;=DATE(PlanYear,1,1)),1,0))</f>
        <v>0</v>
      </c>
      <c r="P483">
        <f>IF($N483=0,0,IF(AND($F483&lt;=EOMONTH(DATE(PlanYear,2,1),0),IF(ISNUMBER($G483),$G483,$F483)&gt;=DATE(PlanYear,2,1)),1,0))</f>
        <v>0</v>
      </c>
      <c r="Q483">
        <f>IF($N483=0,0,IF(AND($F483&lt;=EOMONTH(DATE(PlanYear,3,1),0),IF(ISNUMBER($G483),$G483,$F483)&gt;=DATE(PlanYear,3,1)),1,0))</f>
        <v>0</v>
      </c>
      <c r="R483">
        <f>IF($N483=0,0,IF(AND($F483&lt;=EOMONTH(DATE(PlanYear,4,1),0),IF(ISNUMBER($G483),$G483,$F483)&gt;=DATE(PlanYear,4,1)),1,0))</f>
        <v>0</v>
      </c>
      <c r="S483">
        <f>IF($N483=0,0,IF(AND($F483&lt;=EOMONTH(DATE(PlanYear,5,1),0),IF(ISNUMBER($G483),$G483,$F483)&gt;=DATE(PlanYear,5,1)),1,0))</f>
        <v>0</v>
      </c>
      <c r="T483">
        <f>IF($N483=0,0,IF(AND($F483&lt;=EOMONTH(DATE(PlanYear,6,1),0),IF(ISNUMBER($G483),$G483,$F483)&gt;=DATE(PlanYear,6,1)),1,0))</f>
        <v>0</v>
      </c>
      <c r="U483">
        <f>IF($N483=0,0,IF(AND($F483&lt;=EOMONTH(DATE(PlanYear,7,1),0),IF(ISNUMBER($G483),$G483,$F483)&gt;=DATE(PlanYear,7,1)),1,0))</f>
        <v>0</v>
      </c>
      <c r="V483">
        <f>IF($N483=0,0,IF(AND($F483&lt;=EOMONTH(DATE(PlanYear,8,1),0),IF(ISNUMBER($G483),$G483,$F483)&gt;=DATE(PlanYear,8,1)),1,0))</f>
        <v>0</v>
      </c>
      <c r="W483">
        <f>IF($N483=0,0,IF(AND($F483&lt;=EOMONTH(DATE(PlanYear,9,1),0),IF(ISNUMBER($G483),$G483,$F483)&gt;=DATE(PlanYear,9,1)),1,0))</f>
        <v>0</v>
      </c>
      <c r="X483">
        <f>IF($N483=0,0,IF(AND($F483&lt;=EOMONTH(DATE(PlanYear,10,1),0),IF(ISNUMBER($G483),$G483,$F483)&gt;=DATE(PlanYear,10,1)),1,0))</f>
        <v>0</v>
      </c>
      <c r="Y483">
        <f>IF($N483=0,0,IF(AND($F483&lt;=EOMONTH(DATE(PlanYear,11,1),0),IF(ISNUMBER($G483),$G483,$F483)&gt;=DATE(PlanYear,11,1)),1,0))</f>
        <v>0</v>
      </c>
      <c r="Z483">
        <f>IF($N483=0,0,IF(AND($F483&lt;=EOMONTH(DATE(PlanYear,12,1),0),IF(ISNUMBER($G483),$G483,$F483)&gt;=DATE(PlanYear,12,1)),1,0))</f>
        <v>0</v>
      </c>
      <c r="AA483">
        <f>SUM($O483:$Z483)</f>
        <v>0</v>
      </c>
    </row>
    <row r="484" spans="1:27">
      <c r="A484" s="42">
        <f>IF($B484="","","ACT-"&amp;TEXT(ROW()-4,"000"))</f>
        <v>0</v>
      </c>
      <c r="M484" s="43">
        <f>IF(COUNTA($B484:$K484)=0,"",IF($B484="","Missing activity name",IF($C484="","Missing practice",IF(COUNTIF(PracticeNames,$C484)=0,"Practice not in Lists",IF($D484="","Missing motion",IF(NOT(ISNUMBER($F484)),"Missing or invalid start date",IF(AND(ISNUMBER($G484),$G484&lt;$F484),"End date before start",IF(AND($N484=1,$AA484=0),"Outside planning year","OK"))))))))</f>
        <v>0</v>
      </c>
      <c r="N484">
        <f>IF(AND($B484&lt;&gt;"",$C484&lt;&gt;"",$D484&lt;&gt;"",ISNUMBER($F484),COUNTIF(PracticeNames,$C484)&gt;0,COUNTIF(MotionNames,$D484)&gt;0,NOT(AND(ISNUMBER($G484),$G484&lt;$F484))),IF(StatusFilter="All (excl. Cancelled)",IF($H484="Cancelled",0,1),IF(StatusFilter="All",1,IF($H484=StatusFilter,1,0))),0)</f>
        <v>0</v>
      </c>
      <c r="O484">
        <f>IF($N484=0,0,IF(AND($F484&lt;=EOMONTH(DATE(PlanYear,1,1),0),IF(ISNUMBER($G484),$G484,$F484)&gt;=DATE(PlanYear,1,1)),1,0))</f>
        <v>0</v>
      </c>
      <c r="P484">
        <f>IF($N484=0,0,IF(AND($F484&lt;=EOMONTH(DATE(PlanYear,2,1),0),IF(ISNUMBER($G484),$G484,$F484)&gt;=DATE(PlanYear,2,1)),1,0))</f>
        <v>0</v>
      </c>
      <c r="Q484">
        <f>IF($N484=0,0,IF(AND($F484&lt;=EOMONTH(DATE(PlanYear,3,1),0),IF(ISNUMBER($G484),$G484,$F484)&gt;=DATE(PlanYear,3,1)),1,0))</f>
        <v>0</v>
      </c>
      <c r="R484">
        <f>IF($N484=0,0,IF(AND($F484&lt;=EOMONTH(DATE(PlanYear,4,1),0),IF(ISNUMBER($G484),$G484,$F484)&gt;=DATE(PlanYear,4,1)),1,0))</f>
        <v>0</v>
      </c>
      <c r="S484">
        <f>IF($N484=0,0,IF(AND($F484&lt;=EOMONTH(DATE(PlanYear,5,1),0),IF(ISNUMBER($G484),$G484,$F484)&gt;=DATE(PlanYear,5,1)),1,0))</f>
        <v>0</v>
      </c>
      <c r="T484">
        <f>IF($N484=0,0,IF(AND($F484&lt;=EOMONTH(DATE(PlanYear,6,1),0),IF(ISNUMBER($G484),$G484,$F484)&gt;=DATE(PlanYear,6,1)),1,0))</f>
        <v>0</v>
      </c>
      <c r="U484">
        <f>IF($N484=0,0,IF(AND($F484&lt;=EOMONTH(DATE(PlanYear,7,1),0),IF(ISNUMBER($G484),$G484,$F484)&gt;=DATE(PlanYear,7,1)),1,0))</f>
        <v>0</v>
      </c>
      <c r="V484">
        <f>IF($N484=0,0,IF(AND($F484&lt;=EOMONTH(DATE(PlanYear,8,1),0),IF(ISNUMBER($G484),$G484,$F484)&gt;=DATE(PlanYear,8,1)),1,0))</f>
        <v>0</v>
      </c>
      <c r="W484">
        <f>IF($N484=0,0,IF(AND($F484&lt;=EOMONTH(DATE(PlanYear,9,1),0),IF(ISNUMBER($G484),$G484,$F484)&gt;=DATE(PlanYear,9,1)),1,0))</f>
        <v>0</v>
      </c>
      <c r="X484">
        <f>IF($N484=0,0,IF(AND($F484&lt;=EOMONTH(DATE(PlanYear,10,1),0),IF(ISNUMBER($G484),$G484,$F484)&gt;=DATE(PlanYear,10,1)),1,0))</f>
        <v>0</v>
      </c>
      <c r="Y484">
        <f>IF($N484=0,0,IF(AND($F484&lt;=EOMONTH(DATE(PlanYear,11,1),0),IF(ISNUMBER($G484),$G484,$F484)&gt;=DATE(PlanYear,11,1)),1,0))</f>
        <v>0</v>
      </c>
      <c r="Z484">
        <f>IF($N484=0,0,IF(AND($F484&lt;=EOMONTH(DATE(PlanYear,12,1),0),IF(ISNUMBER($G484),$G484,$F484)&gt;=DATE(PlanYear,12,1)),1,0))</f>
        <v>0</v>
      </c>
      <c r="AA484">
        <f>SUM($O484:$Z484)</f>
        <v>0</v>
      </c>
    </row>
    <row r="485" spans="1:27">
      <c r="A485" s="42">
        <f>IF($B485="","","ACT-"&amp;TEXT(ROW()-4,"000"))</f>
        <v>0</v>
      </c>
      <c r="M485" s="43">
        <f>IF(COUNTA($B485:$K485)=0,"",IF($B485="","Missing activity name",IF($C485="","Missing practice",IF(COUNTIF(PracticeNames,$C485)=0,"Practice not in Lists",IF($D485="","Missing motion",IF(NOT(ISNUMBER($F485)),"Missing or invalid start date",IF(AND(ISNUMBER($G485),$G485&lt;$F485),"End date before start",IF(AND($N485=1,$AA485=0),"Outside planning year","OK"))))))))</f>
        <v>0</v>
      </c>
      <c r="N485">
        <f>IF(AND($B485&lt;&gt;"",$C485&lt;&gt;"",$D485&lt;&gt;"",ISNUMBER($F485),COUNTIF(PracticeNames,$C485)&gt;0,COUNTIF(MotionNames,$D485)&gt;0,NOT(AND(ISNUMBER($G485),$G485&lt;$F485))),IF(StatusFilter="All (excl. Cancelled)",IF($H485="Cancelled",0,1),IF(StatusFilter="All",1,IF($H485=StatusFilter,1,0))),0)</f>
        <v>0</v>
      </c>
      <c r="O485">
        <f>IF($N485=0,0,IF(AND($F485&lt;=EOMONTH(DATE(PlanYear,1,1),0),IF(ISNUMBER($G485),$G485,$F485)&gt;=DATE(PlanYear,1,1)),1,0))</f>
        <v>0</v>
      </c>
      <c r="P485">
        <f>IF($N485=0,0,IF(AND($F485&lt;=EOMONTH(DATE(PlanYear,2,1),0),IF(ISNUMBER($G485),$G485,$F485)&gt;=DATE(PlanYear,2,1)),1,0))</f>
        <v>0</v>
      </c>
      <c r="Q485">
        <f>IF($N485=0,0,IF(AND($F485&lt;=EOMONTH(DATE(PlanYear,3,1),0),IF(ISNUMBER($G485),$G485,$F485)&gt;=DATE(PlanYear,3,1)),1,0))</f>
        <v>0</v>
      </c>
      <c r="R485">
        <f>IF($N485=0,0,IF(AND($F485&lt;=EOMONTH(DATE(PlanYear,4,1),0),IF(ISNUMBER($G485),$G485,$F485)&gt;=DATE(PlanYear,4,1)),1,0))</f>
        <v>0</v>
      </c>
      <c r="S485">
        <f>IF($N485=0,0,IF(AND($F485&lt;=EOMONTH(DATE(PlanYear,5,1),0),IF(ISNUMBER($G485),$G485,$F485)&gt;=DATE(PlanYear,5,1)),1,0))</f>
        <v>0</v>
      </c>
      <c r="T485">
        <f>IF($N485=0,0,IF(AND($F485&lt;=EOMONTH(DATE(PlanYear,6,1),0),IF(ISNUMBER($G485),$G485,$F485)&gt;=DATE(PlanYear,6,1)),1,0))</f>
        <v>0</v>
      </c>
      <c r="U485">
        <f>IF($N485=0,0,IF(AND($F485&lt;=EOMONTH(DATE(PlanYear,7,1),0),IF(ISNUMBER($G485),$G485,$F485)&gt;=DATE(PlanYear,7,1)),1,0))</f>
        <v>0</v>
      </c>
      <c r="V485">
        <f>IF($N485=0,0,IF(AND($F485&lt;=EOMONTH(DATE(PlanYear,8,1),0),IF(ISNUMBER($G485),$G485,$F485)&gt;=DATE(PlanYear,8,1)),1,0))</f>
        <v>0</v>
      </c>
      <c r="W485">
        <f>IF($N485=0,0,IF(AND($F485&lt;=EOMONTH(DATE(PlanYear,9,1),0),IF(ISNUMBER($G485),$G485,$F485)&gt;=DATE(PlanYear,9,1)),1,0))</f>
        <v>0</v>
      </c>
      <c r="X485">
        <f>IF($N485=0,0,IF(AND($F485&lt;=EOMONTH(DATE(PlanYear,10,1),0),IF(ISNUMBER($G485),$G485,$F485)&gt;=DATE(PlanYear,10,1)),1,0))</f>
        <v>0</v>
      </c>
      <c r="Y485">
        <f>IF($N485=0,0,IF(AND($F485&lt;=EOMONTH(DATE(PlanYear,11,1),0),IF(ISNUMBER($G485),$G485,$F485)&gt;=DATE(PlanYear,11,1)),1,0))</f>
        <v>0</v>
      </c>
      <c r="Z485">
        <f>IF($N485=0,0,IF(AND($F485&lt;=EOMONTH(DATE(PlanYear,12,1),0),IF(ISNUMBER($G485),$G485,$F485)&gt;=DATE(PlanYear,12,1)),1,0))</f>
        <v>0</v>
      </c>
      <c r="AA485">
        <f>SUM($O485:$Z485)</f>
        <v>0</v>
      </c>
    </row>
    <row r="486" spans="1:27">
      <c r="A486" s="42">
        <f>IF($B486="","","ACT-"&amp;TEXT(ROW()-4,"000"))</f>
        <v>0</v>
      </c>
      <c r="M486" s="43">
        <f>IF(COUNTA($B486:$K486)=0,"",IF($B486="","Missing activity name",IF($C486="","Missing practice",IF(COUNTIF(PracticeNames,$C486)=0,"Practice not in Lists",IF($D486="","Missing motion",IF(NOT(ISNUMBER($F486)),"Missing or invalid start date",IF(AND(ISNUMBER($G486),$G486&lt;$F486),"End date before start",IF(AND($N486=1,$AA486=0),"Outside planning year","OK"))))))))</f>
        <v>0</v>
      </c>
      <c r="N486">
        <f>IF(AND($B486&lt;&gt;"",$C486&lt;&gt;"",$D486&lt;&gt;"",ISNUMBER($F486),COUNTIF(PracticeNames,$C486)&gt;0,COUNTIF(MotionNames,$D486)&gt;0,NOT(AND(ISNUMBER($G486),$G486&lt;$F486))),IF(StatusFilter="All (excl. Cancelled)",IF($H486="Cancelled",0,1),IF(StatusFilter="All",1,IF($H486=StatusFilter,1,0))),0)</f>
        <v>0</v>
      </c>
      <c r="O486">
        <f>IF($N486=0,0,IF(AND($F486&lt;=EOMONTH(DATE(PlanYear,1,1),0),IF(ISNUMBER($G486),$G486,$F486)&gt;=DATE(PlanYear,1,1)),1,0))</f>
        <v>0</v>
      </c>
      <c r="P486">
        <f>IF($N486=0,0,IF(AND($F486&lt;=EOMONTH(DATE(PlanYear,2,1),0),IF(ISNUMBER($G486),$G486,$F486)&gt;=DATE(PlanYear,2,1)),1,0))</f>
        <v>0</v>
      </c>
      <c r="Q486">
        <f>IF($N486=0,0,IF(AND($F486&lt;=EOMONTH(DATE(PlanYear,3,1),0),IF(ISNUMBER($G486),$G486,$F486)&gt;=DATE(PlanYear,3,1)),1,0))</f>
        <v>0</v>
      </c>
      <c r="R486">
        <f>IF($N486=0,0,IF(AND($F486&lt;=EOMONTH(DATE(PlanYear,4,1),0),IF(ISNUMBER($G486),$G486,$F486)&gt;=DATE(PlanYear,4,1)),1,0))</f>
        <v>0</v>
      </c>
      <c r="S486">
        <f>IF($N486=0,0,IF(AND($F486&lt;=EOMONTH(DATE(PlanYear,5,1),0),IF(ISNUMBER($G486),$G486,$F486)&gt;=DATE(PlanYear,5,1)),1,0))</f>
        <v>0</v>
      </c>
      <c r="T486">
        <f>IF($N486=0,0,IF(AND($F486&lt;=EOMONTH(DATE(PlanYear,6,1),0),IF(ISNUMBER($G486),$G486,$F486)&gt;=DATE(PlanYear,6,1)),1,0))</f>
        <v>0</v>
      </c>
      <c r="U486">
        <f>IF($N486=0,0,IF(AND($F486&lt;=EOMONTH(DATE(PlanYear,7,1),0),IF(ISNUMBER($G486),$G486,$F486)&gt;=DATE(PlanYear,7,1)),1,0))</f>
        <v>0</v>
      </c>
      <c r="V486">
        <f>IF($N486=0,0,IF(AND($F486&lt;=EOMONTH(DATE(PlanYear,8,1),0),IF(ISNUMBER($G486),$G486,$F486)&gt;=DATE(PlanYear,8,1)),1,0))</f>
        <v>0</v>
      </c>
      <c r="W486">
        <f>IF($N486=0,0,IF(AND($F486&lt;=EOMONTH(DATE(PlanYear,9,1),0),IF(ISNUMBER($G486),$G486,$F486)&gt;=DATE(PlanYear,9,1)),1,0))</f>
        <v>0</v>
      </c>
      <c r="X486">
        <f>IF($N486=0,0,IF(AND($F486&lt;=EOMONTH(DATE(PlanYear,10,1),0),IF(ISNUMBER($G486),$G486,$F486)&gt;=DATE(PlanYear,10,1)),1,0))</f>
        <v>0</v>
      </c>
      <c r="Y486">
        <f>IF($N486=0,0,IF(AND($F486&lt;=EOMONTH(DATE(PlanYear,11,1),0),IF(ISNUMBER($G486),$G486,$F486)&gt;=DATE(PlanYear,11,1)),1,0))</f>
        <v>0</v>
      </c>
      <c r="Z486">
        <f>IF($N486=0,0,IF(AND($F486&lt;=EOMONTH(DATE(PlanYear,12,1),0),IF(ISNUMBER($G486),$G486,$F486)&gt;=DATE(PlanYear,12,1)),1,0))</f>
        <v>0</v>
      </c>
      <c r="AA486">
        <f>SUM($O486:$Z486)</f>
        <v>0</v>
      </c>
    </row>
    <row r="487" spans="1:27">
      <c r="A487" s="42">
        <f>IF($B487="","","ACT-"&amp;TEXT(ROW()-4,"000"))</f>
        <v>0</v>
      </c>
      <c r="M487" s="43">
        <f>IF(COUNTA($B487:$K487)=0,"",IF($B487="","Missing activity name",IF($C487="","Missing practice",IF(COUNTIF(PracticeNames,$C487)=0,"Practice not in Lists",IF($D487="","Missing motion",IF(NOT(ISNUMBER($F487)),"Missing or invalid start date",IF(AND(ISNUMBER($G487),$G487&lt;$F487),"End date before start",IF(AND($N487=1,$AA487=0),"Outside planning year","OK"))))))))</f>
        <v>0</v>
      </c>
      <c r="N487">
        <f>IF(AND($B487&lt;&gt;"",$C487&lt;&gt;"",$D487&lt;&gt;"",ISNUMBER($F487),COUNTIF(PracticeNames,$C487)&gt;0,COUNTIF(MotionNames,$D487)&gt;0,NOT(AND(ISNUMBER($G487),$G487&lt;$F487))),IF(StatusFilter="All (excl. Cancelled)",IF($H487="Cancelled",0,1),IF(StatusFilter="All",1,IF($H487=StatusFilter,1,0))),0)</f>
        <v>0</v>
      </c>
      <c r="O487">
        <f>IF($N487=0,0,IF(AND($F487&lt;=EOMONTH(DATE(PlanYear,1,1),0),IF(ISNUMBER($G487),$G487,$F487)&gt;=DATE(PlanYear,1,1)),1,0))</f>
        <v>0</v>
      </c>
      <c r="P487">
        <f>IF($N487=0,0,IF(AND($F487&lt;=EOMONTH(DATE(PlanYear,2,1),0),IF(ISNUMBER($G487),$G487,$F487)&gt;=DATE(PlanYear,2,1)),1,0))</f>
        <v>0</v>
      </c>
      <c r="Q487">
        <f>IF($N487=0,0,IF(AND($F487&lt;=EOMONTH(DATE(PlanYear,3,1),0),IF(ISNUMBER($G487),$G487,$F487)&gt;=DATE(PlanYear,3,1)),1,0))</f>
        <v>0</v>
      </c>
      <c r="R487">
        <f>IF($N487=0,0,IF(AND($F487&lt;=EOMONTH(DATE(PlanYear,4,1),0),IF(ISNUMBER($G487),$G487,$F487)&gt;=DATE(PlanYear,4,1)),1,0))</f>
        <v>0</v>
      </c>
      <c r="S487">
        <f>IF($N487=0,0,IF(AND($F487&lt;=EOMONTH(DATE(PlanYear,5,1),0),IF(ISNUMBER($G487),$G487,$F487)&gt;=DATE(PlanYear,5,1)),1,0))</f>
        <v>0</v>
      </c>
      <c r="T487">
        <f>IF($N487=0,0,IF(AND($F487&lt;=EOMONTH(DATE(PlanYear,6,1),0),IF(ISNUMBER($G487),$G487,$F487)&gt;=DATE(PlanYear,6,1)),1,0))</f>
        <v>0</v>
      </c>
      <c r="U487">
        <f>IF($N487=0,0,IF(AND($F487&lt;=EOMONTH(DATE(PlanYear,7,1),0),IF(ISNUMBER($G487),$G487,$F487)&gt;=DATE(PlanYear,7,1)),1,0))</f>
        <v>0</v>
      </c>
      <c r="V487">
        <f>IF($N487=0,0,IF(AND($F487&lt;=EOMONTH(DATE(PlanYear,8,1),0),IF(ISNUMBER($G487),$G487,$F487)&gt;=DATE(PlanYear,8,1)),1,0))</f>
        <v>0</v>
      </c>
      <c r="W487">
        <f>IF($N487=0,0,IF(AND($F487&lt;=EOMONTH(DATE(PlanYear,9,1),0),IF(ISNUMBER($G487),$G487,$F487)&gt;=DATE(PlanYear,9,1)),1,0))</f>
        <v>0</v>
      </c>
      <c r="X487">
        <f>IF($N487=0,0,IF(AND($F487&lt;=EOMONTH(DATE(PlanYear,10,1),0),IF(ISNUMBER($G487),$G487,$F487)&gt;=DATE(PlanYear,10,1)),1,0))</f>
        <v>0</v>
      </c>
      <c r="Y487">
        <f>IF($N487=0,0,IF(AND($F487&lt;=EOMONTH(DATE(PlanYear,11,1),0),IF(ISNUMBER($G487),$G487,$F487)&gt;=DATE(PlanYear,11,1)),1,0))</f>
        <v>0</v>
      </c>
      <c r="Z487">
        <f>IF($N487=0,0,IF(AND($F487&lt;=EOMONTH(DATE(PlanYear,12,1),0),IF(ISNUMBER($G487),$G487,$F487)&gt;=DATE(PlanYear,12,1)),1,0))</f>
        <v>0</v>
      </c>
      <c r="AA487">
        <f>SUM($O487:$Z487)</f>
        <v>0</v>
      </c>
    </row>
    <row r="488" spans="1:27">
      <c r="A488" s="42">
        <f>IF($B488="","","ACT-"&amp;TEXT(ROW()-4,"000"))</f>
        <v>0</v>
      </c>
      <c r="M488" s="43">
        <f>IF(COUNTA($B488:$K488)=0,"",IF($B488="","Missing activity name",IF($C488="","Missing practice",IF(COUNTIF(PracticeNames,$C488)=0,"Practice not in Lists",IF($D488="","Missing motion",IF(NOT(ISNUMBER($F488)),"Missing or invalid start date",IF(AND(ISNUMBER($G488),$G488&lt;$F488),"End date before start",IF(AND($N488=1,$AA488=0),"Outside planning year","OK"))))))))</f>
        <v>0</v>
      </c>
      <c r="N488">
        <f>IF(AND($B488&lt;&gt;"",$C488&lt;&gt;"",$D488&lt;&gt;"",ISNUMBER($F488),COUNTIF(PracticeNames,$C488)&gt;0,COUNTIF(MotionNames,$D488)&gt;0,NOT(AND(ISNUMBER($G488),$G488&lt;$F488))),IF(StatusFilter="All (excl. Cancelled)",IF($H488="Cancelled",0,1),IF(StatusFilter="All",1,IF($H488=StatusFilter,1,0))),0)</f>
        <v>0</v>
      </c>
      <c r="O488">
        <f>IF($N488=0,0,IF(AND($F488&lt;=EOMONTH(DATE(PlanYear,1,1),0),IF(ISNUMBER($G488),$G488,$F488)&gt;=DATE(PlanYear,1,1)),1,0))</f>
        <v>0</v>
      </c>
      <c r="P488">
        <f>IF($N488=0,0,IF(AND($F488&lt;=EOMONTH(DATE(PlanYear,2,1),0),IF(ISNUMBER($G488),$G488,$F488)&gt;=DATE(PlanYear,2,1)),1,0))</f>
        <v>0</v>
      </c>
      <c r="Q488">
        <f>IF($N488=0,0,IF(AND($F488&lt;=EOMONTH(DATE(PlanYear,3,1),0),IF(ISNUMBER($G488),$G488,$F488)&gt;=DATE(PlanYear,3,1)),1,0))</f>
        <v>0</v>
      </c>
      <c r="R488">
        <f>IF($N488=0,0,IF(AND($F488&lt;=EOMONTH(DATE(PlanYear,4,1),0),IF(ISNUMBER($G488),$G488,$F488)&gt;=DATE(PlanYear,4,1)),1,0))</f>
        <v>0</v>
      </c>
      <c r="S488">
        <f>IF($N488=0,0,IF(AND($F488&lt;=EOMONTH(DATE(PlanYear,5,1),0),IF(ISNUMBER($G488),$G488,$F488)&gt;=DATE(PlanYear,5,1)),1,0))</f>
        <v>0</v>
      </c>
      <c r="T488">
        <f>IF($N488=0,0,IF(AND($F488&lt;=EOMONTH(DATE(PlanYear,6,1),0),IF(ISNUMBER($G488),$G488,$F488)&gt;=DATE(PlanYear,6,1)),1,0))</f>
        <v>0</v>
      </c>
      <c r="U488">
        <f>IF($N488=0,0,IF(AND($F488&lt;=EOMONTH(DATE(PlanYear,7,1),0),IF(ISNUMBER($G488),$G488,$F488)&gt;=DATE(PlanYear,7,1)),1,0))</f>
        <v>0</v>
      </c>
      <c r="V488">
        <f>IF($N488=0,0,IF(AND($F488&lt;=EOMONTH(DATE(PlanYear,8,1),0),IF(ISNUMBER($G488),$G488,$F488)&gt;=DATE(PlanYear,8,1)),1,0))</f>
        <v>0</v>
      </c>
      <c r="W488">
        <f>IF($N488=0,0,IF(AND($F488&lt;=EOMONTH(DATE(PlanYear,9,1),0),IF(ISNUMBER($G488),$G488,$F488)&gt;=DATE(PlanYear,9,1)),1,0))</f>
        <v>0</v>
      </c>
      <c r="X488">
        <f>IF($N488=0,0,IF(AND($F488&lt;=EOMONTH(DATE(PlanYear,10,1),0),IF(ISNUMBER($G488),$G488,$F488)&gt;=DATE(PlanYear,10,1)),1,0))</f>
        <v>0</v>
      </c>
      <c r="Y488">
        <f>IF($N488=0,0,IF(AND($F488&lt;=EOMONTH(DATE(PlanYear,11,1),0),IF(ISNUMBER($G488),$G488,$F488)&gt;=DATE(PlanYear,11,1)),1,0))</f>
        <v>0</v>
      </c>
      <c r="Z488">
        <f>IF($N488=0,0,IF(AND($F488&lt;=EOMONTH(DATE(PlanYear,12,1),0),IF(ISNUMBER($G488),$G488,$F488)&gt;=DATE(PlanYear,12,1)),1,0))</f>
        <v>0</v>
      </c>
      <c r="AA488">
        <f>SUM($O488:$Z488)</f>
        <v>0</v>
      </c>
    </row>
    <row r="489" spans="1:27">
      <c r="A489" s="42">
        <f>IF($B489="","","ACT-"&amp;TEXT(ROW()-4,"000"))</f>
        <v>0</v>
      </c>
      <c r="M489" s="43">
        <f>IF(COUNTA($B489:$K489)=0,"",IF($B489="","Missing activity name",IF($C489="","Missing practice",IF(COUNTIF(PracticeNames,$C489)=0,"Practice not in Lists",IF($D489="","Missing motion",IF(NOT(ISNUMBER($F489)),"Missing or invalid start date",IF(AND(ISNUMBER($G489),$G489&lt;$F489),"End date before start",IF(AND($N489=1,$AA489=0),"Outside planning year","OK"))))))))</f>
        <v>0</v>
      </c>
      <c r="N489">
        <f>IF(AND($B489&lt;&gt;"",$C489&lt;&gt;"",$D489&lt;&gt;"",ISNUMBER($F489),COUNTIF(PracticeNames,$C489)&gt;0,COUNTIF(MotionNames,$D489)&gt;0,NOT(AND(ISNUMBER($G489),$G489&lt;$F489))),IF(StatusFilter="All (excl. Cancelled)",IF($H489="Cancelled",0,1),IF(StatusFilter="All",1,IF($H489=StatusFilter,1,0))),0)</f>
        <v>0</v>
      </c>
      <c r="O489">
        <f>IF($N489=0,0,IF(AND($F489&lt;=EOMONTH(DATE(PlanYear,1,1),0),IF(ISNUMBER($G489),$G489,$F489)&gt;=DATE(PlanYear,1,1)),1,0))</f>
        <v>0</v>
      </c>
      <c r="P489">
        <f>IF($N489=0,0,IF(AND($F489&lt;=EOMONTH(DATE(PlanYear,2,1),0),IF(ISNUMBER($G489),$G489,$F489)&gt;=DATE(PlanYear,2,1)),1,0))</f>
        <v>0</v>
      </c>
      <c r="Q489">
        <f>IF($N489=0,0,IF(AND($F489&lt;=EOMONTH(DATE(PlanYear,3,1),0),IF(ISNUMBER($G489),$G489,$F489)&gt;=DATE(PlanYear,3,1)),1,0))</f>
        <v>0</v>
      </c>
      <c r="R489">
        <f>IF($N489=0,0,IF(AND($F489&lt;=EOMONTH(DATE(PlanYear,4,1),0),IF(ISNUMBER($G489),$G489,$F489)&gt;=DATE(PlanYear,4,1)),1,0))</f>
        <v>0</v>
      </c>
      <c r="S489">
        <f>IF($N489=0,0,IF(AND($F489&lt;=EOMONTH(DATE(PlanYear,5,1),0),IF(ISNUMBER($G489),$G489,$F489)&gt;=DATE(PlanYear,5,1)),1,0))</f>
        <v>0</v>
      </c>
      <c r="T489">
        <f>IF($N489=0,0,IF(AND($F489&lt;=EOMONTH(DATE(PlanYear,6,1),0),IF(ISNUMBER($G489),$G489,$F489)&gt;=DATE(PlanYear,6,1)),1,0))</f>
        <v>0</v>
      </c>
      <c r="U489">
        <f>IF($N489=0,0,IF(AND($F489&lt;=EOMONTH(DATE(PlanYear,7,1),0),IF(ISNUMBER($G489),$G489,$F489)&gt;=DATE(PlanYear,7,1)),1,0))</f>
        <v>0</v>
      </c>
      <c r="V489">
        <f>IF($N489=0,0,IF(AND($F489&lt;=EOMONTH(DATE(PlanYear,8,1),0),IF(ISNUMBER($G489),$G489,$F489)&gt;=DATE(PlanYear,8,1)),1,0))</f>
        <v>0</v>
      </c>
      <c r="W489">
        <f>IF($N489=0,0,IF(AND($F489&lt;=EOMONTH(DATE(PlanYear,9,1),0),IF(ISNUMBER($G489),$G489,$F489)&gt;=DATE(PlanYear,9,1)),1,0))</f>
        <v>0</v>
      </c>
      <c r="X489">
        <f>IF($N489=0,0,IF(AND($F489&lt;=EOMONTH(DATE(PlanYear,10,1),0),IF(ISNUMBER($G489),$G489,$F489)&gt;=DATE(PlanYear,10,1)),1,0))</f>
        <v>0</v>
      </c>
      <c r="Y489">
        <f>IF($N489=0,0,IF(AND($F489&lt;=EOMONTH(DATE(PlanYear,11,1),0),IF(ISNUMBER($G489),$G489,$F489)&gt;=DATE(PlanYear,11,1)),1,0))</f>
        <v>0</v>
      </c>
      <c r="Z489">
        <f>IF($N489=0,0,IF(AND($F489&lt;=EOMONTH(DATE(PlanYear,12,1),0),IF(ISNUMBER($G489),$G489,$F489)&gt;=DATE(PlanYear,12,1)),1,0))</f>
        <v>0</v>
      </c>
      <c r="AA489">
        <f>SUM($O489:$Z489)</f>
        <v>0</v>
      </c>
    </row>
    <row r="490" spans="1:27">
      <c r="A490" s="42">
        <f>IF($B490="","","ACT-"&amp;TEXT(ROW()-4,"000"))</f>
        <v>0</v>
      </c>
      <c r="M490" s="43">
        <f>IF(COUNTA($B490:$K490)=0,"",IF($B490="","Missing activity name",IF($C490="","Missing practice",IF(COUNTIF(PracticeNames,$C490)=0,"Practice not in Lists",IF($D490="","Missing motion",IF(NOT(ISNUMBER($F490)),"Missing or invalid start date",IF(AND(ISNUMBER($G490),$G490&lt;$F490),"End date before start",IF(AND($N490=1,$AA490=0),"Outside planning year","OK"))))))))</f>
        <v>0</v>
      </c>
      <c r="N490">
        <f>IF(AND($B490&lt;&gt;"",$C490&lt;&gt;"",$D490&lt;&gt;"",ISNUMBER($F490),COUNTIF(PracticeNames,$C490)&gt;0,COUNTIF(MotionNames,$D490)&gt;0,NOT(AND(ISNUMBER($G490),$G490&lt;$F490))),IF(StatusFilter="All (excl. Cancelled)",IF($H490="Cancelled",0,1),IF(StatusFilter="All",1,IF($H490=StatusFilter,1,0))),0)</f>
        <v>0</v>
      </c>
      <c r="O490">
        <f>IF($N490=0,0,IF(AND($F490&lt;=EOMONTH(DATE(PlanYear,1,1),0),IF(ISNUMBER($G490),$G490,$F490)&gt;=DATE(PlanYear,1,1)),1,0))</f>
        <v>0</v>
      </c>
      <c r="P490">
        <f>IF($N490=0,0,IF(AND($F490&lt;=EOMONTH(DATE(PlanYear,2,1),0),IF(ISNUMBER($G490),$G490,$F490)&gt;=DATE(PlanYear,2,1)),1,0))</f>
        <v>0</v>
      </c>
      <c r="Q490">
        <f>IF($N490=0,0,IF(AND($F490&lt;=EOMONTH(DATE(PlanYear,3,1),0),IF(ISNUMBER($G490),$G490,$F490)&gt;=DATE(PlanYear,3,1)),1,0))</f>
        <v>0</v>
      </c>
      <c r="R490">
        <f>IF($N490=0,0,IF(AND($F490&lt;=EOMONTH(DATE(PlanYear,4,1),0),IF(ISNUMBER($G490),$G490,$F490)&gt;=DATE(PlanYear,4,1)),1,0))</f>
        <v>0</v>
      </c>
      <c r="S490">
        <f>IF($N490=0,0,IF(AND($F490&lt;=EOMONTH(DATE(PlanYear,5,1),0),IF(ISNUMBER($G490),$G490,$F490)&gt;=DATE(PlanYear,5,1)),1,0))</f>
        <v>0</v>
      </c>
      <c r="T490">
        <f>IF($N490=0,0,IF(AND($F490&lt;=EOMONTH(DATE(PlanYear,6,1),0),IF(ISNUMBER($G490),$G490,$F490)&gt;=DATE(PlanYear,6,1)),1,0))</f>
        <v>0</v>
      </c>
      <c r="U490">
        <f>IF($N490=0,0,IF(AND($F490&lt;=EOMONTH(DATE(PlanYear,7,1),0),IF(ISNUMBER($G490),$G490,$F490)&gt;=DATE(PlanYear,7,1)),1,0))</f>
        <v>0</v>
      </c>
      <c r="V490">
        <f>IF($N490=0,0,IF(AND($F490&lt;=EOMONTH(DATE(PlanYear,8,1),0),IF(ISNUMBER($G490),$G490,$F490)&gt;=DATE(PlanYear,8,1)),1,0))</f>
        <v>0</v>
      </c>
      <c r="W490">
        <f>IF($N490=0,0,IF(AND($F490&lt;=EOMONTH(DATE(PlanYear,9,1),0),IF(ISNUMBER($G490),$G490,$F490)&gt;=DATE(PlanYear,9,1)),1,0))</f>
        <v>0</v>
      </c>
      <c r="X490">
        <f>IF($N490=0,0,IF(AND($F490&lt;=EOMONTH(DATE(PlanYear,10,1),0),IF(ISNUMBER($G490),$G490,$F490)&gt;=DATE(PlanYear,10,1)),1,0))</f>
        <v>0</v>
      </c>
      <c r="Y490">
        <f>IF($N490=0,0,IF(AND($F490&lt;=EOMONTH(DATE(PlanYear,11,1),0),IF(ISNUMBER($G490),$G490,$F490)&gt;=DATE(PlanYear,11,1)),1,0))</f>
        <v>0</v>
      </c>
      <c r="Z490">
        <f>IF($N490=0,0,IF(AND($F490&lt;=EOMONTH(DATE(PlanYear,12,1),0),IF(ISNUMBER($G490),$G490,$F490)&gt;=DATE(PlanYear,12,1)),1,0))</f>
        <v>0</v>
      </c>
      <c r="AA490">
        <f>SUM($O490:$Z490)</f>
        <v>0</v>
      </c>
    </row>
    <row r="491" spans="1:27">
      <c r="A491" s="42">
        <f>IF($B491="","","ACT-"&amp;TEXT(ROW()-4,"000"))</f>
        <v>0</v>
      </c>
      <c r="M491" s="43">
        <f>IF(COUNTA($B491:$K491)=0,"",IF($B491="","Missing activity name",IF($C491="","Missing practice",IF(COUNTIF(PracticeNames,$C491)=0,"Practice not in Lists",IF($D491="","Missing motion",IF(NOT(ISNUMBER($F491)),"Missing or invalid start date",IF(AND(ISNUMBER($G491),$G491&lt;$F491),"End date before start",IF(AND($N491=1,$AA491=0),"Outside planning year","OK"))))))))</f>
        <v>0</v>
      </c>
      <c r="N491">
        <f>IF(AND($B491&lt;&gt;"",$C491&lt;&gt;"",$D491&lt;&gt;"",ISNUMBER($F491),COUNTIF(PracticeNames,$C491)&gt;0,COUNTIF(MotionNames,$D491)&gt;0,NOT(AND(ISNUMBER($G491),$G491&lt;$F491))),IF(StatusFilter="All (excl. Cancelled)",IF($H491="Cancelled",0,1),IF(StatusFilter="All",1,IF($H491=StatusFilter,1,0))),0)</f>
        <v>0</v>
      </c>
      <c r="O491">
        <f>IF($N491=0,0,IF(AND($F491&lt;=EOMONTH(DATE(PlanYear,1,1),0),IF(ISNUMBER($G491),$G491,$F491)&gt;=DATE(PlanYear,1,1)),1,0))</f>
        <v>0</v>
      </c>
      <c r="P491">
        <f>IF($N491=0,0,IF(AND($F491&lt;=EOMONTH(DATE(PlanYear,2,1),0),IF(ISNUMBER($G491),$G491,$F491)&gt;=DATE(PlanYear,2,1)),1,0))</f>
        <v>0</v>
      </c>
      <c r="Q491">
        <f>IF($N491=0,0,IF(AND($F491&lt;=EOMONTH(DATE(PlanYear,3,1),0),IF(ISNUMBER($G491),$G491,$F491)&gt;=DATE(PlanYear,3,1)),1,0))</f>
        <v>0</v>
      </c>
      <c r="R491">
        <f>IF($N491=0,0,IF(AND($F491&lt;=EOMONTH(DATE(PlanYear,4,1),0),IF(ISNUMBER($G491),$G491,$F491)&gt;=DATE(PlanYear,4,1)),1,0))</f>
        <v>0</v>
      </c>
      <c r="S491">
        <f>IF($N491=0,0,IF(AND($F491&lt;=EOMONTH(DATE(PlanYear,5,1),0),IF(ISNUMBER($G491),$G491,$F491)&gt;=DATE(PlanYear,5,1)),1,0))</f>
        <v>0</v>
      </c>
      <c r="T491">
        <f>IF($N491=0,0,IF(AND($F491&lt;=EOMONTH(DATE(PlanYear,6,1),0),IF(ISNUMBER($G491),$G491,$F491)&gt;=DATE(PlanYear,6,1)),1,0))</f>
        <v>0</v>
      </c>
      <c r="U491">
        <f>IF($N491=0,0,IF(AND($F491&lt;=EOMONTH(DATE(PlanYear,7,1),0),IF(ISNUMBER($G491),$G491,$F491)&gt;=DATE(PlanYear,7,1)),1,0))</f>
        <v>0</v>
      </c>
      <c r="V491">
        <f>IF($N491=0,0,IF(AND($F491&lt;=EOMONTH(DATE(PlanYear,8,1),0),IF(ISNUMBER($G491),$G491,$F491)&gt;=DATE(PlanYear,8,1)),1,0))</f>
        <v>0</v>
      </c>
      <c r="W491">
        <f>IF($N491=0,0,IF(AND($F491&lt;=EOMONTH(DATE(PlanYear,9,1),0),IF(ISNUMBER($G491),$G491,$F491)&gt;=DATE(PlanYear,9,1)),1,0))</f>
        <v>0</v>
      </c>
      <c r="X491">
        <f>IF($N491=0,0,IF(AND($F491&lt;=EOMONTH(DATE(PlanYear,10,1),0),IF(ISNUMBER($G491),$G491,$F491)&gt;=DATE(PlanYear,10,1)),1,0))</f>
        <v>0</v>
      </c>
      <c r="Y491">
        <f>IF($N491=0,0,IF(AND($F491&lt;=EOMONTH(DATE(PlanYear,11,1),0),IF(ISNUMBER($G491),$G491,$F491)&gt;=DATE(PlanYear,11,1)),1,0))</f>
        <v>0</v>
      </c>
      <c r="Z491">
        <f>IF($N491=0,0,IF(AND($F491&lt;=EOMONTH(DATE(PlanYear,12,1),0),IF(ISNUMBER($G491),$G491,$F491)&gt;=DATE(PlanYear,12,1)),1,0))</f>
        <v>0</v>
      </c>
      <c r="AA491">
        <f>SUM($O491:$Z491)</f>
        <v>0</v>
      </c>
    </row>
    <row r="492" spans="1:27">
      <c r="A492" s="42">
        <f>IF($B492="","","ACT-"&amp;TEXT(ROW()-4,"000"))</f>
        <v>0</v>
      </c>
      <c r="M492" s="43">
        <f>IF(COUNTA($B492:$K492)=0,"",IF($B492="","Missing activity name",IF($C492="","Missing practice",IF(COUNTIF(PracticeNames,$C492)=0,"Practice not in Lists",IF($D492="","Missing motion",IF(NOT(ISNUMBER($F492)),"Missing or invalid start date",IF(AND(ISNUMBER($G492),$G492&lt;$F492),"End date before start",IF(AND($N492=1,$AA492=0),"Outside planning year","OK"))))))))</f>
        <v>0</v>
      </c>
      <c r="N492">
        <f>IF(AND($B492&lt;&gt;"",$C492&lt;&gt;"",$D492&lt;&gt;"",ISNUMBER($F492),COUNTIF(PracticeNames,$C492)&gt;0,COUNTIF(MotionNames,$D492)&gt;0,NOT(AND(ISNUMBER($G492),$G492&lt;$F492))),IF(StatusFilter="All (excl. Cancelled)",IF($H492="Cancelled",0,1),IF(StatusFilter="All",1,IF($H492=StatusFilter,1,0))),0)</f>
        <v>0</v>
      </c>
      <c r="O492">
        <f>IF($N492=0,0,IF(AND($F492&lt;=EOMONTH(DATE(PlanYear,1,1),0),IF(ISNUMBER($G492),$G492,$F492)&gt;=DATE(PlanYear,1,1)),1,0))</f>
        <v>0</v>
      </c>
      <c r="P492">
        <f>IF($N492=0,0,IF(AND($F492&lt;=EOMONTH(DATE(PlanYear,2,1),0),IF(ISNUMBER($G492),$G492,$F492)&gt;=DATE(PlanYear,2,1)),1,0))</f>
        <v>0</v>
      </c>
      <c r="Q492">
        <f>IF($N492=0,0,IF(AND($F492&lt;=EOMONTH(DATE(PlanYear,3,1),0),IF(ISNUMBER($G492),$G492,$F492)&gt;=DATE(PlanYear,3,1)),1,0))</f>
        <v>0</v>
      </c>
      <c r="R492">
        <f>IF($N492=0,0,IF(AND($F492&lt;=EOMONTH(DATE(PlanYear,4,1),0),IF(ISNUMBER($G492),$G492,$F492)&gt;=DATE(PlanYear,4,1)),1,0))</f>
        <v>0</v>
      </c>
      <c r="S492">
        <f>IF($N492=0,0,IF(AND($F492&lt;=EOMONTH(DATE(PlanYear,5,1),0),IF(ISNUMBER($G492),$G492,$F492)&gt;=DATE(PlanYear,5,1)),1,0))</f>
        <v>0</v>
      </c>
      <c r="T492">
        <f>IF($N492=0,0,IF(AND($F492&lt;=EOMONTH(DATE(PlanYear,6,1),0),IF(ISNUMBER($G492),$G492,$F492)&gt;=DATE(PlanYear,6,1)),1,0))</f>
        <v>0</v>
      </c>
      <c r="U492">
        <f>IF($N492=0,0,IF(AND($F492&lt;=EOMONTH(DATE(PlanYear,7,1),0),IF(ISNUMBER($G492),$G492,$F492)&gt;=DATE(PlanYear,7,1)),1,0))</f>
        <v>0</v>
      </c>
      <c r="V492">
        <f>IF($N492=0,0,IF(AND($F492&lt;=EOMONTH(DATE(PlanYear,8,1),0),IF(ISNUMBER($G492),$G492,$F492)&gt;=DATE(PlanYear,8,1)),1,0))</f>
        <v>0</v>
      </c>
      <c r="W492">
        <f>IF($N492=0,0,IF(AND($F492&lt;=EOMONTH(DATE(PlanYear,9,1),0),IF(ISNUMBER($G492),$G492,$F492)&gt;=DATE(PlanYear,9,1)),1,0))</f>
        <v>0</v>
      </c>
      <c r="X492">
        <f>IF($N492=0,0,IF(AND($F492&lt;=EOMONTH(DATE(PlanYear,10,1),0),IF(ISNUMBER($G492),$G492,$F492)&gt;=DATE(PlanYear,10,1)),1,0))</f>
        <v>0</v>
      </c>
      <c r="Y492">
        <f>IF($N492=0,0,IF(AND($F492&lt;=EOMONTH(DATE(PlanYear,11,1),0),IF(ISNUMBER($G492),$G492,$F492)&gt;=DATE(PlanYear,11,1)),1,0))</f>
        <v>0</v>
      </c>
      <c r="Z492">
        <f>IF($N492=0,0,IF(AND($F492&lt;=EOMONTH(DATE(PlanYear,12,1),0),IF(ISNUMBER($G492),$G492,$F492)&gt;=DATE(PlanYear,12,1)),1,0))</f>
        <v>0</v>
      </c>
      <c r="AA492">
        <f>SUM($O492:$Z492)</f>
        <v>0</v>
      </c>
    </row>
    <row r="493" spans="1:27">
      <c r="A493" s="42">
        <f>IF($B493="","","ACT-"&amp;TEXT(ROW()-4,"000"))</f>
        <v>0</v>
      </c>
      <c r="M493" s="43">
        <f>IF(COUNTA($B493:$K493)=0,"",IF($B493="","Missing activity name",IF($C493="","Missing practice",IF(COUNTIF(PracticeNames,$C493)=0,"Practice not in Lists",IF($D493="","Missing motion",IF(NOT(ISNUMBER($F493)),"Missing or invalid start date",IF(AND(ISNUMBER($G493),$G493&lt;$F493),"End date before start",IF(AND($N493=1,$AA493=0),"Outside planning year","OK"))))))))</f>
        <v>0</v>
      </c>
      <c r="N493">
        <f>IF(AND($B493&lt;&gt;"",$C493&lt;&gt;"",$D493&lt;&gt;"",ISNUMBER($F493),COUNTIF(PracticeNames,$C493)&gt;0,COUNTIF(MotionNames,$D493)&gt;0,NOT(AND(ISNUMBER($G493),$G493&lt;$F493))),IF(StatusFilter="All (excl. Cancelled)",IF($H493="Cancelled",0,1),IF(StatusFilter="All",1,IF($H493=StatusFilter,1,0))),0)</f>
        <v>0</v>
      </c>
      <c r="O493">
        <f>IF($N493=0,0,IF(AND($F493&lt;=EOMONTH(DATE(PlanYear,1,1),0),IF(ISNUMBER($G493),$G493,$F493)&gt;=DATE(PlanYear,1,1)),1,0))</f>
        <v>0</v>
      </c>
      <c r="P493">
        <f>IF($N493=0,0,IF(AND($F493&lt;=EOMONTH(DATE(PlanYear,2,1),0),IF(ISNUMBER($G493),$G493,$F493)&gt;=DATE(PlanYear,2,1)),1,0))</f>
        <v>0</v>
      </c>
      <c r="Q493">
        <f>IF($N493=0,0,IF(AND($F493&lt;=EOMONTH(DATE(PlanYear,3,1),0),IF(ISNUMBER($G493),$G493,$F493)&gt;=DATE(PlanYear,3,1)),1,0))</f>
        <v>0</v>
      </c>
      <c r="R493">
        <f>IF($N493=0,0,IF(AND($F493&lt;=EOMONTH(DATE(PlanYear,4,1),0),IF(ISNUMBER($G493),$G493,$F493)&gt;=DATE(PlanYear,4,1)),1,0))</f>
        <v>0</v>
      </c>
      <c r="S493">
        <f>IF($N493=0,0,IF(AND($F493&lt;=EOMONTH(DATE(PlanYear,5,1),0),IF(ISNUMBER($G493),$G493,$F493)&gt;=DATE(PlanYear,5,1)),1,0))</f>
        <v>0</v>
      </c>
      <c r="T493">
        <f>IF($N493=0,0,IF(AND($F493&lt;=EOMONTH(DATE(PlanYear,6,1),0),IF(ISNUMBER($G493),$G493,$F493)&gt;=DATE(PlanYear,6,1)),1,0))</f>
        <v>0</v>
      </c>
      <c r="U493">
        <f>IF($N493=0,0,IF(AND($F493&lt;=EOMONTH(DATE(PlanYear,7,1),0),IF(ISNUMBER($G493),$G493,$F493)&gt;=DATE(PlanYear,7,1)),1,0))</f>
        <v>0</v>
      </c>
      <c r="V493">
        <f>IF($N493=0,0,IF(AND($F493&lt;=EOMONTH(DATE(PlanYear,8,1),0),IF(ISNUMBER($G493),$G493,$F493)&gt;=DATE(PlanYear,8,1)),1,0))</f>
        <v>0</v>
      </c>
      <c r="W493">
        <f>IF($N493=0,0,IF(AND($F493&lt;=EOMONTH(DATE(PlanYear,9,1),0),IF(ISNUMBER($G493),$G493,$F493)&gt;=DATE(PlanYear,9,1)),1,0))</f>
        <v>0</v>
      </c>
      <c r="X493">
        <f>IF($N493=0,0,IF(AND($F493&lt;=EOMONTH(DATE(PlanYear,10,1),0),IF(ISNUMBER($G493),$G493,$F493)&gt;=DATE(PlanYear,10,1)),1,0))</f>
        <v>0</v>
      </c>
      <c r="Y493">
        <f>IF($N493=0,0,IF(AND($F493&lt;=EOMONTH(DATE(PlanYear,11,1),0),IF(ISNUMBER($G493),$G493,$F493)&gt;=DATE(PlanYear,11,1)),1,0))</f>
        <v>0</v>
      </c>
      <c r="Z493">
        <f>IF($N493=0,0,IF(AND($F493&lt;=EOMONTH(DATE(PlanYear,12,1),0),IF(ISNUMBER($G493),$G493,$F493)&gt;=DATE(PlanYear,12,1)),1,0))</f>
        <v>0</v>
      </c>
      <c r="AA493">
        <f>SUM($O493:$Z493)</f>
        <v>0</v>
      </c>
    </row>
    <row r="494" spans="1:27">
      <c r="A494" s="42">
        <f>IF($B494="","","ACT-"&amp;TEXT(ROW()-4,"000"))</f>
        <v>0</v>
      </c>
      <c r="M494" s="43">
        <f>IF(COUNTA($B494:$K494)=0,"",IF($B494="","Missing activity name",IF($C494="","Missing practice",IF(COUNTIF(PracticeNames,$C494)=0,"Practice not in Lists",IF($D494="","Missing motion",IF(NOT(ISNUMBER($F494)),"Missing or invalid start date",IF(AND(ISNUMBER($G494),$G494&lt;$F494),"End date before start",IF(AND($N494=1,$AA494=0),"Outside planning year","OK"))))))))</f>
        <v>0</v>
      </c>
      <c r="N494">
        <f>IF(AND($B494&lt;&gt;"",$C494&lt;&gt;"",$D494&lt;&gt;"",ISNUMBER($F494),COUNTIF(PracticeNames,$C494)&gt;0,COUNTIF(MotionNames,$D494)&gt;0,NOT(AND(ISNUMBER($G494),$G494&lt;$F494))),IF(StatusFilter="All (excl. Cancelled)",IF($H494="Cancelled",0,1),IF(StatusFilter="All",1,IF($H494=StatusFilter,1,0))),0)</f>
        <v>0</v>
      </c>
      <c r="O494">
        <f>IF($N494=0,0,IF(AND($F494&lt;=EOMONTH(DATE(PlanYear,1,1),0),IF(ISNUMBER($G494),$G494,$F494)&gt;=DATE(PlanYear,1,1)),1,0))</f>
        <v>0</v>
      </c>
      <c r="P494">
        <f>IF($N494=0,0,IF(AND($F494&lt;=EOMONTH(DATE(PlanYear,2,1),0),IF(ISNUMBER($G494),$G494,$F494)&gt;=DATE(PlanYear,2,1)),1,0))</f>
        <v>0</v>
      </c>
      <c r="Q494">
        <f>IF($N494=0,0,IF(AND($F494&lt;=EOMONTH(DATE(PlanYear,3,1),0),IF(ISNUMBER($G494),$G494,$F494)&gt;=DATE(PlanYear,3,1)),1,0))</f>
        <v>0</v>
      </c>
      <c r="R494">
        <f>IF($N494=0,0,IF(AND($F494&lt;=EOMONTH(DATE(PlanYear,4,1),0),IF(ISNUMBER($G494),$G494,$F494)&gt;=DATE(PlanYear,4,1)),1,0))</f>
        <v>0</v>
      </c>
      <c r="S494">
        <f>IF($N494=0,0,IF(AND($F494&lt;=EOMONTH(DATE(PlanYear,5,1),0),IF(ISNUMBER($G494),$G494,$F494)&gt;=DATE(PlanYear,5,1)),1,0))</f>
        <v>0</v>
      </c>
      <c r="T494">
        <f>IF($N494=0,0,IF(AND($F494&lt;=EOMONTH(DATE(PlanYear,6,1),0),IF(ISNUMBER($G494),$G494,$F494)&gt;=DATE(PlanYear,6,1)),1,0))</f>
        <v>0</v>
      </c>
      <c r="U494">
        <f>IF($N494=0,0,IF(AND($F494&lt;=EOMONTH(DATE(PlanYear,7,1),0),IF(ISNUMBER($G494),$G494,$F494)&gt;=DATE(PlanYear,7,1)),1,0))</f>
        <v>0</v>
      </c>
      <c r="V494">
        <f>IF($N494=0,0,IF(AND($F494&lt;=EOMONTH(DATE(PlanYear,8,1),0),IF(ISNUMBER($G494),$G494,$F494)&gt;=DATE(PlanYear,8,1)),1,0))</f>
        <v>0</v>
      </c>
      <c r="W494">
        <f>IF($N494=0,0,IF(AND($F494&lt;=EOMONTH(DATE(PlanYear,9,1),0),IF(ISNUMBER($G494),$G494,$F494)&gt;=DATE(PlanYear,9,1)),1,0))</f>
        <v>0</v>
      </c>
      <c r="X494">
        <f>IF($N494=0,0,IF(AND($F494&lt;=EOMONTH(DATE(PlanYear,10,1),0),IF(ISNUMBER($G494),$G494,$F494)&gt;=DATE(PlanYear,10,1)),1,0))</f>
        <v>0</v>
      </c>
      <c r="Y494">
        <f>IF($N494=0,0,IF(AND($F494&lt;=EOMONTH(DATE(PlanYear,11,1),0),IF(ISNUMBER($G494),$G494,$F494)&gt;=DATE(PlanYear,11,1)),1,0))</f>
        <v>0</v>
      </c>
      <c r="Z494">
        <f>IF($N494=0,0,IF(AND($F494&lt;=EOMONTH(DATE(PlanYear,12,1),0),IF(ISNUMBER($G494),$G494,$F494)&gt;=DATE(PlanYear,12,1)),1,0))</f>
        <v>0</v>
      </c>
      <c r="AA494">
        <f>SUM($O494:$Z494)</f>
        <v>0</v>
      </c>
    </row>
    <row r="495" spans="1:27">
      <c r="A495" s="42">
        <f>IF($B495="","","ACT-"&amp;TEXT(ROW()-4,"000"))</f>
        <v>0</v>
      </c>
      <c r="M495" s="43">
        <f>IF(COUNTA($B495:$K495)=0,"",IF($B495="","Missing activity name",IF($C495="","Missing practice",IF(COUNTIF(PracticeNames,$C495)=0,"Practice not in Lists",IF($D495="","Missing motion",IF(NOT(ISNUMBER($F495)),"Missing or invalid start date",IF(AND(ISNUMBER($G495),$G495&lt;$F495),"End date before start",IF(AND($N495=1,$AA495=0),"Outside planning year","OK"))))))))</f>
        <v>0</v>
      </c>
      <c r="N495">
        <f>IF(AND($B495&lt;&gt;"",$C495&lt;&gt;"",$D495&lt;&gt;"",ISNUMBER($F495),COUNTIF(PracticeNames,$C495)&gt;0,COUNTIF(MotionNames,$D495)&gt;0,NOT(AND(ISNUMBER($G495),$G495&lt;$F495))),IF(StatusFilter="All (excl. Cancelled)",IF($H495="Cancelled",0,1),IF(StatusFilter="All",1,IF($H495=StatusFilter,1,0))),0)</f>
        <v>0</v>
      </c>
      <c r="O495">
        <f>IF($N495=0,0,IF(AND($F495&lt;=EOMONTH(DATE(PlanYear,1,1),0),IF(ISNUMBER($G495),$G495,$F495)&gt;=DATE(PlanYear,1,1)),1,0))</f>
        <v>0</v>
      </c>
      <c r="P495">
        <f>IF($N495=0,0,IF(AND($F495&lt;=EOMONTH(DATE(PlanYear,2,1),0),IF(ISNUMBER($G495),$G495,$F495)&gt;=DATE(PlanYear,2,1)),1,0))</f>
        <v>0</v>
      </c>
      <c r="Q495">
        <f>IF($N495=0,0,IF(AND($F495&lt;=EOMONTH(DATE(PlanYear,3,1),0),IF(ISNUMBER($G495),$G495,$F495)&gt;=DATE(PlanYear,3,1)),1,0))</f>
        <v>0</v>
      </c>
      <c r="R495">
        <f>IF($N495=0,0,IF(AND($F495&lt;=EOMONTH(DATE(PlanYear,4,1),0),IF(ISNUMBER($G495),$G495,$F495)&gt;=DATE(PlanYear,4,1)),1,0))</f>
        <v>0</v>
      </c>
      <c r="S495">
        <f>IF($N495=0,0,IF(AND($F495&lt;=EOMONTH(DATE(PlanYear,5,1),0),IF(ISNUMBER($G495),$G495,$F495)&gt;=DATE(PlanYear,5,1)),1,0))</f>
        <v>0</v>
      </c>
      <c r="T495">
        <f>IF($N495=0,0,IF(AND($F495&lt;=EOMONTH(DATE(PlanYear,6,1),0),IF(ISNUMBER($G495),$G495,$F495)&gt;=DATE(PlanYear,6,1)),1,0))</f>
        <v>0</v>
      </c>
      <c r="U495">
        <f>IF($N495=0,0,IF(AND($F495&lt;=EOMONTH(DATE(PlanYear,7,1),0),IF(ISNUMBER($G495),$G495,$F495)&gt;=DATE(PlanYear,7,1)),1,0))</f>
        <v>0</v>
      </c>
      <c r="V495">
        <f>IF($N495=0,0,IF(AND($F495&lt;=EOMONTH(DATE(PlanYear,8,1),0),IF(ISNUMBER($G495),$G495,$F495)&gt;=DATE(PlanYear,8,1)),1,0))</f>
        <v>0</v>
      </c>
      <c r="W495">
        <f>IF($N495=0,0,IF(AND($F495&lt;=EOMONTH(DATE(PlanYear,9,1),0),IF(ISNUMBER($G495),$G495,$F495)&gt;=DATE(PlanYear,9,1)),1,0))</f>
        <v>0</v>
      </c>
      <c r="X495">
        <f>IF($N495=0,0,IF(AND($F495&lt;=EOMONTH(DATE(PlanYear,10,1),0),IF(ISNUMBER($G495),$G495,$F495)&gt;=DATE(PlanYear,10,1)),1,0))</f>
        <v>0</v>
      </c>
      <c r="Y495">
        <f>IF($N495=0,0,IF(AND($F495&lt;=EOMONTH(DATE(PlanYear,11,1),0),IF(ISNUMBER($G495),$G495,$F495)&gt;=DATE(PlanYear,11,1)),1,0))</f>
        <v>0</v>
      </c>
      <c r="Z495">
        <f>IF($N495=0,0,IF(AND($F495&lt;=EOMONTH(DATE(PlanYear,12,1),0),IF(ISNUMBER($G495),$G495,$F495)&gt;=DATE(PlanYear,12,1)),1,0))</f>
        <v>0</v>
      </c>
      <c r="AA495">
        <f>SUM($O495:$Z495)</f>
        <v>0</v>
      </c>
    </row>
    <row r="496" spans="1:27">
      <c r="A496" s="42">
        <f>IF($B496="","","ACT-"&amp;TEXT(ROW()-4,"000"))</f>
        <v>0</v>
      </c>
      <c r="M496" s="43">
        <f>IF(COUNTA($B496:$K496)=0,"",IF($B496="","Missing activity name",IF($C496="","Missing practice",IF(COUNTIF(PracticeNames,$C496)=0,"Practice not in Lists",IF($D496="","Missing motion",IF(NOT(ISNUMBER($F496)),"Missing or invalid start date",IF(AND(ISNUMBER($G496),$G496&lt;$F496),"End date before start",IF(AND($N496=1,$AA496=0),"Outside planning year","OK"))))))))</f>
        <v>0</v>
      </c>
      <c r="N496">
        <f>IF(AND($B496&lt;&gt;"",$C496&lt;&gt;"",$D496&lt;&gt;"",ISNUMBER($F496),COUNTIF(PracticeNames,$C496)&gt;0,COUNTIF(MotionNames,$D496)&gt;0,NOT(AND(ISNUMBER($G496),$G496&lt;$F496))),IF(StatusFilter="All (excl. Cancelled)",IF($H496="Cancelled",0,1),IF(StatusFilter="All",1,IF($H496=StatusFilter,1,0))),0)</f>
        <v>0</v>
      </c>
      <c r="O496">
        <f>IF($N496=0,0,IF(AND($F496&lt;=EOMONTH(DATE(PlanYear,1,1),0),IF(ISNUMBER($G496),$G496,$F496)&gt;=DATE(PlanYear,1,1)),1,0))</f>
        <v>0</v>
      </c>
      <c r="P496">
        <f>IF($N496=0,0,IF(AND($F496&lt;=EOMONTH(DATE(PlanYear,2,1),0),IF(ISNUMBER($G496),$G496,$F496)&gt;=DATE(PlanYear,2,1)),1,0))</f>
        <v>0</v>
      </c>
      <c r="Q496">
        <f>IF($N496=0,0,IF(AND($F496&lt;=EOMONTH(DATE(PlanYear,3,1),0),IF(ISNUMBER($G496),$G496,$F496)&gt;=DATE(PlanYear,3,1)),1,0))</f>
        <v>0</v>
      </c>
      <c r="R496">
        <f>IF($N496=0,0,IF(AND($F496&lt;=EOMONTH(DATE(PlanYear,4,1),0),IF(ISNUMBER($G496),$G496,$F496)&gt;=DATE(PlanYear,4,1)),1,0))</f>
        <v>0</v>
      </c>
      <c r="S496">
        <f>IF($N496=0,0,IF(AND($F496&lt;=EOMONTH(DATE(PlanYear,5,1),0),IF(ISNUMBER($G496),$G496,$F496)&gt;=DATE(PlanYear,5,1)),1,0))</f>
        <v>0</v>
      </c>
      <c r="T496">
        <f>IF($N496=0,0,IF(AND($F496&lt;=EOMONTH(DATE(PlanYear,6,1),0),IF(ISNUMBER($G496),$G496,$F496)&gt;=DATE(PlanYear,6,1)),1,0))</f>
        <v>0</v>
      </c>
      <c r="U496">
        <f>IF($N496=0,0,IF(AND($F496&lt;=EOMONTH(DATE(PlanYear,7,1),0),IF(ISNUMBER($G496),$G496,$F496)&gt;=DATE(PlanYear,7,1)),1,0))</f>
        <v>0</v>
      </c>
      <c r="V496">
        <f>IF($N496=0,0,IF(AND($F496&lt;=EOMONTH(DATE(PlanYear,8,1),0),IF(ISNUMBER($G496),$G496,$F496)&gt;=DATE(PlanYear,8,1)),1,0))</f>
        <v>0</v>
      </c>
      <c r="W496">
        <f>IF($N496=0,0,IF(AND($F496&lt;=EOMONTH(DATE(PlanYear,9,1),0),IF(ISNUMBER($G496),$G496,$F496)&gt;=DATE(PlanYear,9,1)),1,0))</f>
        <v>0</v>
      </c>
      <c r="X496">
        <f>IF($N496=0,0,IF(AND($F496&lt;=EOMONTH(DATE(PlanYear,10,1),0),IF(ISNUMBER($G496),$G496,$F496)&gt;=DATE(PlanYear,10,1)),1,0))</f>
        <v>0</v>
      </c>
      <c r="Y496">
        <f>IF($N496=0,0,IF(AND($F496&lt;=EOMONTH(DATE(PlanYear,11,1),0),IF(ISNUMBER($G496),$G496,$F496)&gt;=DATE(PlanYear,11,1)),1,0))</f>
        <v>0</v>
      </c>
      <c r="Z496">
        <f>IF($N496=0,0,IF(AND($F496&lt;=EOMONTH(DATE(PlanYear,12,1),0),IF(ISNUMBER($G496),$G496,$F496)&gt;=DATE(PlanYear,12,1)),1,0))</f>
        <v>0</v>
      </c>
      <c r="AA496">
        <f>SUM($O496:$Z496)</f>
        <v>0</v>
      </c>
    </row>
    <row r="497" spans="1:27">
      <c r="A497" s="42">
        <f>IF($B497="","","ACT-"&amp;TEXT(ROW()-4,"000"))</f>
        <v>0</v>
      </c>
      <c r="M497" s="43">
        <f>IF(COUNTA($B497:$K497)=0,"",IF($B497="","Missing activity name",IF($C497="","Missing practice",IF(COUNTIF(PracticeNames,$C497)=0,"Practice not in Lists",IF($D497="","Missing motion",IF(NOT(ISNUMBER($F497)),"Missing or invalid start date",IF(AND(ISNUMBER($G497),$G497&lt;$F497),"End date before start",IF(AND($N497=1,$AA497=0),"Outside planning year","OK"))))))))</f>
        <v>0</v>
      </c>
      <c r="N497">
        <f>IF(AND($B497&lt;&gt;"",$C497&lt;&gt;"",$D497&lt;&gt;"",ISNUMBER($F497),COUNTIF(PracticeNames,$C497)&gt;0,COUNTIF(MotionNames,$D497)&gt;0,NOT(AND(ISNUMBER($G497),$G497&lt;$F497))),IF(StatusFilter="All (excl. Cancelled)",IF($H497="Cancelled",0,1),IF(StatusFilter="All",1,IF($H497=StatusFilter,1,0))),0)</f>
        <v>0</v>
      </c>
      <c r="O497">
        <f>IF($N497=0,0,IF(AND($F497&lt;=EOMONTH(DATE(PlanYear,1,1),0),IF(ISNUMBER($G497),$G497,$F497)&gt;=DATE(PlanYear,1,1)),1,0))</f>
        <v>0</v>
      </c>
      <c r="P497">
        <f>IF($N497=0,0,IF(AND($F497&lt;=EOMONTH(DATE(PlanYear,2,1),0),IF(ISNUMBER($G497),$G497,$F497)&gt;=DATE(PlanYear,2,1)),1,0))</f>
        <v>0</v>
      </c>
      <c r="Q497">
        <f>IF($N497=0,0,IF(AND($F497&lt;=EOMONTH(DATE(PlanYear,3,1),0),IF(ISNUMBER($G497),$G497,$F497)&gt;=DATE(PlanYear,3,1)),1,0))</f>
        <v>0</v>
      </c>
      <c r="R497">
        <f>IF($N497=0,0,IF(AND($F497&lt;=EOMONTH(DATE(PlanYear,4,1),0),IF(ISNUMBER($G497),$G497,$F497)&gt;=DATE(PlanYear,4,1)),1,0))</f>
        <v>0</v>
      </c>
      <c r="S497">
        <f>IF($N497=0,0,IF(AND($F497&lt;=EOMONTH(DATE(PlanYear,5,1),0),IF(ISNUMBER($G497),$G497,$F497)&gt;=DATE(PlanYear,5,1)),1,0))</f>
        <v>0</v>
      </c>
      <c r="T497">
        <f>IF($N497=0,0,IF(AND($F497&lt;=EOMONTH(DATE(PlanYear,6,1),0),IF(ISNUMBER($G497),$G497,$F497)&gt;=DATE(PlanYear,6,1)),1,0))</f>
        <v>0</v>
      </c>
      <c r="U497">
        <f>IF($N497=0,0,IF(AND($F497&lt;=EOMONTH(DATE(PlanYear,7,1),0),IF(ISNUMBER($G497),$G497,$F497)&gt;=DATE(PlanYear,7,1)),1,0))</f>
        <v>0</v>
      </c>
      <c r="V497">
        <f>IF($N497=0,0,IF(AND($F497&lt;=EOMONTH(DATE(PlanYear,8,1),0),IF(ISNUMBER($G497),$G497,$F497)&gt;=DATE(PlanYear,8,1)),1,0))</f>
        <v>0</v>
      </c>
      <c r="W497">
        <f>IF($N497=0,0,IF(AND($F497&lt;=EOMONTH(DATE(PlanYear,9,1),0),IF(ISNUMBER($G497),$G497,$F497)&gt;=DATE(PlanYear,9,1)),1,0))</f>
        <v>0</v>
      </c>
      <c r="X497">
        <f>IF($N497=0,0,IF(AND($F497&lt;=EOMONTH(DATE(PlanYear,10,1),0),IF(ISNUMBER($G497),$G497,$F497)&gt;=DATE(PlanYear,10,1)),1,0))</f>
        <v>0</v>
      </c>
      <c r="Y497">
        <f>IF($N497=0,0,IF(AND($F497&lt;=EOMONTH(DATE(PlanYear,11,1),0),IF(ISNUMBER($G497),$G497,$F497)&gt;=DATE(PlanYear,11,1)),1,0))</f>
        <v>0</v>
      </c>
      <c r="Z497">
        <f>IF($N497=0,0,IF(AND($F497&lt;=EOMONTH(DATE(PlanYear,12,1),0),IF(ISNUMBER($G497),$G497,$F497)&gt;=DATE(PlanYear,12,1)),1,0))</f>
        <v>0</v>
      </c>
      <c r="AA497">
        <f>SUM($O497:$Z497)</f>
        <v>0</v>
      </c>
    </row>
    <row r="498" spans="1:27">
      <c r="A498" s="42">
        <f>IF($B498="","","ACT-"&amp;TEXT(ROW()-4,"000"))</f>
        <v>0</v>
      </c>
      <c r="M498" s="43">
        <f>IF(COUNTA($B498:$K498)=0,"",IF($B498="","Missing activity name",IF($C498="","Missing practice",IF(COUNTIF(PracticeNames,$C498)=0,"Practice not in Lists",IF($D498="","Missing motion",IF(NOT(ISNUMBER($F498)),"Missing or invalid start date",IF(AND(ISNUMBER($G498),$G498&lt;$F498),"End date before start",IF(AND($N498=1,$AA498=0),"Outside planning year","OK"))))))))</f>
        <v>0</v>
      </c>
      <c r="N498">
        <f>IF(AND($B498&lt;&gt;"",$C498&lt;&gt;"",$D498&lt;&gt;"",ISNUMBER($F498),COUNTIF(PracticeNames,$C498)&gt;0,COUNTIF(MotionNames,$D498)&gt;0,NOT(AND(ISNUMBER($G498),$G498&lt;$F498))),IF(StatusFilter="All (excl. Cancelled)",IF($H498="Cancelled",0,1),IF(StatusFilter="All",1,IF($H498=StatusFilter,1,0))),0)</f>
        <v>0</v>
      </c>
      <c r="O498">
        <f>IF($N498=0,0,IF(AND($F498&lt;=EOMONTH(DATE(PlanYear,1,1),0),IF(ISNUMBER($G498),$G498,$F498)&gt;=DATE(PlanYear,1,1)),1,0))</f>
        <v>0</v>
      </c>
      <c r="P498">
        <f>IF($N498=0,0,IF(AND($F498&lt;=EOMONTH(DATE(PlanYear,2,1),0),IF(ISNUMBER($G498),$G498,$F498)&gt;=DATE(PlanYear,2,1)),1,0))</f>
        <v>0</v>
      </c>
      <c r="Q498">
        <f>IF($N498=0,0,IF(AND($F498&lt;=EOMONTH(DATE(PlanYear,3,1),0),IF(ISNUMBER($G498),$G498,$F498)&gt;=DATE(PlanYear,3,1)),1,0))</f>
        <v>0</v>
      </c>
      <c r="R498">
        <f>IF($N498=0,0,IF(AND($F498&lt;=EOMONTH(DATE(PlanYear,4,1),0),IF(ISNUMBER($G498),$G498,$F498)&gt;=DATE(PlanYear,4,1)),1,0))</f>
        <v>0</v>
      </c>
      <c r="S498">
        <f>IF($N498=0,0,IF(AND($F498&lt;=EOMONTH(DATE(PlanYear,5,1),0),IF(ISNUMBER($G498),$G498,$F498)&gt;=DATE(PlanYear,5,1)),1,0))</f>
        <v>0</v>
      </c>
      <c r="T498">
        <f>IF($N498=0,0,IF(AND($F498&lt;=EOMONTH(DATE(PlanYear,6,1),0),IF(ISNUMBER($G498),$G498,$F498)&gt;=DATE(PlanYear,6,1)),1,0))</f>
        <v>0</v>
      </c>
      <c r="U498">
        <f>IF($N498=0,0,IF(AND($F498&lt;=EOMONTH(DATE(PlanYear,7,1),0),IF(ISNUMBER($G498),$G498,$F498)&gt;=DATE(PlanYear,7,1)),1,0))</f>
        <v>0</v>
      </c>
      <c r="V498">
        <f>IF($N498=0,0,IF(AND($F498&lt;=EOMONTH(DATE(PlanYear,8,1),0),IF(ISNUMBER($G498),$G498,$F498)&gt;=DATE(PlanYear,8,1)),1,0))</f>
        <v>0</v>
      </c>
      <c r="W498">
        <f>IF($N498=0,0,IF(AND($F498&lt;=EOMONTH(DATE(PlanYear,9,1),0),IF(ISNUMBER($G498),$G498,$F498)&gt;=DATE(PlanYear,9,1)),1,0))</f>
        <v>0</v>
      </c>
      <c r="X498">
        <f>IF($N498=0,0,IF(AND($F498&lt;=EOMONTH(DATE(PlanYear,10,1),0),IF(ISNUMBER($G498),$G498,$F498)&gt;=DATE(PlanYear,10,1)),1,0))</f>
        <v>0</v>
      </c>
      <c r="Y498">
        <f>IF($N498=0,0,IF(AND($F498&lt;=EOMONTH(DATE(PlanYear,11,1),0),IF(ISNUMBER($G498),$G498,$F498)&gt;=DATE(PlanYear,11,1)),1,0))</f>
        <v>0</v>
      </c>
      <c r="Z498">
        <f>IF($N498=0,0,IF(AND($F498&lt;=EOMONTH(DATE(PlanYear,12,1),0),IF(ISNUMBER($G498),$G498,$F498)&gt;=DATE(PlanYear,12,1)),1,0))</f>
        <v>0</v>
      </c>
      <c r="AA498">
        <f>SUM($O498:$Z498)</f>
        <v>0</v>
      </c>
    </row>
    <row r="499" spans="1:27">
      <c r="A499" s="42">
        <f>IF($B499="","","ACT-"&amp;TEXT(ROW()-4,"000"))</f>
        <v>0</v>
      </c>
      <c r="M499" s="43">
        <f>IF(COUNTA($B499:$K499)=0,"",IF($B499="","Missing activity name",IF($C499="","Missing practice",IF(COUNTIF(PracticeNames,$C499)=0,"Practice not in Lists",IF($D499="","Missing motion",IF(NOT(ISNUMBER($F499)),"Missing or invalid start date",IF(AND(ISNUMBER($G499),$G499&lt;$F499),"End date before start",IF(AND($N499=1,$AA499=0),"Outside planning year","OK"))))))))</f>
        <v>0</v>
      </c>
      <c r="N499">
        <f>IF(AND($B499&lt;&gt;"",$C499&lt;&gt;"",$D499&lt;&gt;"",ISNUMBER($F499),COUNTIF(PracticeNames,$C499)&gt;0,COUNTIF(MotionNames,$D499)&gt;0,NOT(AND(ISNUMBER($G499),$G499&lt;$F499))),IF(StatusFilter="All (excl. Cancelled)",IF($H499="Cancelled",0,1),IF(StatusFilter="All",1,IF($H499=StatusFilter,1,0))),0)</f>
        <v>0</v>
      </c>
      <c r="O499">
        <f>IF($N499=0,0,IF(AND($F499&lt;=EOMONTH(DATE(PlanYear,1,1),0),IF(ISNUMBER($G499),$G499,$F499)&gt;=DATE(PlanYear,1,1)),1,0))</f>
        <v>0</v>
      </c>
      <c r="P499">
        <f>IF($N499=0,0,IF(AND($F499&lt;=EOMONTH(DATE(PlanYear,2,1),0),IF(ISNUMBER($G499),$G499,$F499)&gt;=DATE(PlanYear,2,1)),1,0))</f>
        <v>0</v>
      </c>
      <c r="Q499">
        <f>IF($N499=0,0,IF(AND($F499&lt;=EOMONTH(DATE(PlanYear,3,1),0),IF(ISNUMBER($G499),$G499,$F499)&gt;=DATE(PlanYear,3,1)),1,0))</f>
        <v>0</v>
      </c>
      <c r="R499">
        <f>IF($N499=0,0,IF(AND($F499&lt;=EOMONTH(DATE(PlanYear,4,1),0),IF(ISNUMBER($G499),$G499,$F499)&gt;=DATE(PlanYear,4,1)),1,0))</f>
        <v>0</v>
      </c>
      <c r="S499">
        <f>IF($N499=0,0,IF(AND($F499&lt;=EOMONTH(DATE(PlanYear,5,1),0),IF(ISNUMBER($G499),$G499,$F499)&gt;=DATE(PlanYear,5,1)),1,0))</f>
        <v>0</v>
      </c>
      <c r="T499">
        <f>IF($N499=0,0,IF(AND($F499&lt;=EOMONTH(DATE(PlanYear,6,1),0),IF(ISNUMBER($G499),$G499,$F499)&gt;=DATE(PlanYear,6,1)),1,0))</f>
        <v>0</v>
      </c>
      <c r="U499">
        <f>IF($N499=0,0,IF(AND($F499&lt;=EOMONTH(DATE(PlanYear,7,1),0),IF(ISNUMBER($G499),$G499,$F499)&gt;=DATE(PlanYear,7,1)),1,0))</f>
        <v>0</v>
      </c>
      <c r="V499">
        <f>IF($N499=0,0,IF(AND($F499&lt;=EOMONTH(DATE(PlanYear,8,1),0),IF(ISNUMBER($G499),$G499,$F499)&gt;=DATE(PlanYear,8,1)),1,0))</f>
        <v>0</v>
      </c>
      <c r="W499">
        <f>IF($N499=0,0,IF(AND($F499&lt;=EOMONTH(DATE(PlanYear,9,1),0),IF(ISNUMBER($G499),$G499,$F499)&gt;=DATE(PlanYear,9,1)),1,0))</f>
        <v>0</v>
      </c>
      <c r="X499">
        <f>IF($N499=0,0,IF(AND($F499&lt;=EOMONTH(DATE(PlanYear,10,1),0),IF(ISNUMBER($G499),$G499,$F499)&gt;=DATE(PlanYear,10,1)),1,0))</f>
        <v>0</v>
      </c>
      <c r="Y499">
        <f>IF($N499=0,0,IF(AND($F499&lt;=EOMONTH(DATE(PlanYear,11,1),0),IF(ISNUMBER($G499),$G499,$F499)&gt;=DATE(PlanYear,11,1)),1,0))</f>
        <v>0</v>
      </c>
      <c r="Z499">
        <f>IF($N499=0,0,IF(AND($F499&lt;=EOMONTH(DATE(PlanYear,12,1),0),IF(ISNUMBER($G499),$G499,$F499)&gt;=DATE(PlanYear,12,1)),1,0))</f>
        <v>0</v>
      </c>
      <c r="AA499">
        <f>SUM($O499:$Z499)</f>
        <v>0</v>
      </c>
    </row>
    <row r="500" spans="1:27">
      <c r="A500" s="42">
        <f>IF($B500="","","ACT-"&amp;TEXT(ROW()-4,"000"))</f>
        <v>0</v>
      </c>
      <c r="M500" s="43">
        <f>IF(COUNTA($B500:$K500)=0,"",IF($B500="","Missing activity name",IF($C500="","Missing practice",IF(COUNTIF(PracticeNames,$C500)=0,"Practice not in Lists",IF($D500="","Missing motion",IF(NOT(ISNUMBER($F500)),"Missing or invalid start date",IF(AND(ISNUMBER($G500),$G500&lt;$F500),"End date before start",IF(AND($N500=1,$AA500=0),"Outside planning year","OK"))))))))</f>
        <v>0</v>
      </c>
      <c r="N500">
        <f>IF(AND($B500&lt;&gt;"",$C500&lt;&gt;"",$D500&lt;&gt;"",ISNUMBER($F500),COUNTIF(PracticeNames,$C500)&gt;0,COUNTIF(MotionNames,$D500)&gt;0,NOT(AND(ISNUMBER($G500),$G500&lt;$F500))),IF(StatusFilter="All (excl. Cancelled)",IF($H500="Cancelled",0,1),IF(StatusFilter="All",1,IF($H500=StatusFilter,1,0))),0)</f>
        <v>0</v>
      </c>
      <c r="O500">
        <f>IF($N500=0,0,IF(AND($F500&lt;=EOMONTH(DATE(PlanYear,1,1),0),IF(ISNUMBER($G500),$G500,$F500)&gt;=DATE(PlanYear,1,1)),1,0))</f>
        <v>0</v>
      </c>
      <c r="P500">
        <f>IF($N500=0,0,IF(AND($F500&lt;=EOMONTH(DATE(PlanYear,2,1),0),IF(ISNUMBER($G500),$G500,$F500)&gt;=DATE(PlanYear,2,1)),1,0))</f>
        <v>0</v>
      </c>
      <c r="Q500">
        <f>IF($N500=0,0,IF(AND($F500&lt;=EOMONTH(DATE(PlanYear,3,1),0),IF(ISNUMBER($G500),$G500,$F500)&gt;=DATE(PlanYear,3,1)),1,0))</f>
        <v>0</v>
      </c>
      <c r="R500">
        <f>IF($N500=0,0,IF(AND($F500&lt;=EOMONTH(DATE(PlanYear,4,1),0),IF(ISNUMBER($G500),$G500,$F500)&gt;=DATE(PlanYear,4,1)),1,0))</f>
        <v>0</v>
      </c>
      <c r="S500">
        <f>IF($N500=0,0,IF(AND($F500&lt;=EOMONTH(DATE(PlanYear,5,1),0),IF(ISNUMBER($G500),$G500,$F500)&gt;=DATE(PlanYear,5,1)),1,0))</f>
        <v>0</v>
      </c>
      <c r="T500">
        <f>IF($N500=0,0,IF(AND($F500&lt;=EOMONTH(DATE(PlanYear,6,1),0),IF(ISNUMBER($G500),$G500,$F500)&gt;=DATE(PlanYear,6,1)),1,0))</f>
        <v>0</v>
      </c>
      <c r="U500">
        <f>IF($N500=0,0,IF(AND($F500&lt;=EOMONTH(DATE(PlanYear,7,1),0),IF(ISNUMBER($G500),$G500,$F500)&gt;=DATE(PlanYear,7,1)),1,0))</f>
        <v>0</v>
      </c>
      <c r="V500">
        <f>IF($N500=0,0,IF(AND($F500&lt;=EOMONTH(DATE(PlanYear,8,1),0),IF(ISNUMBER($G500),$G500,$F500)&gt;=DATE(PlanYear,8,1)),1,0))</f>
        <v>0</v>
      </c>
      <c r="W500">
        <f>IF($N500=0,0,IF(AND($F500&lt;=EOMONTH(DATE(PlanYear,9,1),0),IF(ISNUMBER($G500),$G500,$F500)&gt;=DATE(PlanYear,9,1)),1,0))</f>
        <v>0</v>
      </c>
      <c r="X500">
        <f>IF($N500=0,0,IF(AND($F500&lt;=EOMONTH(DATE(PlanYear,10,1),0),IF(ISNUMBER($G500),$G500,$F500)&gt;=DATE(PlanYear,10,1)),1,0))</f>
        <v>0</v>
      </c>
      <c r="Y500">
        <f>IF($N500=0,0,IF(AND($F500&lt;=EOMONTH(DATE(PlanYear,11,1),0),IF(ISNUMBER($G500),$G500,$F500)&gt;=DATE(PlanYear,11,1)),1,0))</f>
        <v>0</v>
      </c>
      <c r="Z500">
        <f>IF($N500=0,0,IF(AND($F500&lt;=EOMONTH(DATE(PlanYear,12,1),0),IF(ISNUMBER($G500),$G500,$F500)&gt;=DATE(PlanYear,12,1)),1,0))</f>
        <v>0</v>
      </c>
      <c r="AA500">
        <f>SUM($O500:$Z500)</f>
        <v>0</v>
      </c>
    </row>
    <row r="501" spans="1:27">
      <c r="A501" s="42">
        <f>IF($B501="","","ACT-"&amp;TEXT(ROW()-4,"000"))</f>
        <v>0</v>
      </c>
      <c r="M501" s="43">
        <f>IF(COUNTA($B501:$K501)=0,"",IF($B501="","Missing activity name",IF($C501="","Missing practice",IF(COUNTIF(PracticeNames,$C501)=0,"Practice not in Lists",IF($D501="","Missing motion",IF(NOT(ISNUMBER($F501)),"Missing or invalid start date",IF(AND(ISNUMBER($G501),$G501&lt;$F501),"End date before start",IF(AND($N501=1,$AA501=0),"Outside planning year","OK"))))))))</f>
        <v>0</v>
      </c>
      <c r="N501">
        <f>IF(AND($B501&lt;&gt;"",$C501&lt;&gt;"",$D501&lt;&gt;"",ISNUMBER($F501),COUNTIF(PracticeNames,$C501)&gt;0,COUNTIF(MotionNames,$D501)&gt;0,NOT(AND(ISNUMBER($G501),$G501&lt;$F501))),IF(StatusFilter="All (excl. Cancelled)",IF($H501="Cancelled",0,1),IF(StatusFilter="All",1,IF($H501=StatusFilter,1,0))),0)</f>
        <v>0</v>
      </c>
      <c r="O501">
        <f>IF($N501=0,0,IF(AND($F501&lt;=EOMONTH(DATE(PlanYear,1,1),0),IF(ISNUMBER($G501),$G501,$F501)&gt;=DATE(PlanYear,1,1)),1,0))</f>
        <v>0</v>
      </c>
      <c r="P501">
        <f>IF($N501=0,0,IF(AND($F501&lt;=EOMONTH(DATE(PlanYear,2,1),0),IF(ISNUMBER($G501),$G501,$F501)&gt;=DATE(PlanYear,2,1)),1,0))</f>
        <v>0</v>
      </c>
      <c r="Q501">
        <f>IF($N501=0,0,IF(AND($F501&lt;=EOMONTH(DATE(PlanYear,3,1),0),IF(ISNUMBER($G501),$G501,$F501)&gt;=DATE(PlanYear,3,1)),1,0))</f>
        <v>0</v>
      </c>
      <c r="R501">
        <f>IF($N501=0,0,IF(AND($F501&lt;=EOMONTH(DATE(PlanYear,4,1),0),IF(ISNUMBER($G501),$G501,$F501)&gt;=DATE(PlanYear,4,1)),1,0))</f>
        <v>0</v>
      </c>
      <c r="S501">
        <f>IF($N501=0,0,IF(AND($F501&lt;=EOMONTH(DATE(PlanYear,5,1),0),IF(ISNUMBER($G501),$G501,$F501)&gt;=DATE(PlanYear,5,1)),1,0))</f>
        <v>0</v>
      </c>
      <c r="T501">
        <f>IF($N501=0,0,IF(AND($F501&lt;=EOMONTH(DATE(PlanYear,6,1),0),IF(ISNUMBER($G501),$G501,$F501)&gt;=DATE(PlanYear,6,1)),1,0))</f>
        <v>0</v>
      </c>
      <c r="U501">
        <f>IF($N501=0,0,IF(AND($F501&lt;=EOMONTH(DATE(PlanYear,7,1),0),IF(ISNUMBER($G501),$G501,$F501)&gt;=DATE(PlanYear,7,1)),1,0))</f>
        <v>0</v>
      </c>
      <c r="V501">
        <f>IF($N501=0,0,IF(AND($F501&lt;=EOMONTH(DATE(PlanYear,8,1),0),IF(ISNUMBER($G501),$G501,$F501)&gt;=DATE(PlanYear,8,1)),1,0))</f>
        <v>0</v>
      </c>
      <c r="W501">
        <f>IF($N501=0,0,IF(AND($F501&lt;=EOMONTH(DATE(PlanYear,9,1),0),IF(ISNUMBER($G501),$G501,$F501)&gt;=DATE(PlanYear,9,1)),1,0))</f>
        <v>0</v>
      </c>
      <c r="X501">
        <f>IF($N501=0,0,IF(AND($F501&lt;=EOMONTH(DATE(PlanYear,10,1),0),IF(ISNUMBER($G501),$G501,$F501)&gt;=DATE(PlanYear,10,1)),1,0))</f>
        <v>0</v>
      </c>
      <c r="Y501">
        <f>IF($N501=0,0,IF(AND($F501&lt;=EOMONTH(DATE(PlanYear,11,1),0),IF(ISNUMBER($G501),$G501,$F501)&gt;=DATE(PlanYear,11,1)),1,0))</f>
        <v>0</v>
      </c>
      <c r="Z501">
        <f>IF($N501=0,0,IF(AND($F501&lt;=EOMONTH(DATE(PlanYear,12,1),0),IF(ISNUMBER($G501),$G501,$F501)&gt;=DATE(PlanYear,12,1)),1,0))</f>
        <v>0</v>
      </c>
      <c r="AA501">
        <f>SUM($O501:$Z501)</f>
        <v>0</v>
      </c>
    </row>
    <row r="502" spans="1:27">
      <c r="A502" s="42">
        <f>IF($B502="","","ACT-"&amp;TEXT(ROW()-4,"000"))</f>
        <v>0</v>
      </c>
      <c r="M502" s="43">
        <f>IF(COUNTA($B502:$K502)=0,"",IF($B502="","Missing activity name",IF($C502="","Missing practice",IF(COUNTIF(PracticeNames,$C502)=0,"Practice not in Lists",IF($D502="","Missing motion",IF(NOT(ISNUMBER($F502)),"Missing or invalid start date",IF(AND(ISNUMBER($G502),$G502&lt;$F502),"End date before start",IF(AND($N502=1,$AA502=0),"Outside planning year","OK"))))))))</f>
        <v>0</v>
      </c>
      <c r="N502">
        <f>IF(AND($B502&lt;&gt;"",$C502&lt;&gt;"",$D502&lt;&gt;"",ISNUMBER($F502),COUNTIF(PracticeNames,$C502)&gt;0,COUNTIF(MotionNames,$D502)&gt;0,NOT(AND(ISNUMBER($G502),$G502&lt;$F502))),IF(StatusFilter="All (excl. Cancelled)",IF($H502="Cancelled",0,1),IF(StatusFilter="All",1,IF($H502=StatusFilter,1,0))),0)</f>
        <v>0</v>
      </c>
      <c r="O502">
        <f>IF($N502=0,0,IF(AND($F502&lt;=EOMONTH(DATE(PlanYear,1,1),0),IF(ISNUMBER($G502),$G502,$F502)&gt;=DATE(PlanYear,1,1)),1,0))</f>
        <v>0</v>
      </c>
      <c r="P502">
        <f>IF($N502=0,0,IF(AND($F502&lt;=EOMONTH(DATE(PlanYear,2,1),0),IF(ISNUMBER($G502),$G502,$F502)&gt;=DATE(PlanYear,2,1)),1,0))</f>
        <v>0</v>
      </c>
      <c r="Q502">
        <f>IF($N502=0,0,IF(AND($F502&lt;=EOMONTH(DATE(PlanYear,3,1),0),IF(ISNUMBER($G502),$G502,$F502)&gt;=DATE(PlanYear,3,1)),1,0))</f>
        <v>0</v>
      </c>
      <c r="R502">
        <f>IF($N502=0,0,IF(AND($F502&lt;=EOMONTH(DATE(PlanYear,4,1),0),IF(ISNUMBER($G502),$G502,$F502)&gt;=DATE(PlanYear,4,1)),1,0))</f>
        <v>0</v>
      </c>
      <c r="S502">
        <f>IF($N502=0,0,IF(AND($F502&lt;=EOMONTH(DATE(PlanYear,5,1),0),IF(ISNUMBER($G502),$G502,$F502)&gt;=DATE(PlanYear,5,1)),1,0))</f>
        <v>0</v>
      </c>
      <c r="T502">
        <f>IF($N502=0,0,IF(AND($F502&lt;=EOMONTH(DATE(PlanYear,6,1),0),IF(ISNUMBER($G502),$G502,$F502)&gt;=DATE(PlanYear,6,1)),1,0))</f>
        <v>0</v>
      </c>
      <c r="U502">
        <f>IF($N502=0,0,IF(AND($F502&lt;=EOMONTH(DATE(PlanYear,7,1),0),IF(ISNUMBER($G502),$G502,$F502)&gt;=DATE(PlanYear,7,1)),1,0))</f>
        <v>0</v>
      </c>
      <c r="V502">
        <f>IF($N502=0,0,IF(AND($F502&lt;=EOMONTH(DATE(PlanYear,8,1),0),IF(ISNUMBER($G502),$G502,$F502)&gt;=DATE(PlanYear,8,1)),1,0))</f>
        <v>0</v>
      </c>
      <c r="W502">
        <f>IF($N502=0,0,IF(AND($F502&lt;=EOMONTH(DATE(PlanYear,9,1),0),IF(ISNUMBER($G502),$G502,$F502)&gt;=DATE(PlanYear,9,1)),1,0))</f>
        <v>0</v>
      </c>
      <c r="X502">
        <f>IF($N502=0,0,IF(AND($F502&lt;=EOMONTH(DATE(PlanYear,10,1),0),IF(ISNUMBER($G502),$G502,$F502)&gt;=DATE(PlanYear,10,1)),1,0))</f>
        <v>0</v>
      </c>
      <c r="Y502">
        <f>IF($N502=0,0,IF(AND($F502&lt;=EOMONTH(DATE(PlanYear,11,1),0),IF(ISNUMBER($G502),$G502,$F502)&gt;=DATE(PlanYear,11,1)),1,0))</f>
        <v>0</v>
      </c>
      <c r="Z502">
        <f>IF($N502=0,0,IF(AND($F502&lt;=EOMONTH(DATE(PlanYear,12,1),0),IF(ISNUMBER($G502),$G502,$F502)&gt;=DATE(PlanYear,12,1)),1,0))</f>
        <v>0</v>
      </c>
      <c r="AA502">
        <f>SUM($O502:$Z502)</f>
        <v>0</v>
      </c>
    </row>
    <row r="503" spans="1:27">
      <c r="A503" s="42">
        <f>IF($B503="","","ACT-"&amp;TEXT(ROW()-4,"000"))</f>
        <v>0</v>
      </c>
      <c r="M503" s="43">
        <f>IF(COUNTA($B503:$K503)=0,"",IF($B503="","Missing activity name",IF($C503="","Missing practice",IF(COUNTIF(PracticeNames,$C503)=0,"Practice not in Lists",IF($D503="","Missing motion",IF(NOT(ISNUMBER($F503)),"Missing or invalid start date",IF(AND(ISNUMBER($G503),$G503&lt;$F503),"End date before start",IF(AND($N503=1,$AA503=0),"Outside planning year","OK"))))))))</f>
        <v>0</v>
      </c>
      <c r="N503">
        <f>IF(AND($B503&lt;&gt;"",$C503&lt;&gt;"",$D503&lt;&gt;"",ISNUMBER($F503),COUNTIF(PracticeNames,$C503)&gt;0,COUNTIF(MotionNames,$D503)&gt;0,NOT(AND(ISNUMBER($G503),$G503&lt;$F503))),IF(StatusFilter="All (excl. Cancelled)",IF($H503="Cancelled",0,1),IF(StatusFilter="All",1,IF($H503=StatusFilter,1,0))),0)</f>
        <v>0</v>
      </c>
      <c r="O503">
        <f>IF($N503=0,0,IF(AND($F503&lt;=EOMONTH(DATE(PlanYear,1,1),0),IF(ISNUMBER($G503),$G503,$F503)&gt;=DATE(PlanYear,1,1)),1,0))</f>
        <v>0</v>
      </c>
      <c r="P503">
        <f>IF($N503=0,0,IF(AND($F503&lt;=EOMONTH(DATE(PlanYear,2,1),0),IF(ISNUMBER($G503),$G503,$F503)&gt;=DATE(PlanYear,2,1)),1,0))</f>
        <v>0</v>
      </c>
      <c r="Q503">
        <f>IF($N503=0,0,IF(AND($F503&lt;=EOMONTH(DATE(PlanYear,3,1),0),IF(ISNUMBER($G503),$G503,$F503)&gt;=DATE(PlanYear,3,1)),1,0))</f>
        <v>0</v>
      </c>
      <c r="R503">
        <f>IF($N503=0,0,IF(AND($F503&lt;=EOMONTH(DATE(PlanYear,4,1),0),IF(ISNUMBER($G503),$G503,$F503)&gt;=DATE(PlanYear,4,1)),1,0))</f>
        <v>0</v>
      </c>
      <c r="S503">
        <f>IF($N503=0,0,IF(AND($F503&lt;=EOMONTH(DATE(PlanYear,5,1),0),IF(ISNUMBER($G503),$G503,$F503)&gt;=DATE(PlanYear,5,1)),1,0))</f>
        <v>0</v>
      </c>
      <c r="T503">
        <f>IF($N503=0,0,IF(AND($F503&lt;=EOMONTH(DATE(PlanYear,6,1),0),IF(ISNUMBER($G503),$G503,$F503)&gt;=DATE(PlanYear,6,1)),1,0))</f>
        <v>0</v>
      </c>
      <c r="U503">
        <f>IF($N503=0,0,IF(AND($F503&lt;=EOMONTH(DATE(PlanYear,7,1),0),IF(ISNUMBER($G503),$G503,$F503)&gt;=DATE(PlanYear,7,1)),1,0))</f>
        <v>0</v>
      </c>
      <c r="V503">
        <f>IF($N503=0,0,IF(AND($F503&lt;=EOMONTH(DATE(PlanYear,8,1),0),IF(ISNUMBER($G503),$G503,$F503)&gt;=DATE(PlanYear,8,1)),1,0))</f>
        <v>0</v>
      </c>
      <c r="W503">
        <f>IF($N503=0,0,IF(AND($F503&lt;=EOMONTH(DATE(PlanYear,9,1),0),IF(ISNUMBER($G503),$G503,$F503)&gt;=DATE(PlanYear,9,1)),1,0))</f>
        <v>0</v>
      </c>
      <c r="X503">
        <f>IF($N503=0,0,IF(AND($F503&lt;=EOMONTH(DATE(PlanYear,10,1),0),IF(ISNUMBER($G503),$G503,$F503)&gt;=DATE(PlanYear,10,1)),1,0))</f>
        <v>0</v>
      </c>
      <c r="Y503">
        <f>IF($N503=0,0,IF(AND($F503&lt;=EOMONTH(DATE(PlanYear,11,1),0),IF(ISNUMBER($G503),$G503,$F503)&gt;=DATE(PlanYear,11,1)),1,0))</f>
        <v>0</v>
      </c>
      <c r="Z503">
        <f>IF($N503=0,0,IF(AND($F503&lt;=EOMONTH(DATE(PlanYear,12,1),0),IF(ISNUMBER($G503),$G503,$F503)&gt;=DATE(PlanYear,12,1)),1,0))</f>
        <v>0</v>
      </c>
      <c r="AA503">
        <f>SUM($O503:$Z503)</f>
        <v>0</v>
      </c>
    </row>
    <row r="504" spans="1:27">
      <c r="A504" s="42">
        <f>IF($B504="","","ACT-"&amp;TEXT(ROW()-4,"000"))</f>
        <v>0</v>
      </c>
      <c r="M504" s="43">
        <f>IF(COUNTA($B504:$K504)=0,"",IF($B504="","Missing activity name",IF($C504="","Missing practice",IF(COUNTIF(PracticeNames,$C504)=0,"Practice not in Lists",IF($D504="","Missing motion",IF(NOT(ISNUMBER($F504)),"Missing or invalid start date",IF(AND(ISNUMBER($G504),$G504&lt;$F504),"End date before start",IF(AND($N504=1,$AA504=0),"Outside planning year","OK"))))))))</f>
        <v>0</v>
      </c>
      <c r="N504">
        <f>IF(AND($B504&lt;&gt;"",$C504&lt;&gt;"",$D504&lt;&gt;"",ISNUMBER($F504),COUNTIF(PracticeNames,$C504)&gt;0,COUNTIF(MotionNames,$D504)&gt;0,NOT(AND(ISNUMBER($G504),$G504&lt;$F504))),IF(StatusFilter="All (excl. Cancelled)",IF($H504="Cancelled",0,1),IF(StatusFilter="All",1,IF($H504=StatusFilter,1,0))),0)</f>
        <v>0</v>
      </c>
      <c r="O504">
        <f>IF($N504=0,0,IF(AND($F504&lt;=EOMONTH(DATE(PlanYear,1,1),0),IF(ISNUMBER($G504),$G504,$F504)&gt;=DATE(PlanYear,1,1)),1,0))</f>
        <v>0</v>
      </c>
      <c r="P504">
        <f>IF($N504=0,0,IF(AND($F504&lt;=EOMONTH(DATE(PlanYear,2,1),0),IF(ISNUMBER($G504),$G504,$F504)&gt;=DATE(PlanYear,2,1)),1,0))</f>
        <v>0</v>
      </c>
      <c r="Q504">
        <f>IF($N504=0,0,IF(AND($F504&lt;=EOMONTH(DATE(PlanYear,3,1),0),IF(ISNUMBER($G504),$G504,$F504)&gt;=DATE(PlanYear,3,1)),1,0))</f>
        <v>0</v>
      </c>
      <c r="R504">
        <f>IF($N504=0,0,IF(AND($F504&lt;=EOMONTH(DATE(PlanYear,4,1),0),IF(ISNUMBER($G504),$G504,$F504)&gt;=DATE(PlanYear,4,1)),1,0))</f>
        <v>0</v>
      </c>
      <c r="S504">
        <f>IF($N504=0,0,IF(AND($F504&lt;=EOMONTH(DATE(PlanYear,5,1),0),IF(ISNUMBER($G504),$G504,$F504)&gt;=DATE(PlanYear,5,1)),1,0))</f>
        <v>0</v>
      </c>
      <c r="T504">
        <f>IF($N504=0,0,IF(AND($F504&lt;=EOMONTH(DATE(PlanYear,6,1),0),IF(ISNUMBER($G504),$G504,$F504)&gt;=DATE(PlanYear,6,1)),1,0))</f>
        <v>0</v>
      </c>
      <c r="U504">
        <f>IF($N504=0,0,IF(AND($F504&lt;=EOMONTH(DATE(PlanYear,7,1),0),IF(ISNUMBER($G504),$G504,$F504)&gt;=DATE(PlanYear,7,1)),1,0))</f>
        <v>0</v>
      </c>
      <c r="V504">
        <f>IF($N504=0,0,IF(AND($F504&lt;=EOMONTH(DATE(PlanYear,8,1),0),IF(ISNUMBER($G504),$G504,$F504)&gt;=DATE(PlanYear,8,1)),1,0))</f>
        <v>0</v>
      </c>
      <c r="W504">
        <f>IF($N504=0,0,IF(AND($F504&lt;=EOMONTH(DATE(PlanYear,9,1),0),IF(ISNUMBER($G504),$G504,$F504)&gt;=DATE(PlanYear,9,1)),1,0))</f>
        <v>0</v>
      </c>
      <c r="X504">
        <f>IF($N504=0,0,IF(AND($F504&lt;=EOMONTH(DATE(PlanYear,10,1),0),IF(ISNUMBER($G504),$G504,$F504)&gt;=DATE(PlanYear,10,1)),1,0))</f>
        <v>0</v>
      </c>
      <c r="Y504">
        <f>IF($N504=0,0,IF(AND($F504&lt;=EOMONTH(DATE(PlanYear,11,1),0),IF(ISNUMBER($G504),$G504,$F504)&gt;=DATE(PlanYear,11,1)),1,0))</f>
        <v>0</v>
      </c>
      <c r="Z504">
        <f>IF($N504=0,0,IF(AND($F504&lt;=EOMONTH(DATE(PlanYear,12,1),0),IF(ISNUMBER($G504),$G504,$F504)&gt;=DATE(PlanYear,12,1)),1,0))</f>
        <v>0</v>
      </c>
      <c r="AA504">
        <f>SUM($O504:$Z504)</f>
        <v>0</v>
      </c>
    </row>
    <row r="505" spans="1:27">
      <c r="A505" s="42">
        <f>IF($B505="","","ACT-"&amp;TEXT(ROW()-4,"000"))</f>
        <v>0</v>
      </c>
      <c r="M505" s="43">
        <f>IF(COUNTA($B505:$K505)=0,"",IF($B505="","Missing activity name",IF($C505="","Missing practice",IF(COUNTIF(PracticeNames,$C505)=0,"Practice not in Lists",IF($D505="","Missing motion",IF(NOT(ISNUMBER($F505)),"Missing or invalid start date",IF(AND(ISNUMBER($G505),$G505&lt;$F505),"End date before start",IF(AND($N505=1,$AA505=0),"Outside planning year","OK"))))))))</f>
        <v>0</v>
      </c>
      <c r="N505">
        <f>IF(AND($B505&lt;&gt;"",$C505&lt;&gt;"",$D505&lt;&gt;"",ISNUMBER($F505),COUNTIF(PracticeNames,$C505)&gt;0,COUNTIF(MotionNames,$D505)&gt;0,NOT(AND(ISNUMBER($G505),$G505&lt;$F505))),IF(StatusFilter="All (excl. Cancelled)",IF($H505="Cancelled",0,1),IF(StatusFilter="All",1,IF($H505=StatusFilter,1,0))),0)</f>
        <v>0</v>
      </c>
      <c r="O505">
        <f>IF($N505=0,0,IF(AND($F505&lt;=EOMONTH(DATE(PlanYear,1,1),0),IF(ISNUMBER($G505),$G505,$F505)&gt;=DATE(PlanYear,1,1)),1,0))</f>
        <v>0</v>
      </c>
      <c r="P505">
        <f>IF($N505=0,0,IF(AND($F505&lt;=EOMONTH(DATE(PlanYear,2,1),0),IF(ISNUMBER($G505),$G505,$F505)&gt;=DATE(PlanYear,2,1)),1,0))</f>
        <v>0</v>
      </c>
      <c r="Q505">
        <f>IF($N505=0,0,IF(AND($F505&lt;=EOMONTH(DATE(PlanYear,3,1),0),IF(ISNUMBER($G505),$G505,$F505)&gt;=DATE(PlanYear,3,1)),1,0))</f>
        <v>0</v>
      </c>
      <c r="R505">
        <f>IF($N505=0,0,IF(AND($F505&lt;=EOMONTH(DATE(PlanYear,4,1),0),IF(ISNUMBER($G505),$G505,$F505)&gt;=DATE(PlanYear,4,1)),1,0))</f>
        <v>0</v>
      </c>
      <c r="S505">
        <f>IF($N505=0,0,IF(AND($F505&lt;=EOMONTH(DATE(PlanYear,5,1),0),IF(ISNUMBER($G505),$G505,$F505)&gt;=DATE(PlanYear,5,1)),1,0))</f>
        <v>0</v>
      </c>
      <c r="T505">
        <f>IF($N505=0,0,IF(AND($F505&lt;=EOMONTH(DATE(PlanYear,6,1),0),IF(ISNUMBER($G505),$G505,$F505)&gt;=DATE(PlanYear,6,1)),1,0))</f>
        <v>0</v>
      </c>
      <c r="U505">
        <f>IF($N505=0,0,IF(AND($F505&lt;=EOMONTH(DATE(PlanYear,7,1),0),IF(ISNUMBER($G505),$G505,$F505)&gt;=DATE(PlanYear,7,1)),1,0))</f>
        <v>0</v>
      </c>
      <c r="V505">
        <f>IF($N505=0,0,IF(AND($F505&lt;=EOMONTH(DATE(PlanYear,8,1),0),IF(ISNUMBER($G505),$G505,$F505)&gt;=DATE(PlanYear,8,1)),1,0))</f>
        <v>0</v>
      </c>
      <c r="W505">
        <f>IF($N505=0,0,IF(AND($F505&lt;=EOMONTH(DATE(PlanYear,9,1),0),IF(ISNUMBER($G505),$G505,$F505)&gt;=DATE(PlanYear,9,1)),1,0))</f>
        <v>0</v>
      </c>
      <c r="X505">
        <f>IF($N505=0,0,IF(AND($F505&lt;=EOMONTH(DATE(PlanYear,10,1),0),IF(ISNUMBER($G505),$G505,$F505)&gt;=DATE(PlanYear,10,1)),1,0))</f>
        <v>0</v>
      </c>
      <c r="Y505">
        <f>IF($N505=0,0,IF(AND($F505&lt;=EOMONTH(DATE(PlanYear,11,1),0),IF(ISNUMBER($G505),$G505,$F505)&gt;=DATE(PlanYear,11,1)),1,0))</f>
        <v>0</v>
      </c>
      <c r="Z505">
        <f>IF($N505=0,0,IF(AND($F505&lt;=EOMONTH(DATE(PlanYear,12,1),0),IF(ISNUMBER($G505),$G505,$F505)&gt;=DATE(PlanYear,12,1)),1,0))</f>
        <v>0</v>
      </c>
      <c r="AA505">
        <f>SUM($O505:$Z505)</f>
        <v>0</v>
      </c>
    </row>
    <row r="506" spans="1:27">
      <c r="A506" s="42">
        <f>IF($B506="","","ACT-"&amp;TEXT(ROW()-4,"000"))</f>
        <v>0</v>
      </c>
      <c r="M506" s="43">
        <f>IF(COUNTA($B506:$K506)=0,"",IF($B506="","Missing activity name",IF($C506="","Missing practice",IF(COUNTIF(PracticeNames,$C506)=0,"Practice not in Lists",IF($D506="","Missing motion",IF(NOT(ISNUMBER($F506)),"Missing or invalid start date",IF(AND(ISNUMBER($G506),$G506&lt;$F506),"End date before start",IF(AND($N506=1,$AA506=0),"Outside planning year","OK"))))))))</f>
        <v>0</v>
      </c>
      <c r="N506">
        <f>IF(AND($B506&lt;&gt;"",$C506&lt;&gt;"",$D506&lt;&gt;"",ISNUMBER($F506),COUNTIF(PracticeNames,$C506)&gt;0,COUNTIF(MotionNames,$D506)&gt;0,NOT(AND(ISNUMBER($G506),$G506&lt;$F506))),IF(StatusFilter="All (excl. Cancelled)",IF($H506="Cancelled",0,1),IF(StatusFilter="All",1,IF($H506=StatusFilter,1,0))),0)</f>
        <v>0</v>
      </c>
      <c r="O506">
        <f>IF($N506=0,0,IF(AND($F506&lt;=EOMONTH(DATE(PlanYear,1,1),0),IF(ISNUMBER($G506),$G506,$F506)&gt;=DATE(PlanYear,1,1)),1,0))</f>
        <v>0</v>
      </c>
      <c r="P506">
        <f>IF($N506=0,0,IF(AND($F506&lt;=EOMONTH(DATE(PlanYear,2,1),0),IF(ISNUMBER($G506),$G506,$F506)&gt;=DATE(PlanYear,2,1)),1,0))</f>
        <v>0</v>
      </c>
      <c r="Q506">
        <f>IF($N506=0,0,IF(AND($F506&lt;=EOMONTH(DATE(PlanYear,3,1),0),IF(ISNUMBER($G506),$G506,$F506)&gt;=DATE(PlanYear,3,1)),1,0))</f>
        <v>0</v>
      </c>
      <c r="R506">
        <f>IF($N506=0,0,IF(AND($F506&lt;=EOMONTH(DATE(PlanYear,4,1),0),IF(ISNUMBER($G506),$G506,$F506)&gt;=DATE(PlanYear,4,1)),1,0))</f>
        <v>0</v>
      </c>
      <c r="S506">
        <f>IF($N506=0,0,IF(AND($F506&lt;=EOMONTH(DATE(PlanYear,5,1),0),IF(ISNUMBER($G506),$G506,$F506)&gt;=DATE(PlanYear,5,1)),1,0))</f>
        <v>0</v>
      </c>
      <c r="T506">
        <f>IF($N506=0,0,IF(AND($F506&lt;=EOMONTH(DATE(PlanYear,6,1),0),IF(ISNUMBER($G506),$G506,$F506)&gt;=DATE(PlanYear,6,1)),1,0))</f>
        <v>0</v>
      </c>
      <c r="U506">
        <f>IF($N506=0,0,IF(AND($F506&lt;=EOMONTH(DATE(PlanYear,7,1),0),IF(ISNUMBER($G506),$G506,$F506)&gt;=DATE(PlanYear,7,1)),1,0))</f>
        <v>0</v>
      </c>
      <c r="V506">
        <f>IF($N506=0,0,IF(AND($F506&lt;=EOMONTH(DATE(PlanYear,8,1),0),IF(ISNUMBER($G506),$G506,$F506)&gt;=DATE(PlanYear,8,1)),1,0))</f>
        <v>0</v>
      </c>
      <c r="W506">
        <f>IF($N506=0,0,IF(AND($F506&lt;=EOMONTH(DATE(PlanYear,9,1),0),IF(ISNUMBER($G506),$G506,$F506)&gt;=DATE(PlanYear,9,1)),1,0))</f>
        <v>0</v>
      </c>
      <c r="X506">
        <f>IF($N506=0,0,IF(AND($F506&lt;=EOMONTH(DATE(PlanYear,10,1),0),IF(ISNUMBER($G506),$G506,$F506)&gt;=DATE(PlanYear,10,1)),1,0))</f>
        <v>0</v>
      </c>
      <c r="Y506">
        <f>IF($N506=0,0,IF(AND($F506&lt;=EOMONTH(DATE(PlanYear,11,1),0),IF(ISNUMBER($G506),$G506,$F506)&gt;=DATE(PlanYear,11,1)),1,0))</f>
        <v>0</v>
      </c>
      <c r="Z506">
        <f>IF($N506=0,0,IF(AND($F506&lt;=EOMONTH(DATE(PlanYear,12,1),0),IF(ISNUMBER($G506),$G506,$F506)&gt;=DATE(PlanYear,12,1)),1,0))</f>
        <v>0</v>
      </c>
      <c r="AA506">
        <f>SUM($O506:$Z506)</f>
        <v>0</v>
      </c>
    </row>
    <row r="507" spans="1:27">
      <c r="A507" s="42">
        <f>IF($B507="","","ACT-"&amp;TEXT(ROW()-4,"000"))</f>
        <v>0</v>
      </c>
      <c r="M507" s="43">
        <f>IF(COUNTA($B507:$K507)=0,"",IF($B507="","Missing activity name",IF($C507="","Missing practice",IF(COUNTIF(PracticeNames,$C507)=0,"Practice not in Lists",IF($D507="","Missing motion",IF(NOT(ISNUMBER($F507)),"Missing or invalid start date",IF(AND(ISNUMBER($G507),$G507&lt;$F507),"End date before start",IF(AND($N507=1,$AA507=0),"Outside planning year","OK"))))))))</f>
        <v>0</v>
      </c>
      <c r="N507">
        <f>IF(AND($B507&lt;&gt;"",$C507&lt;&gt;"",$D507&lt;&gt;"",ISNUMBER($F507),COUNTIF(PracticeNames,$C507)&gt;0,COUNTIF(MotionNames,$D507)&gt;0,NOT(AND(ISNUMBER($G507),$G507&lt;$F507))),IF(StatusFilter="All (excl. Cancelled)",IF($H507="Cancelled",0,1),IF(StatusFilter="All",1,IF($H507=StatusFilter,1,0))),0)</f>
        <v>0</v>
      </c>
      <c r="O507">
        <f>IF($N507=0,0,IF(AND($F507&lt;=EOMONTH(DATE(PlanYear,1,1),0),IF(ISNUMBER($G507),$G507,$F507)&gt;=DATE(PlanYear,1,1)),1,0))</f>
        <v>0</v>
      </c>
      <c r="P507">
        <f>IF($N507=0,0,IF(AND($F507&lt;=EOMONTH(DATE(PlanYear,2,1),0),IF(ISNUMBER($G507),$G507,$F507)&gt;=DATE(PlanYear,2,1)),1,0))</f>
        <v>0</v>
      </c>
      <c r="Q507">
        <f>IF($N507=0,0,IF(AND($F507&lt;=EOMONTH(DATE(PlanYear,3,1),0),IF(ISNUMBER($G507),$G507,$F507)&gt;=DATE(PlanYear,3,1)),1,0))</f>
        <v>0</v>
      </c>
      <c r="R507">
        <f>IF($N507=0,0,IF(AND($F507&lt;=EOMONTH(DATE(PlanYear,4,1),0),IF(ISNUMBER($G507),$G507,$F507)&gt;=DATE(PlanYear,4,1)),1,0))</f>
        <v>0</v>
      </c>
      <c r="S507">
        <f>IF($N507=0,0,IF(AND($F507&lt;=EOMONTH(DATE(PlanYear,5,1),0),IF(ISNUMBER($G507),$G507,$F507)&gt;=DATE(PlanYear,5,1)),1,0))</f>
        <v>0</v>
      </c>
      <c r="T507">
        <f>IF($N507=0,0,IF(AND($F507&lt;=EOMONTH(DATE(PlanYear,6,1),0),IF(ISNUMBER($G507),$G507,$F507)&gt;=DATE(PlanYear,6,1)),1,0))</f>
        <v>0</v>
      </c>
      <c r="U507">
        <f>IF($N507=0,0,IF(AND($F507&lt;=EOMONTH(DATE(PlanYear,7,1),0),IF(ISNUMBER($G507),$G507,$F507)&gt;=DATE(PlanYear,7,1)),1,0))</f>
        <v>0</v>
      </c>
      <c r="V507">
        <f>IF($N507=0,0,IF(AND($F507&lt;=EOMONTH(DATE(PlanYear,8,1),0),IF(ISNUMBER($G507),$G507,$F507)&gt;=DATE(PlanYear,8,1)),1,0))</f>
        <v>0</v>
      </c>
      <c r="W507">
        <f>IF($N507=0,0,IF(AND($F507&lt;=EOMONTH(DATE(PlanYear,9,1),0),IF(ISNUMBER($G507),$G507,$F507)&gt;=DATE(PlanYear,9,1)),1,0))</f>
        <v>0</v>
      </c>
      <c r="X507">
        <f>IF($N507=0,0,IF(AND($F507&lt;=EOMONTH(DATE(PlanYear,10,1),0),IF(ISNUMBER($G507),$G507,$F507)&gt;=DATE(PlanYear,10,1)),1,0))</f>
        <v>0</v>
      </c>
      <c r="Y507">
        <f>IF($N507=0,0,IF(AND($F507&lt;=EOMONTH(DATE(PlanYear,11,1),0),IF(ISNUMBER($G507),$G507,$F507)&gt;=DATE(PlanYear,11,1)),1,0))</f>
        <v>0</v>
      </c>
      <c r="Z507">
        <f>IF($N507=0,0,IF(AND($F507&lt;=EOMONTH(DATE(PlanYear,12,1),0),IF(ISNUMBER($G507),$G507,$F507)&gt;=DATE(PlanYear,12,1)),1,0))</f>
        <v>0</v>
      </c>
      <c r="AA507">
        <f>SUM($O507:$Z507)</f>
        <v>0</v>
      </c>
    </row>
    <row r="508" spans="1:27">
      <c r="A508" s="42">
        <f>IF($B508="","","ACT-"&amp;TEXT(ROW()-4,"000"))</f>
        <v>0</v>
      </c>
      <c r="M508" s="43">
        <f>IF(COUNTA($B508:$K508)=0,"",IF($B508="","Missing activity name",IF($C508="","Missing practice",IF(COUNTIF(PracticeNames,$C508)=0,"Practice not in Lists",IF($D508="","Missing motion",IF(NOT(ISNUMBER($F508)),"Missing or invalid start date",IF(AND(ISNUMBER($G508),$G508&lt;$F508),"End date before start",IF(AND($N508=1,$AA508=0),"Outside planning year","OK"))))))))</f>
        <v>0</v>
      </c>
      <c r="N508">
        <f>IF(AND($B508&lt;&gt;"",$C508&lt;&gt;"",$D508&lt;&gt;"",ISNUMBER($F508),COUNTIF(PracticeNames,$C508)&gt;0,COUNTIF(MotionNames,$D508)&gt;0,NOT(AND(ISNUMBER($G508),$G508&lt;$F508))),IF(StatusFilter="All (excl. Cancelled)",IF($H508="Cancelled",0,1),IF(StatusFilter="All",1,IF($H508=StatusFilter,1,0))),0)</f>
        <v>0</v>
      </c>
      <c r="O508">
        <f>IF($N508=0,0,IF(AND($F508&lt;=EOMONTH(DATE(PlanYear,1,1),0),IF(ISNUMBER($G508),$G508,$F508)&gt;=DATE(PlanYear,1,1)),1,0))</f>
        <v>0</v>
      </c>
      <c r="P508">
        <f>IF($N508=0,0,IF(AND($F508&lt;=EOMONTH(DATE(PlanYear,2,1),0),IF(ISNUMBER($G508),$G508,$F508)&gt;=DATE(PlanYear,2,1)),1,0))</f>
        <v>0</v>
      </c>
      <c r="Q508">
        <f>IF($N508=0,0,IF(AND($F508&lt;=EOMONTH(DATE(PlanYear,3,1),0),IF(ISNUMBER($G508),$G508,$F508)&gt;=DATE(PlanYear,3,1)),1,0))</f>
        <v>0</v>
      </c>
      <c r="R508">
        <f>IF($N508=0,0,IF(AND($F508&lt;=EOMONTH(DATE(PlanYear,4,1),0),IF(ISNUMBER($G508),$G508,$F508)&gt;=DATE(PlanYear,4,1)),1,0))</f>
        <v>0</v>
      </c>
      <c r="S508">
        <f>IF($N508=0,0,IF(AND($F508&lt;=EOMONTH(DATE(PlanYear,5,1),0),IF(ISNUMBER($G508),$G508,$F508)&gt;=DATE(PlanYear,5,1)),1,0))</f>
        <v>0</v>
      </c>
      <c r="T508">
        <f>IF($N508=0,0,IF(AND($F508&lt;=EOMONTH(DATE(PlanYear,6,1),0),IF(ISNUMBER($G508),$G508,$F508)&gt;=DATE(PlanYear,6,1)),1,0))</f>
        <v>0</v>
      </c>
      <c r="U508">
        <f>IF($N508=0,0,IF(AND($F508&lt;=EOMONTH(DATE(PlanYear,7,1),0),IF(ISNUMBER($G508),$G508,$F508)&gt;=DATE(PlanYear,7,1)),1,0))</f>
        <v>0</v>
      </c>
      <c r="V508">
        <f>IF($N508=0,0,IF(AND($F508&lt;=EOMONTH(DATE(PlanYear,8,1),0),IF(ISNUMBER($G508),$G508,$F508)&gt;=DATE(PlanYear,8,1)),1,0))</f>
        <v>0</v>
      </c>
      <c r="W508">
        <f>IF($N508=0,0,IF(AND($F508&lt;=EOMONTH(DATE(PlanYear,9,1),0),IF(ISNUMBER($G508),$G508,$F508)&gt;=DATE(PlanYear,9,1)),1,0))</f>
        <v>0</v>
      </c>
      <c r="X508">
        <f>IF($N508=0,0,IF(AND($F508&lt;=EOMONTH(DATE(PlanYear,10,1),0),IF(ISNUMBER($G508),$G508,$F508)&gt;=DATE(PlanYear,10,1)),1,0))</f>
        <v>0</v>
      </c>
      <c r="Y508">
        <f>IF($N508=0,0,IF(AND($F508&lt;=EOMONTH(DATE(PlanYear,11,1),0),IF(ISNUMBER($G508),$G508,$F508)&gt;=DATE(PlanYear,11,1)),1,0))</f>
        <v>0</v>
      </c>
      <c r="Z508">
        <f>IF($N508=0,0,IF(AND($F508&lt;=EOMONTH(DATE(PlanYear,12,1),0),IF(ISNUMBER($G508),$G508,$F508)&gt;=DATE(PlanYear,12,1)),1,0))</f>
        <v>0</v>
      </c>
      <c r="AA508">
        <f>SUM($O508:$Z508)</f>
        <v>0</v>
      </c>
    </row>
    <row r="509" spans="1:27">
      <c r="A509" s="42">
        <f>IF($B509="","","ACT-"&amp;TEXT(ROW()-4,"000"))</f>
        <v>0</v>
      </c>
      <c r="M509" s="43">
        <f>IF(COUNTA($B509:$K509)=0,"",IF($B509="","Missing activity name",IF($C509="","Missing practice",IF(COUNTIF(PracticeNames,$C509)=0,"Practice not in Lists",IF($D509="","Missing motion",IF(NOT(ISNUMBER($F509)),"Missing or invalid start date",IF(AND(ISNUMBER($G509),$G509&lt;$F509),"End date before start",IF(AND($N509=1,$AA509=0),"Outside planning year","OK"))))))))</f>
        <v>0</v>
      </c>
      <c r="N509">
        <f>IF(AND($B509&lt;&gt;"",$C509&lt;&gt;"",$D509&lt;&gt;"",ISNUMBER($F509),COUNTIF(PracticeNames,$C509)&gt;0,COUNTIF(MotionNames,$D509)&gt;0,NOT(AND(ISNUMBER($G509),$G509&lt;$F509))),IF(StatusFilter="All (excl. Cancelled)",IF($H509="Cancelled",0,1),IF(StatusFilter="All",1,IF($H509=StatusFilter,1,0))),0)</f>
        <v>0</v>
      </c>
      <c r="O509">
        <f>IF($N509=0,0,IF(AND($F509&lt;=EOMONTH(DATE(PlanYear,1,1),0),IF(ISNUMBER($G509),$G509,$F509)&gt;=DATE(PlanYear,1,1)),1,0))</f>
        <v>0</v>
      </c>
      <c r="P509">
        <f>IF($N509=0,0,IF(AND($F509&lt;=EOMONTH(DATE(PlanYear,2,1),0),IF(ISNUMBER($G509),$G509,$F509)&gt;=DATE(PlanYear,2,1)),1,0))</f>
        <v>0</v>
      </c>
      <c r="Q509">
        <f>IF($N509=0,0,IF(AND($F509&lt;=EOMONTH(DATE(PlanYear,3,1),0),IF(ISNUMBER($G509),$G509,$F509)&gt;=DATE(PlanYear,3,1)),1,0))</f>
        <v>0</v>
      </c>
      <c r="R509">
        <f>IF($N509=0,0,IF(AND($F509&lt;=EOMONTH(DATE(PlanYear,4,1),0),IF(ISNUMBER($G509),$G509,$F509)&gt;=DATE(PlanYear,4,1)),1,0))</f>
        <v>0</v>
      </c>
      <c r="S509">
        <f>IF($N509=0,0,IF(AND($F509&lt;=EOMONTH(DATE(PlanYear,5,1),0),IF(ISNUMBER($G509),$G509,$F509)&gt;=DATE(PlanYear,5,1)),1,0))</f>
        <v>0</v>
      </c>
      <c r="T509">
        <f>IF($N509=0,0,IF(AND($F509&lt;=EOMONTH(DATE(PlanYear,6,1),0),IF(ISNUMBER($G509),$G509,$F509)&gt;=DATE(PlanYear,6,1)),1,0))</f>
        <v>0</v>
      </c>
      <c r="U509">
        <f>IF($N509=0,0,IF(AND($F509&lt;=EOMONTH(DATE(PlanYear,7,1),0),IF(ISNUMBER($G509),$G509,$F509)&gt;=DATE(PlanYear,7,1)),1,0))</f>
        <v>0</v>
      </c>
      <c r="V509">
        <f>IF($N509=0,0,IF(AND($F509&lt;=EOMONTH(DATE(PlanYear,8,1),0),IF(ISNUMBER($G509),$G509,$F509)&gt;=DATE(PlanYear,8,1)),1,0))</f>
        <v>0</v>
      </c>
      <c r="W509">
        <f>IF($N509=0,0,IF(AND($F509&lt;=EOMONTH(DATE(PlanYear,9,1),0),IF(ISNUMBER($G509),$G509,$F509)&gt;=DATE(PlanYear,9,1)),1,0))</f>
        <v>0</v>
      </c>
      <c r="X509">
        <f>IF($N509=0,0,IF(AND($F509&lt;=EOMONTH(DATE(PlanYear,10,1),0),IF(ISNUMBER($G509),$G509,$F509)&gt;=DATE(PlanYear,10,1)),1,0))</f>
        <v>0</v>
      </c>
      <c r="Y509">
        <f>IF($N509=0,0,IF(AND($F509&lt;=EOMONTH(DATE(PlanYear,11,1),0),IF(ISNUMBER($G509),$G509,$F509)&gt;=DATE(PlanYear,11,1)),1,0))</f>
        <v>0</v>
      </c>
      <c r="Z509">
        <f>IF($N509=0,0,IF(AND($F509&lt;=EOMONTH(DATE(PlanYear,12,1),0),IF(ISNUMBER($G509),$G509,$F509)&gt;=DATE(PlanYear,12,1)),1,0))</f>
        <v>0</v>
      </c>
      <c r="AA509">
        <f>SUM($O509:$Z509)</f>
        <v>0</v>
      </c>
    </row>
    <row r="510" spans="1:27">
      <c r="A510" s="42">
        <f>IF($B510="","","ACT-"&amp;TEXT(ROW()-4,"000"))</f>
        <v>0</v>
      </c>
      <c r="M510" s="43">
        <f>IF(COUNTA($B510:$K510)=0,"",IF($B510="","Missing activity name",IF($C510="","Missing practice",IF(COUNTIF(PracticeNames,$C510)=0,"Practice not in Lists",IF($D510="","Missing motion",IF(NOT(ISNUMBER($F510)),"Missing or invalid start date",IF(AND(ISNUMBER($G510),$G510&lt;$F510),"End date before start",IF(AND($N510=1,$AA510=0),"Outside planning year","OK"))))))))</f>
        <v>0</v>
      </c>
      <c r="N510">
        <f>IF(AND($B510&lt;&gt;"",$C510&lt;&gt;"",$D510&lt;&gt;"",ISNUMBER($F510),COUNTIF(PracticeNames,$C510)&gt;0,COUNTIF(MotionNames,$D510)&gt;0,NOT(AND(ISNUMBER($G510),$G510&lt;$F510))),IF(StatusFilter="All (excl. Cancelled)",IF($H510="Cancelled",0,1),IF(StatusFilter="All",1,IF($H510=StatusFilter,1,0))),0)</f>
        <v>0</v>
      </c>
      <c r="O510">
        <f>IF($N510=0,0,IF(AND($F510&lt;=EOMONTH(DATE(PlanYear,1,1),0),IF(ISNUMBER($G510),$G510,$F510)&gt;=DATE(PlanYear,1,1)),1,0))</f>
        <v>0</v>
      </c>
      <c r="P510">
        <f>IF($N510=0,0,IF(AND($F510&lt;=EOMONTH(DATE(PlanYear,2,1),0),IF(ISNUMBER($G510),$G510,$F510)&gt;=DATE(PlanYear,2,1)),1,0))</f>
        <v>0</v>
      </c>
      <c r="Q510">
        <f>IF($N510=0,0,IF(AND($F510&lt;=EOMONTH(DATE(PlanYear,3,1),0),IF(ISNUMBER($G510),$G510,$F510)&gt;=DATE(PlanYear,3,1)),1,0))</f>
        <v>0</v>
      </c>
      <c r="R510">
        <f>IF($N510=0,0,IF(AND($F510&lt;=EOMONTH(DATE(PlanYear,4,1),0),IF(ISNUMBER($G510),$G510,$F510)&gt;=DATE(PlanYear,4,1)),1,0))</f>
        <v>0</v>
      </c>
      <c r="S510">
        <f>IF($N510=0,0,IF(AND($F510&lt;=EOMONTH(DATE(PlanYear,5,1),0),IF(ISNUMBER($G510),$G510,$F510)&gt;=DATE(PlanYear,5,1)),1,0))</f>
        <v>0</v>
      </c>
      <c r="T510">
        <f>IF($N510=0,0,IF(AND($F510&lt;=EOMONTH(DATE(PlanYear,6,1),0),IF(ISNUMBER($G510),$G510,$F510)&gt;=DATE(PlanYear,6,1)),1,0))</f>
        <v>0</v>
      </c>
      <c r="U510">
        <f>IF($N510=0,0,IF(AND($F510&lt;=EOMONTH(DATE(PlanYear,7,1),0),IF(ISNUMBER($G510),$G510,$F510)&gt;=DATE(PlanYear,7,1)),1,0))</f>
        <v>0</v>
      </c>
      <c r="V510">
        <f>IF($N510=0,0,IF(AND($F510&lt;=EOMONTH(DATE(PlanYear,8,1),0),IF(ISNUMBER($G510),$G510,$F510)&gt;=DATE(PlanYear,8,1)),1,0))</f>
        <v>0</v>
      </c>
      <c r="W510">
        <f>IF($N510=0,0,IF(AND($F510&lt;=EOMONTH(DATE(PlanYear,9,1),0),IF(ISNUMBER($G510),$G510,$F510)&gt;=DATE(PlanYear,9,1)),1,0))</f>
        <v>0</v>
      </c>
      <c r="X510">
        <f>IF($N510=0,0,IF(AND($F510&lt;=EOMONTH(DATE(PlanYear,10,1),0),IF(ISNUMBER($G510),$G510,$F510)&gt;=DATE(PlanYear,10,1)),1,0))</f>
        <v>0</v>
      </c>
      <c r="Y510">
        <f>IF($N510=0,0,IF(AND($F510&lt;=EOMONTH(DATE(PlanYear,11,1),0),IF(ISNUMBER($G510),$G510,$F510)&gt;=DATE(PlanYear,11,1)),1,0))</f>
        <v>0</v>
      </c>
      <c r="Z510">
        <f>IF($N510=0,0,IF(AND($F510&lt;=EOMONTH(DATE(PlanYear,12,1),0),IF(ISNUMBER($G510),$G510,$F510)&gt;=DATE(PlanYear,12,1)),1,0))</f>
        <v>0</v>
      </c>
      <c r="AA510">
        <f>SUM($O510:$Z510)</f>
        <v>0</v>
      </c>
    </row>
    <row r="511" spans="1:27">
      <c r="A511" s="42">
        <f>IF($B511="","","ACT-"&amp;TEXT(ROW()-4,"000"))</f>
        <v>0</v>
      </c>
      <c r="M511" s="43">
        <f>IF(COUNTA($B511:$K511)=0,"",IF($B511="","Missing activity name",IF($C511="","Missing practice",IF(COUNTIF(PracticeNames,$C511)=0,"Practice not in Lists",IF($D511="","Missing motion",IF(NOT(ISNUMBER($F511)),"Missing or invalid start date",IF(AND(ISNUMBER($G511),$G511&lt;$F511),"End date before start",IF(AND($N511=1,$AA511=0),"Outside planning year","OK"))))))))</f>
        <v>0</v>
      </c>
      <c r="N511">
        <f>IF(AND($B511&lt;&gt;"",$C511&lt;&gt;"",$D511&lt;&gt;"",ISNUMBER($F511),COUNTIF(PracticeNames,$C511)&gt;0,COUNTIF(MotionNames,$D511)&gt;0,NOT(AND(ISNUMBER($G511),$G511&lt;$F511))),IF(StatusFilter="All (excl. Cancelled)",IF($H511="Cancelled",0,1),IF(StatusFilter="All",1,IF($H511=StatusFilter,1,0))),0)</f>
        <v>0</v>
      </c>
      <c r="O511">
        <f>IF($N511=0,0,IF(AND($F511&lt;=EOMONTH(DATE(PlanYear,1,1),0),IF(ISNUMBER($G511),$G511,$F511)&gt;=DATE(PlanYear,1,1)),1,0))</f>
        <v>0</v>
      </c>
      <c r="P511">
        <f>IF($N511=0,0,IF(AND($F511&lt;=EOMONTH(DATE(PlanYear,2,1),0),IF(ISNUMBER($G511),$G511,$F511)&gt;=DATE(PlanYear,2,1)),1,0))</f>
        <v>0</v>
      </c>
      <c r="Q511">
        <f>IF($N511=0,0,IF(AND($F511&lt;=EOMONTH(DATE(PlanYear,3,1),0),IF(ISNUMBER($G511),$G511,$F511)&gt;=DATE(PlanYear,3,1)),1,0))</f>
        <v>0</v>
      </c>
      <c r="R511">
        <f>IF($N511=0,0,IF(AND($F511&lt;=EOMONTH(DATE(PlanYear,4,1),0),IF(ISNUMBER($G511),$G511,$F511)&gt;=DATE(PlanYear,4,1)),1,0))</f>
        <v>0</v>
      </c>
      <c r="S511">
        <f>IF($N511=0,0,IF(AND($F511&lt;=EOMONTH(DATE(PlanYear,5,1),0),IF(ISNUMBER($G511),$G511,$F511)&gt;=DATE(PlanYear,5,1)),1,0))</f>
        <v>0</v>
      </c>
      <c r="T511">
        <f>IF($N511=0,0,IF(AND($F511&lt;=EOMONTH(DATE(PlanYear,6,1),0),IF(ISNUMBER($G511),$G511,$F511)&gt;=DATE(PlanYear,6,1)),1,0))</f>
        <v>0</v>
      </c>
      <c r="U511">
        <f>IF($N511=0,0,IF(AND($F511&lt;=EOMONTH(DATE(PlanYear,7,1),0),IF(ISNUMBER($G511),$G511,$F511)&gt;=DATE(PlanYear,7,1)),1,0))</f>
        <v>0</v>
      </c>
      <c r="V511">
        <f>IF($N511=0,0,IF(AND($F511&lt;=EOMONTH(DATE(PlanYear,8,1),0),IF(ISNUMBER($G511),$G511,$F511)&gt;=DATE(PlanYear,8,1)),1,0))</f>
        <v>0</v>
      </c>
      <c r="W511">
        <f>IF($N511=0,0,IF(AND($F511&lt;=EOMONTH(DATE(PlanYear,9,1),0),IF(ISNUMBER($G511),$G511,$F511)&gt;=DATE(PlanYear,9,1)),1,0))</f>
        <v>0</v>
      </c>
      <c r="X511">
        <f>IF($N511=0,0,IF(AND($F511&lt;=EOMONTH(DATE(PlanYear,10,1),0),IF(ISNUMBER($G511),$G511,$F511)&gt;=DATE(PlanYear,10,1)),1,0))</f>
        <v>0</v>
      </c>
      <c r="Y511">
        <f>IF($N511=0,0,IF(AND($F511&lt;=EOMONTH(DATE(PlanYear,11,1),0),IF(ISNUMBER($G511),$G511,$F511)&gt;=DATE(PlanYear,11,1)),1,0))</f>
        <v>0</v>
      </c>
      <c r="Z511">
        <f>IF($N511=0,0,IF(AND($F511&lt;=EOMONTH(DATE(PlanYear,12,1),0),IF(ISNUMBER($G511),$G511,$F511)&gt;=DATE(PlanYear,12,1)),1,0))</f>
        <v>0</v>
      </c>
      <c r="AA511">
        <f>SUM($O511:$Z511)</f>
        <v>0</v>
      </c>
    </row>
    <row r="512" spans="1:27">
      <c r="A512" s="42">
        <f>IF($B512="","","ACT-"&amp;TEXT(ROW()-4,"000"))</f>
        <v>0</v>
      </c>
      <c r="M512" s="43">
        <f>IF(COUNTA($B512:$K512)=0,"",IF($B512="","Missing activity name",IF($C512="","Missing practice",IF(COUNTIF(PracticeNames,$C512)=0,"Practice not in Lists",IF($D512="","Missing motion",IF(NOT(ISNUMBER($F512)),"Missing or invalid start date",IF(AND(ISNUMBER($G512),$G512&lt;$F512),"End date before start",IF(AND($N512=1,$AA512=0),"Outside planning year","OK"))))))))</f>
        <v>0</v>
      </c>
      <c r="N512">
        <f>IF(AND($B512&lt;&gt;"",$C512&lt;&gt;"",$D512&lt;&gt;"",ISNUMBER($F512),COUNTIF(PracticeNames,$C512)&gt;0,COUNTIF(MotionNames,$D512)&gt;0,NOT(AND(ISNUMBER($G512),$G512&lt;$F512))),IF(StatusFilter="All (excl. Cancelled)",IF($H512="Cancelled",0,1),IF(StatusFilter="All",1,IF($H512=StatusFilter,1,0))),0)</f>
        <v>0</v>
      </c>
      <c r="O512">
        <f>IF($N512=0,0,IF(AND($F512&lt;=EOMONTH(DATE(PlanYear,1,1),0),IF(ISNUMBER($G512),$G512,$F512)&gt;=DATE(PlanYear,1,1)),1,0))</f>
        <v>0</v>
      </c>
      <c r="P512">
        <f>IF($N512=0,0,IF(AND($F512&lt;=EOMONTH(DATE(PlanYear,2,1),0),IF(ISNUMBER($G512),$G512,$F512)&gt;=DATE(PlanYear,2,1)),1,0))</f>
        <v>0</v>
      </c>
      <c r="Q512">
        <f>IF($N512=0,0,IF(AND($F512&lt;=EOMONTH(DATE(PlanYear,3,1),0),IF(ISNUMBER($G512),$G512,$F512)&gt;=DATE(PlanYear,3,1)),1,0))</f>
        <v>0</v>
      </c>
      <c r="R512">
        <f>IF($N512=0,0,IF(AND($F512&lt;=EOMONTH(DATE(PlanYear,4,1),0),IF(ISNUMBER($G512),$G512,$F512)&gt;=DATE(PlanYear,4,1)),1,0))</f>
        <v>0</v>
      </c>
      <c r="S512">
        <f>IF($N512=0,0,IF(AND($F512&lt;=EOMONTH(DATE(PlanYear,5,1),0),IF(ISNUMBER($G512),$G512,$F512)&gt;=DATE(PlanYear,5,1)),1,0))</f>
        <v>0</v>
      </c>
      <c r="T512">
        <f>IF($N512=0,0,IF(AND($F512&lt;=EOMONTH(DATE(PlanYear,6,1),0),IF(ISNUMBER($G512),$G512,$F512)&gt;=DATE(PlanYear,6,1)),1,0))</f>
        <v>0</v>
      </c>
      <c r="U512">
        <f>IF($N512=0,0,IF(AND($F512&lt;=EOMONTH(DATE(PlanYear,7,1),0),IF(ISNUMBER($G512),$G512,$F512)&gt;=DATE(PlanYear,7,1)),1,0))</f>
        <v>0</v>
      </c>
      <c r="V512">
        <f>IF($N512=0,0,IF(AND($F512&lt;=EOMONTH(DATE(PlanYear,8,1),0),IF(ISNUMBER($G512),$G512,$F512)&gt;=DATE(PlanYear,8,1)),1,0))</f>
        <v>0</v>
      </c>
      <c r="W512">
        <f>IF($N512=0,0,IF(AND($F512&lt;=EOMONTH(DATE(PlanYear,9,1),0),IF(ISNUMBER($G512),$G512,$F512)&gt;=DATE(PlanYear,9,1)),1,0))</f>
        <v>0</v>
      </c>
      <c r="X512">
        <f>IF($N512=0,0,IF(AND($F512&lt;=EOMONTH(DATE(PlanYear,10,1),0),IF(ISNUMBER($G512),$G512,$F512)&gt;=DATE(PlanYear,10,1)),1,0))</f>
        <v>0</v>
      </c>
      <c r="Y512">
        <f>IF($N512=0,0,IF(AND($F512&lt;=EOMONTH(DATE(PlanYear,11,1),0),IF(ISNUMBER($G512),$G512,$F512)&gt;=DATE(PlanYear,11,1)),1,0))</f>
        <v>0</v>
      </c>
      <c r="Z512">
        <f>IF($N512=0,0,IF(AND($F512&lt;=EOMONTH(DATE(PlanYear,12,1),0),IF(ISNUMBER($G512),$G512,$F512)&gt;=DATE(PlanYear,12,1)),1,0))</f>
        <v>0</v>
      </c>
      <c r="AA512">
        <f>SUM($O512:$Z512)</f>
        <v>0</v>
      </c>
    </row>
    <row r="513" spans="1:27">
      <c r="A513" s="42">
        <f>IF($B513="","","ACT-"&amp;TEXT(ROW()-4,"000"))</f>
        <v>0</v>
      </c>
      <c r="M513" s="43">
        <f>IF(COUNTA($B513:$K513)=0,"",IF($B513="","Missing activity name",IF($C513="","Missing practice",IF(COUNTIF(PracticeNames,$C513)=0,"Practice not in Lists",IF($D513="","Missing motion",IF(NOT(ISNUMBER($F513)),"Missing or invalid start date",IF(AND(ISNUMBER($G513),$G513&lt;$F513),"End date before start",IF(AND($N513=1,$AA513=0),"Outside planning year","OK"))))))))</f>
        <v>0</v>
      </c>
      <c r="N513">
        <f>IF(AND($B513&lt;&gt;"",$C513&lt;&gt;"",$D513&lt;&gt;"",ISNUMBER($F513),COUNTIF(PracticeNames,$C513)&gt;0,COUNTIF(MotionNames,$D513)&gt;0,NOT(AND(ISNUMBER($G513),$G513&lt;$F513))),IF(StatusFilter="All (excl. Cancelled)",IF($H513="Cancelled",0,1),IF(StatusFilter="All",1,IF($H513=StatusFilter,1,0))),0)</f>
        <v>0</v>
      </c>
      <c r="O513">
        <f>IF($N513=0,0,IF(AND($F513&lt;=EOMONTH(DATE(PlanYear,1,1),0),IF(ISNUMBER($G513),$G513,$F513)&gt;=DATE(PlanYear,1,1)),1,0))</f>
        <v>0</v>
      </c>
      <c r="P513">
        <f>IF($N513=0,0,IF(AND($F513&lt;=EOMONTH(DATE(PlanYear,2,1),0),IF(ISNUMBER($G513),$G513,$F513)&gt;=DATE(PlanYear,2,1)),1,0))</f>
        <v>0</v>
      </c>
      <c r="Q513">
        <f>IF($N513=0,0,IF(AND($F513&lt;=EOMONTH(DATE(PlanYear,3,1),0),IF(ISNUMBER($G513),$G513,$F513)&gt;=DATE(PlanYear,3,1)),1,0))</f>
        <v>0</v>
      </c>
      <c r="R513">
        <f>IF($N513=0,0,IF(AND($F513&lt;=EOMONTH(DATE(PlanYear,4,1),0),IF(ISNUMBER($G513),$G513,$F513)&gt;=DATE(PlanYear,4,1)),1,0))</f>
        <v>0</v>
      </c>
      <c r="S513">
        <f>IF($N513=0,0,IF(AND($F513&lt;=EOMONTH(DATE(PlanYear,5,1),0),IF(ISNUMBER($G513),$G513,$F513)&gt;=DATE(PlanYear,5,1)),1,0))</f>
        <v>0</v>
      </c>
      <c r="T513">
        <f>IF($N513=0,0,IF(AND($F513&lt;=EOMONTH(DATE(PlanYear,6,1),0),IF(ISNUMBER($G513),$G513,$F513)&gt;=DATE(PlanYear,6,1)),1,0))</f>
        <v>0</v>
      </c>
      <c r="U513">
        <f>IF($N513=0,0,IF(AND($F513&lt;=EOMONTH(DATE(PlanYear,7,1),0),IF(ISNUMBER($G513),$G513,$F513)&gt;=DATE(PlanYear,7,1)),1,0))</f>
        <v>0</v>
      </c>
      <c r="V513">
        <f>IF($N513=0,0,IF(AND($F513&lt;=EOMONTH(DATE(PlanYear,8,1),0),IF(ISNUMBER($G513),$G513,$F513)&gt;=DATE(PlanYear,8,1)),1,0))</f>
        <v>0</v>
      </c>
      <c r="W513">
        <f>IF($N513=0,0,IF(AND($F513&lt;=EOMONTH(DATE(PlanYear,9,1),0),IF(ISNUMBER($G513),$G513,$F513)&gt;=DATE(PlanYear,9,1)),1,0))</f>
        <v>0</v>
      </c>
      <c r="X513">
        <f>IF($N513=0,0,IF(AND($F513&lt;=EOMONTH(DATE(PlanYear,10,1),0),IF(ISNUMBER($G513),$G513,$F513)&gt;=DATE(PlanYear,10,1)),1,0))</f>
        <v>0</v>
      </c>
      <c r="Y513">
        <f>IF($N513=0,0,IF(AND($F513&lt;=EOMONTH(DATE(PlanYear,11,1),0),IF(ISNUMBER($G513),$G513,$F513)&gt;=DATE(PlanYear,11,1)),1,0))</f>
        <v>0</v>
      </c>
      <c r="Z513">
        <f>IF($N513=0,0,IF(AND($F513&lt;=EOMONTH(DATE(PlanYear,12,1),0),IF(ISNUMBER($G513),$G513,$F513)&gt;=DATE(PlanYear,12,1)),1,0))</f>
        <v>0</v>
      </c>
      <c r="AA513">
        <f>SUM($O513:$Z513)</f>
        <v>0</v>
      </c>
    </row>
    <row r="514" spans="1:27">
      <c r="A514" s="42">
        <f>IF($B514="","","ACT-"&amp;TEXT(ROW()-4,"000"))</f>
        <v>0</v>
      </c>
      <c r="M514" s="43">
        <f>IF(COUNTA($B514:$K514)=0,"",IF($B514="","Missing activity name",IF($C514="","Missing practice",IF(COUNTIF(PracticeNames,$C514)=0,"Practice not in Lists",IF($D514="","Missing motion",IF(NOT(ISNUMBER($F514)),"Missing or invalid start date",IF(AND(ISNUMBER($G514),$G514&lt;$F514),"End date before start",IF(AND($N514=1,$AA514=0),"Outside planning year","OK"))))))))</f>
        <v>0</v>
      </c>
      <c r="N514">
        <f>IF(AND($B514&lt;&gt;"",$C514&lt;&gt;"",$D514&lt;&gt;"",ISNUMBER($F514),COUNTIF(PracticeNames,$C514)&gt;0,COUNTIF(MotionNames,$D514)&gt;0,NOT(AND(ISNUMBER($G514),$G514&lt;$F514))),IF(StatusFilter="All (excl. Cancelled)",IF($H514="Cancelled",0,1),IF(StatusFilter="All",1,IF($H514=StatusFilter,1,0))),0)</f>
        <v>0</v>
      </c>
      <c r="O514">
        <f>IF($N514=0,0,IF(AND($F514&lt;=EOMONTH(DATE(PlanYear,1,1),0),IF(ISNUMBER($G514),$G514,$F514)&gt;=DATE(PlanYear,1,1)),1,0))</f>
        <v>0</v>
      </c>
      <c r="P514">
        <f>IF($N514=0,0,IF(AND($F514&lt;=EOMONTH(DATE(PlanYear,2,1),0),IF(ISNUMBER($G514),$G514,$F514)&gt;=DATE(PlanYear,2,1)),1,0))</f>
        <v>0</v>
      </c>
      <c r="Q514">
        <f>IF($N514=0,0,IF(AND($F514&lt;=EOMONTH(DATE(PlanYear,3,1),0),IF(ISNUMBER($G514),$G514,$F514)&gt;=DATE(PlanYear,3,1)),1,0))</f>
        <v>0</v>
      </c>
      <c r="R514">
        <f>IF($N514=0,0,IF(AND($F514&lt;=EOMONTH(DATE(PlanYear,4,1),0),IF(ISNUMBER($G514),$G514,$F514)&gt;=DATE(PlanYear,4,1)),1,0))</f>
        <v>0</v>
      </c>
      <c r="S514">
        <f>IF($N514=0,0,IF(AND($F514&lt;=EOMONTH(DATE(PlanYear,5,1),0),IF(ISNUMBER($G514),$G514,$F514)&gt;=DATE(PlanYear,5,1)),1,0))</f>
        <v>0</v>
      </c>
      <c r="T514">
        <f>IF($N514=0,0,IF(AND($F514&lt;=EOMONTH(DATE(PlanYear,6,1),0),IF(ISNUMBER($G514),$G514,$F514)&gt;=DATE(PlanYear,6,1)),1,0))</f>
        <v>0</v>
      </c>
      <c r="U514">
        <f>IF($N514=0,0,IF(AND($F514&lt;=EOMONTH(DATE(PlanYear,7,1),0),IF(ISNUMBER($G514),$G514,$F514)&gt;=DATE(PlanYear,7,1)),1,0))</f>
        <v>0</v>
      </c>
      <c r="V514">
        <f>IF($N514=0,0,IF(AND($F514&lt;=EOMONTH(DATE(PlanYear,8,1),0),IF(ISNUMBER($G514),$G514,$F514)&gt;=DATE(PlanYear,8,1)),1,0))</f>
        <v>0</v>
      </c>
      <c r="W514">
        <f>IF($N514=0,0,IF(AND($F514&lt;=EOMONTH(DATE(PlanYear,9,1),0),IF(ISNUMBER($G514),$G514,$F514)&gt;=DATE(PlanYear,9,1)),1,0))</f>
        <v>0</v>
      </c>
      <c r="X514">
        <f>IF($N514=0,0,IF(AND($F514&lt;=EOMONTH(DATE(PlanYear,10,1),0),IF(ISNUMBER($G514),$G514,$F514)&gt;=DATE(PlanYear,10,1)),1,0))</f>
        <v>0</v>
      </c>
      <c r="Y514">
        <f>IF($N514=0,0,IF(AND($F514&lt;=EOMONTH(DATE(PlanYear,11,1),0),IF(ISNUMBER($G514),$G514,$F514)&gt;=DATE(PlanYear,11,1)),1,0))</f>
        <v>0</v>
      </c>
      <c r="Z514">
        <f>IF($N514=0,0,IF(AND($F514&lt;=EOMONTH(DATE(PlanYear,12,1),0),IF(ISNUMBER($G514),$G514,$F514)&gt;=DATE(PlanYear,12,1)),1,0))</f>
        <v>0</v>
      </c>
      <c r="AA514">
        <f>SUM($O514:$Z514)</f>
        <v>0</v>
      </c>
    </row>
    <row r="515" spans="1:27">
      <c r="A515" s="42">
        <f>IF($B515="","","ACT-"&amp;TEXT(ROW()-4,"000"))</f>
        <v>0</v>
      </c>
      <c r="M515" s="43">
        <f>IF(COUNTA($B515:$K515)=0,"",IF($B515="","Missing activity name",IF($C515="","Missing practice",IF(COUNTIF(PracticeNames,$C515)=0,"Practice not in Lists",IF($D515="","Missing motion",IF(NOT(ISNUMBER($F515)),"Missing or invalid start date",IF(AND(ISNUMBER($G515),$G515&lt;$F515),"End date before start",IF(AND($N515=1,$AA515=0),"Outside planning year","OK"))))))))</f>
        <v>0</v>
      </c>
      <c r="N515">
        <f>IF(AND($B515&lt;&gt;"",$C515&lt;&gt;"",$D515&lt;&gt;"",ISNUMBER($F515),COUNTIF(PracticeNames,$C515)&gt;0,COUNTIF(MotionNames,$D515)&gt;0,NOT(AND(ISNUMBER($G515),$G515&lt;$F515))),IF(StatusFilter="All (excl. Cancelled)",IF($H515="Cancelled",0,1),IF(StatusFilter="All",1,IF($H515=StatusFilter,1,0))),0)</f>
        <v>0</v>
      </c>
      <c r="O515">
        <f>IF($N515=0,0,IF(AND($F515&lt;=EOMONTH(DATE(PlanYear,1,1),0),IF(ISNUMBER($G515),$G515,$F515)&gt;=DATE(PlanYear,1,1)),1,0))</f>
        <v>0</v>
      </c>
      <c r="P515">
        <f>IF($N515=0,0,IF(AND($F515&lt;=EOMONTH(DATE(PlanYear,2,1),0),IF(ISNUMBER($G515),$G515,$F515)&gt;=DATE(PlanYear,2,1)),1,0))</f>
        <v>0</v>
      </c>
      <c r="Q515">
        <f>IF($N515=0,0,IF(AND($F515&lt;=EOMONTH(DATE(PlanYear,3,1),0),IF(ISNUMBER($G515),$G515,$F515)&gt;=DATE(PlanYear,3,1)),1,0))</f>
        <v>0</v>
      </c>
      <c r="R515">
        <f>IF($N515=0,0,IF(AND($F515&lt;=EOMONTH(DATE(PlanYear,4,1),0),IF(ISNUMBER($G515),$G515,$F515)&gt;=DATE(PlanYear,4,1)),1,0))</f>
        <v>0</v>
      </c>
      <c r="S515">
        <f>IF($N515=0,0,IF(AND($F515&lt;=EOMONTH(DATE(PlanYear,5,1),0),IF(ISNUMBER($G515),$G515,$F515)&gt;=DATE(PlanYear,5,1)),1,0))</f>
        <v>0</v>
      </c>
      <c r="T515">
        <f>IF($N515=0,0,IF(AND($F515&lt;=EOMONTH(DATE(PlanYear,6,1),0),IF(ISNUMBER($G515),$G515,$F515)&gt;=DATE(PlanYear,6,1)),1,0))</f>
        <v>0</v>
      </c>
      <c r="U515">
        <f>IF($N515=0,0,IF(AND($F515&lt;=EOMONTH(DATE(PlanYear,7,1),0),IF(ISNUMBER($G515),$G515,$F515)&gt;=DATE(PlanYear,7,1)),1,0))</f>
        <v>0</v>
      </c>
      <c r="V515">
        <f>IF($N515=0,0,IF(AND($F515&lt;=EOMONTH(DATE(PlanYear,8,1),0),IF(ISNUMBER($G515),$G515,$F515)&gt;=DATE(PlanYear,8,1)),1,0))</f>
        <v>0</v>
      </c>
      <c r="W515">
        <f>IF($N515=0,0,IF(AND($F515&lt;=EOMONTH(DATE(PlanYear,9,1),0),IF(ISNUMBER($G515),$G515,$F515)&gt;=DATE(PlanYear,9,1)),1,0))</f>
        <v>0</v>
      </c>
      <c r="X515">
        <f>IF($N515=0,0,IF(AND($F515&lt;=EOMONTH(DATE(PlanYear,10,1),0),IF(ISNUMBER($G515),$G515,$F515)&gt;=DATE(PlanYear,10,1)),1,0))</f>
        <v>0</v>
      </c>
      <c r="Y515">
        <f>IF($N515=0,0,IF(AND($F515&lt;=EOMONTH(DATE(PlanYear,11,1),0),IF(ISNUMBER($G515),$G515,$F515)&gt;=DATE(PlanYear,11,1)),1,0))</f>
        <v>0</v>
      </c>
      <c r="Z515">
        <f>IF($N515=0,0,IF(AND($F515&lt;=EOMONTH(DATE(PlanYear,12,1),0),IF(ISNUMBER($G515),$G515,$F515)&gt;=DATE(PlanYear,12,1)),1,0))</f>
        <v>0</v>
      </c>
      <c r="AA515">
        <f>SUM($O515:$Z515)</f>
        <v>0</v>
      </c>
    </row>
    <row r="516" spans="1:27">
      <c r="A516" s="42">
        <f>IF($B516="","","ACT-"&amp;TEXT(ROW()-4,"000"))</f>
        <v>0</v>
      </c>
      <c r="M516" s="43">
        <f>IF(COUNTA($B516:$K516)=0,"",IF($B516="","Missing activity name",IF($C516="","Missing practice",IF(COUNTIF(PracticeNames,$C516)=0,"Practice not in Lists",IF($D516="","Missing motion",IF(NOT(ISNUMBER($F516)),"Missing or invalid start date",IF(AND(ISNUMBER($G516),$G516&lt;$F516),"End date before start",IF(AND($N516=1,$AA516=0),"Outside planning year","OK"))))))))</f>
        <v>0</v>
      </c>
      <c r="N516">
        <f>IF(AND($B516&lt;&gt;"",$C516&lt;&gt;"",$D516&lt;&gt;"",ISNUMBER($F516),COUNTIF(PracticeNames,$C516)&gt;0,COUNTIF(MotionNames,$D516)&gt;0,NOT(AND(ISNUMBER($G516),$G516&lt;$F516))),IF(StatusFilter="All (excl. Cancelled)",IF($H516="Cancelled",0,1),IF(StatusFilter="All",1,IF($H516=StatusFilter,1,0))),0)</f>
        <v>0</v>
      </c>
      <c r="O516">
        <f>IF($N516=0,0,IF(AND($F516&lt;=EOMONTH(DATE(PlanYear,1,1),0),IF(ISNUMBER($G516),$G516,$F516)&gt;=DATE(PlanYear,1,1)),1,0))</f>
        <v>0</v>
      </c>
      <c r="P516">
        <f>IF($N516=0,0,IF(AND($F516&lt;=EOMONTH(DATE(PlanYear,2,1),0),IF(ISNUMBER($G516),$G516,$F516)&gt;=DATE(PlanYear,2,1)),1,0))</f>
        <v>0</v>
      </c>
      <c r="Q516">
        <f>IF($N516=0,0,IF(AND($F516&lt;=EOMONTH(DATE(PlanYear,3,1),0),IF(ISNUMBER($G516),$G516,$F516)&gt;=DATE(PlanYear,3,1)),1,0))</f>
        <v>0</v>
      </c>
      <c r="R516">
        <f>IF($N516=0,0,IF(AND($F516&lt;=EOMONTH(DATE(PlanYear,4,1),0),IF(ISNUMBER($G516),$G516,$F516)&gt;=DATE(PlanYear,4,1)),1,0))</f>
        <v>0</v>
      </c>
      <c r="S516">
        <f>IF($N516=0,0,IF(AND($F516&lt;=EOMONTH(DATE(PlanYear,5,1),0),IF(ISNUMBER($G516),$G516,$F516)&gt;=DATE(PlanYear,5,1)),1,0))</f>
        <v>0</v>
      </c>
      <c r="T516">
        <f>IF($N516=0,0,IF(AND($F516&lt;=EOMONTH(DATE(PlanYear,6,1),0),IF(ISNUMBER($G516),$G516,$F516)&gt;=DATE(PlanYear,6,1)),1,0))</f>
        <v>0</v>
      </c>
      <c r="U516">
        <f>IF($N516=0,0,IF(AND($F516&lt;=EOMONTH(DATE(PlanYear,7,1),0),IF(ISNUMBER($G516),$G516,$F516)&gt;=DATE(PlanYear,7,1)),1,0))</f>
        <v>0</v>
      </c>
      <c r="V516">
        <f>IF($N516=0,0,IF(AND($F516&lt;=EOMONTH(DATE(PlanYear,8,1),0),IF(ISNUMBER($G516),$G516,$F516)&gt;=DATE(PlanYear,8,1)),1,0))</f>
        <v>0</v>
      </c>
      <c r="W516">
        <f>IF($N516=0,0,IF(AND($F516&lt;=EOMONTH(DATE(PlanYear,9,1),0),IF(ISNUMBER($G516),$G516,$F516)&gt;=DATE(PlanYear,9,1)),1,0))</f>
        <v>0</v>
      </c>
      <c r="X516">
        <f>IF($N516=0,0,IF(AND($F516&lt;=EOMONTH(DATE(PlanYear,10,1),0),IF(ISNUMBER($G516),$G516,$F516)&gt;=DATE(PlanYear,10,1)),1,0))</f>
        <v>0</v>
      </c>
      <c r="Y516">
        <f>IF($N516=0,0,IF(AND($F516&lt;=EOMONTH(DATE(PlanYear,11,1),0),IF(ISNUMBER($G516),$G516,$F516)&gt;=DATE(PlanYear,11,1)),1,0))</f>
        <v>0</v>
      </c>
      <c r="Z516">
        <f>IF($N516=0,0,IF(AND($F516&lt;=EOMONTH(DATE(PlanYear,12,1),0),IF(ISNUMBER($G516),$G516,$F516)&gt;=DATE(PlanYear,12,1)),1,0))</f>
        <v>0</v>
      </c>
      <c r="AA516">
        <f>SUM($O516:$Z516)</f>
        <v>0</v>
      </c>
    </row>
    <row r="517" spans="1:27">
      <c r="A517" s="42">
        <f>IF($B517="","","ACT-"&amp;TEXT(ROW()-4,"000"))</f>
        <v>0</v>
      </c>
      <c r="M517" s="43">
        <f>IF(COUNTA($B517:$K517)=0,"",IF($B517="","Missing activity name",IF($C517="","Missing practice",IF(COUNTIF(PracticeNames,$C517)=0,"Practice not in Lists",IF($D517="","Missing motion",IF(NOT(ISNUMBER($F517)),"Missing or invalid start date",IF(AND(ISNUMBER($G517),$G517&lt;$F517),"End date before start",IF(AND($N517=1,$AA517=0),"Outside planning year","OK"))))))))</f>
        <v>0</v>
      </c>
      <c r="N517">
        <f>IF(AND($B517&lt;&gt;"",$C517&lt;&gt;"",$D517&lt;&gt;"",ISNUMBER($F517),COUNTIF(PracticeNames,$C517)&gt;0,COUNTIF(MotionNames,$D517)&gt;0,NOT(AND(ISNUMBER($G517),$G517&lt;$F517))),IF(StatusFilter="All (excl. Cancelled)",IF($H517="Cancelled",0,1),IF(StatusFilter="All",1,IF($H517=StatusFilter,1,0))),0)</f>
        <v>0</v>
      </c>
      <c r="O517">
        <f>IF($N517=0,0,IF(AND($F517&lt;=EOMONTH(DATE(PlanYear,1,1),0),IF(ISNUMBER($G517),$G517,$F517)&gt;=DATE(PlanYear,1,1)),1,0))</f>
        <v>0</v>
      </c>
      <c r="P517">
        <f>IF($N517=0,0,IF(AND($F517&lt;=EOMONTH(DATE(PlanYear,2,1),0),IF(ISNUMBER($G517),$G517,$F517)&gt;=DATE(PlanYear,2,1)),1,0))</f>
        <v>0</v>
      </c>
      <c r="Q517">
        <f>IF($N517=0,0,IF(AND($F517&lt;=EOMONTH(DATE(PlanYear,3,1),0),IF(ISNUMBER($G517),$G517,$F517)&gt;=DATE(PlanYear,3,1)),1,0))</f>
        <v>0</v>
      </c>
      <c r="R517">
        <f>IF($N517=0,0,IF(AND($F517&lt;=EOMONTH(DATE(PlanYear,4,1),0),IF(ISNUMBER($G517),$G517,$F517)&gt;=DATE(PlanYear,4,1)),1,0))</f>
        <v>0</v>
      </c>
      <c r="S517">
        <f>IF($N517=0,0,IF(AND($F517&lt;=EOMONTH(DATE(PlanYear,5,1),0),IF(ISNUMBER($G517),$G517,$F517)&gt;=DATE(PlanYear,5,1)),1,0))</f>
        <v>0</v>
      </c>
      <c r="T517">
        <f>IF($N517=0,0,IF(AND($F517&lt;=EOMONTH(DATE(PlanYear,6,1),0),IF(ISNUMBER($G517),$G517,$F517)&gt;=DATE(PlanYear,6,1)),1,0))</f>
        <v>0</v>
      </c>
      <c r="U517">
        <f>IF($N517=0,0,IF(AND($F517&lt;=EOMONTH(DATE(PlanYear,7,1),0),IF(ISNUMBER($G517),$G517,$F517)&gt;=DATE(PlanYear,7,1)),1,0))</f>
        <v>0</v>
      </c>
      <c r="V517">
        <f>IF($N517=0,0,IF(AND($F517&lt;=EOMONTH(DATE(PlanYear,8,1),0),IF(ISNUMBER($G517),$G517,$F517)&gt;=DATE(PlanYear,8,1)),1,0))</f>
        <v>0</v>
      </c>
      <c r="W517">
        <f>IF($N517=0,0,IF(AND($F517&lt;=EOMONTH(DATE(PlanYear,9,1),0),IF(ISNUMBER($G517),$G517,$F517)&gt;=DATE(PlanYear,9,1)),1,0))</f>
        <v>0</v>
      </c>
      <c r="X517">
        <f>IF($N517=0,0,IF(AND($F517&lt;=EOMONTH(DATE(PlanYear,10,1),0),IF(ISNUMBER($G517),$G517,$F517)&gt;=DATE(PlanYear,10,1)),1,0))</f>
        <v>0</v>
      </c>
      <c r="Y517">
        <f>IF($N517=0,0,IF(AND($F517&lt;=EOMONTH(DATE(PlanYear,11,1),0),IF(ISNUMBER($G517),$G517,$F517)&gt;=DATE(PlanYear,11,1)),1,0))</f>
        <v>0</v>
      </c>
      <c r="Z517">
        <f>IF($N517=0,0,IF(AND($F517&lt;=EOMONTH(DATE(PlanYear,12,1),0),IF(ISNUMBER($G517),$G517,$F517)&gt;=DATE(PlanYear,12,1)),1,0))</f>
        <v>0</v>
      </c>
      <c r="AA517">
        <f>SUM($O517:$Z517)</f>
        <v>0</v>
      </c>
    </row>
    <row r="518" spans="1:27">
      <c r="A518" s="42">
        <f>IF($B518="","","ACT-"&amp;TEXT(ROW()-4,"000"))</f>
        <v>0</v>
      </c>
      <c r="M518" s="43">
        <f>IF(COUNTA($B518:$K518)=0,"",IF($B518="","Missing activity name",IF($C518="","Missing practice",IF(COUNTIF(PracticeNames,$C518)=0,"Practice not in Lists",IF($D518="","Missing motion",IF(NOT(ISNUMBER($F518)),"Missing or invalid start date",IF(AND(ISNUMBER($G518),$G518&lt;$F518),"End date before start",IF(AND($N518=1,$AA518=0),"Outside planning year","OK"))))))))</f>
        <v>0</v>
      </c>
      <c r="N518">
        <f>IF(AND($B518&lt;&gt;"",$C518&lt;&gt;"",$D518&lt;&gt;"",ISNUMBER($F518),COUNTIF(PracticeNames,$C518)&gt;0,COUNTIF(MotionNames,$D518)&gt;0,NOT(AND(ISNUMBER($G518),$G518&lt;$F518))),IF(StatusFilter="All (excl. Cancelled)",IF($H518="Cancelled",0,1),IF(StatusFilter="All",1,IF($H518=StatusFilter,1,0))),0)</f>
        <v>0</v>
      </c>
      <c r="O518">
        <f>IF($N518=0,0,IF(AND($F518&lt;=EOMONTH(DATE(PlanYear,1,1),0),IF(ISNUMBER($G518),$G518,$F518)&gt;=DATE(PlanYear,1,1)),1,0))</f>
        <v>0</v>
      </c>
      <c r="P518">
        <f>IF($N518=0,0,IF(AND($F518&lt;=EOMONTH(DATE(PlanYear,2,1),0),IF(ISNUMBER($G518),$G518,$F518)&gt;=DATE(PlanYear,2,1)),1,0))</f>
        <v>0</v>
      </c>
      <c r="Q518">
        <f>IF($N518=0,0,IF(AND($F518&lt;=EOMONTH(DATE(PlanYear,3,1),0),IF(ISNUMBER($G518),$G518,$F518)&gt;=DATE(PlanYear,3,1)),1,0))</f>
        <v>0</v>
      </c>
      <c r="R518">
        <f>IF($N518=0,0,IF(AND($F518&lt;=EOMONTH(DATE(PlanYear,4,1),0),IF(ISNUMBER($G518),$G518,$F518)&gt;=DATE(PlanYear,4,1)),1,0))</f>
        <v>0</v>
      </c>
      <c r="S518">
        <f>IF($N518=0,0,IF(AND($F518&lt;=EOMONTH(DATE(PlanYear,5,1),0),IF(ISNUMBER($G518),$G518,$F518)&gt;=DATE(PlanYear,5,1)),1,0))</f>
        <v>0</v>
      </c>
      <c r="T518">
        <f>IF($N518=0,0,IF(AND($F518&lt;=EOMONTH(DATE(PlanYear,6,1),0),IF(ISNUMBER($G518),$G518,$F518)&gt;=DATE(PlanYear,6,1)),1,0))</f>
        <v>0</v>
      </c>
      <c r="U518">
        <f>IF($N518=0,0,IF(AND($F518&lt;=EOMONTH(DATE(PlanYear,7,1),0),IF(ISNUMBER($G518),$G518,$F518)&gt;=DATE(PlanYear,7,1)),1,0))</f>
        <v>0</v>
      </c>
      <c r="V518">
        <f>IF($N518=0,0,IF(AND($F518&lt;=EOMONTH(DATE(PlanYear,8,1),0),IF(ISNUMBER($G518),$G518,$F518)&gt;=DATE(PlanYear,8,1)),1,0))</f>
        <v>0</v>
      </c>
      <c r="W518">
        <f>IF($N518=0,0,IF(AND($F518&lt;=EOMONTH(DATE(PlanYear,9,1),0),IF(ISNUMBER($G518),$G518,$F518)&gt;=DATE(PlanYear,9,1)),1,0))</f>
        <v>0</v>
      </c>
      <c r="X518">
        <f>IF($N518=0,0,IF(AND($F518&lt;=EOMONTH(DATE(PlanYear,10,1),0),IF(ISNUMBER($G518),$G518,$F518)&gt;=DATE(PlanYear,10,1)),1,0))</f>
        <v>0</v>
      </c>
      <c r="Y518">
        <f>IF($N518=0,0,IF(AND($F518&lt;=EOMONTH(DATE(PlanYear,11,1),0),IF(ISNUMBER($G518),$G518,$F518)&gt;=DATE(PlanYear,11,1)),1,0))</f>
        <v>0</v>
      </c>
      <c r="Z518">
        <f>IF($N518=0,0,IF(AND($F518&lt;=EOMONTH(DATE(PlanYear,12,1),0),IF(ISNUMBER($G518),$G518,$F518)&gt;=DATE(PlanYear,12,1)),1,0))</f>
        <v>0</v>
      </c>
      <c r="AA518">
        <f>SUM($O518:$Z518)</f>
        <v>0</v>
      </c>
    </row>
    <row r="519" spans="1:27">
      <c r="A519" s="42">
        <f>IF($B519="","","ACT-"&amp;TEXT(ROW()-4,"000"))</f>
        <v>0</v>
      </c>
      <c r="M519" s="43">
        <f>IF(COUNTA($B519:$K519)=0,"",IF($B519="","Missing activity name",IF($C519="","Missing practice",IF(COUNTIF(PracticeNames,$C519)=0,"Practice not in Lists",IF($D519="","Missing motion",IF(NOT(ISNUMBER($F519)),"Missing or invalid start date",IF(AND(ISNUMBER($G519),$G519&lt;$F519),"End date before start",IF(AND($N519=1,$AA519=0),"Outside planning year","OK"))))))))</f>
        <v>0</v>
      </c>
      <c r="N519">
        <f>IF(AND($B519&lt;&gt;"",$C519&lt;&gt;"",$D519&lt;&gt;"",ISNUMBER($F519),COUNTIF(PracticeNames,$C519)&gt;0,COUNTIF(MotionNames,$D519)&gt;0,NOT(AND(ISNUMBER($G519),$G519&lt;$F519))),IF(StatusFilter="All (excl. Cancelled)",IF($H519="Cancelled",0,1),IF(StatusFilter="All",1,IF($H519=StatusFilter,1,0))),0)</f>
        <v>0</v>
      </c>
      <c r="O519">
        <f>IF($N519=0,0,IF(AND($F519&lt;=EOMONTH(DATE(PlanYear,1,1),0),IF(ISNUMBER($G519),$G519,$F519)&gt;=DATE(PlanYear,1,1)),1,0))</f>
        <v>0</v>
      </c>
      <c r="P519">
        <f>IF($N519=0,0,IF(AND($F519&lt;=EOMONTH(DATE(PlanYear,2,1),0),IF(ISNUMBER($G519),$G519,$F519)&gt;=DATE(PlanYear,2,1)),1,0))</f>
        <v>0</v>
      </c>
      <c r="Q519">
        <f>IF($N519=0,0,IF(AND($F519&lt;=EOMONTH(DATE(PlanYear,3,1),0),IF(ISNUMBER($G519),$G519,$F519)&gt;=DATE(PlanYear,3,1)),1,0))</f>
        <v>0</v>
      </c>
      <c r="R519">
        <f>IF($N519=0,0,IF(AND($F519&lt;=EOMONTH(DATE(PlanYear,4,1),0),IF(ISNUMBER($G519),$G519,$F519)&gt;=DATE(PlanYear,4,1)),1,0))</f>
        <v>0</v>
      </c>
      <c r="S519">
        <f>IF($N519=0,0,IF(AND($F519&lt;=EOMONTH(DATE(PlanYear,5,1),0),IF(ISNUMBER($G519),$G519,$F519)&gt;=DATE(PlanYear,5,1)),1,0))</f>
        <v>0</v>
      </c>
      <c r="T519">
        <f>IF($N519=0,0,IF(AND($F519&lt;=EOMONTH(DATE(PlanYear,6,1),0),IF(ISNUMBER($G519),$G519,$F519)&gt;=DATE(PlanYear,6,1)),1,0))</f>
        <v>0</v>
      </c>
      <c r="U519">
        <f>IF($N519=0,0,IF(AND($F519&lt;=EOMONTH(DATE(PlanYear,7,1),0),IF(ISNUMBER($G519),$G519,$F519)&gt;=DATE(PlanYear,7,1)),1,0))</f>
        <v>0</v>
      </c>
      <c r="V519">
        <f>IF($N519=0,0,IF(AND($F519&lt;=EOMONTH(DATE(PlanYear,8,1),0),IF(ISNUMBER($G519),$G519,$F519)&gt;=DATE(PlanYear,8,1)),1,0))</f>
        <v>0</v>
      </c>
      <c r="W519">
        <f>IF($N519=0,0,IF(AND($F519&lt;=EOMONTH(DATE(PlanYear,9,1),0),IF(ISNUMBER($G519),$G519,$F519)&gt;=DATE(PlanYear,9,1)),1,0))</f>
        <v>0</v>
      </c>
      <c r="X519">
        <f>IF($N519=0,0,IF(AND($F519&lt;=EOMONTH(DATE(PlanYear,10,1),0),IF(ISNUMBER($G519),$G519,$F519)&gt;=DATE(PlanYear,10,1)),1,0))</f>
        <v>0</v>
      </c>
      <c r="Y519">
        <f>IF($N519=0,0,IF(AND($F519&lt;=EOMONTH(DATE(PlanYear,11,1),0),IF(ISNUMBER($G519),$G519,$F519)&gt;=DATE(PlanYear,11,1)),1,0))</f>
        <v>0</v>
      </c>
      <c r="Z519">
        <f>IF($N519=0,0,IF(AND($F519&lt;=EOMONTH(DATE(PlanYear,12,1),0),IF(ISNUMBER($G519),$G519,$F519)&gt;=DATE(PlanYear,12,1)),1,0))</f>
        <v>0</v>
      </c>
      <c r="AA519">
        <f>SUM($O519:$Z519)</f>
        <v>0</v>
      </c>
    </row>
    <row r="520" spans="1:27">
      <c r="A520" s="42">
        <f>IF($B520="","","ACT-"&amp;TEXT(ROW()-4,"000"))</f>
        <v>0</v>
      </c>
      <c r="M520" s="43">
        <f>IF(COUNTA($B520:$K520)=0,"",IF($B520="","Missing activity name",IF($C520="","Missing practice",IF(COUNTIF(PracticeNames,$C520)=0,"Practice not in Lists",IF($D520="","Missing motion",IF(NOT(ISNUMBER($F520)),"Missing or invalid start date",IF(AND(ISNUMBER($G520),$G520&lt;$F520),"End date before start",IF(AND($N520=1,$AA520=0),"Outside planning year","OK"))))))))</f>
        <v>0</v>
      </c>
      <c r="N520">
        <f>IF(AND($B520&lt;&gt;"",$C520&lt;&gt;"",$D520&lt;&gt;"",ISNUMBER($F520),COUNTIF(PracticeNames,$C520)&gt;0,COUNTIF(MotionNames,$D520)&gt;0,NOT(AND(ISNUMBER($G520),$G520&lt;$F520))),IF(StatusFilter="All (excl. Cancelled)",IF($H520="Cancelled",0,1),IF(StatusFilter="All",1,IF($H520=StatusFilter,1,0))),0)</f>
        <v>0</v>
      </c>
      <c r="O520">
        <f>IF($N520=0,0,IF(AND($F520&lt;=EOMONTH(DATE(PlanYear,1,1),0),IF(ISNUMBER($G520),$G520,$F520)&gt;=DATE(PlanYear,1,1)),1,0))</f>
        <v>0</v>
      </c>
      <c r="P520">
        <f>IF($N520=0,0,IF(AND($F520&lt;=EOMONTH(DATE(PlanYear,2,1),0),IF(ISNUMBER($G520),$G520,$F520)&gt;=DATE(PlanYear,2,1)),1,0))</f>
        <v>0</v>
      </c>
      <c r="Q520">
        <f>IF($N520=0,0,IF(AND($F520&lt;=EOMONTH(DATE(PlanYear,3,1),0),IF(ISNUMBER($G520),$G520,$F520)&gt;=DATE(PlanYear,3,1)),1,0))</f>
        <v>0</v>
      </c>
      <c r="R520">
        <f>IF($N520=0,0,IF(AND($F520&lt;=EOMONTH(DATE(PlanYear,4,1),0),IF(ISNUMBER($G520),$G520,$F520)&gt;=DATE(PlanYear,4,1)),1,0))</f>
        <v>0</v>
      </c>
      <c r="S520">
        <f>IF($N520=0,0,IF(AND($F520&lt;=EOMONTH(DATE(PlanYear,5,1),0),IF(ISNUMBER($G520),$G520,$F520)&gt;=DATE(PlanYear,5,1)),1,0))</f>
        <v>0</v>
      </c>
      <c r="T520">
        <f>IF($N520=0,0,IF(AND($F520&lt;=EOMONTH(DATE(PlanYear,6,1),0),IF(ISNUMBER($G520),$G520,$F520)&gt;=DATE(PlanYear,6,1)),1,0))</f>
        <v>0</v>
      </c>
      <c r="U520">
        <f>IF($N520=0,0,IF(AND($F520&lt;=EOMONTH(DATE(PlanYear,7,1),0),IF(ISNUMBER($G520),$G520,$F520)&gt;=DATE(PlanYear,7,1)),1,0))</f>
        <v>0</v>
      </c>
      <c r="V520">
        <f>IF($N520=0,0,IF(AND($F520&lt;=EOMONTH(DATE(PlanYear,8,1),0),IF(ISNUMBER($G520),$G520,$F520)&gt;=DATE(PlanYear,8,1)),1,0))</f>
        <v>0</v>
      </c>
      <c r="W520">
        <f>IF($N520=0,0,IF(AND($F520&lt;=EOMONTH(DATE(PlanYear,9,1),0),IF(ISNUMBER($G520),$G520,$F520)&gt;=DATE(PlanYear,9,1)),1,0))</f>
        <v>0</v>
      </c>
      <c r="X520">
        <f>IF($N520=0,0,IF(AND($F520&lt;=EOMONTH(DATE(PlanYear,10,1),0),IF(ISNUMBER($G520),$G520,$F520)&gt;=DATE(PlanYear,10,1)),1,0))</f>
        <v>0</v>
      </c>
      <c r="Y520">
        <f>IF($N520=0,0,IF(AND($F520&lt;=EOMONTH(DATE(PlanYear,11,1),0),IF(ISNUMBER($G520),$G520,$F520)&gt;=DATE(PlanYear,11,1)),1,0))</f>
        <v>0</v>
      </c>
      <c r="Z520">
        <f>IF($N520=0,0,IF(AND($F520&lt;=EOMONTH(DATE(PlanYear,12,1),0),IF(ISNUMBER($G520),$G520,$F520)&gt;=DATE(PlanYear,12,1)),1,0))</f>
        <v>0</v>
      </c>
      <c r="AA520">
        <f>SUM($O520:$Z520)</f>
        <v>0</v>
      </c>
    </row>
    <row r="521" spans="1:27">
      <c r="A521" s="42">
        <f>IF($B521="","","ACT-"&amp;TEXT(ROW()-4,"000"))</f>
        <v>0</v>
      </c>
      <c r="M521" s="43">
        <f>IF(COUNTA($B521:$K521)=0,"",IF($B521="","Missing activity name",IF($C521="","Missing practice",IF(COUNTIF(PracticeNames,$C521)=0,"Practice not in Lists",IF($D521="","Missing motion",IF(NOT(ISNUMBER($F521)),"Missing or invalid start date",IF(AND(ISNUMBER($G521),$G521&lt;$F521),"End date before start",IF(AND($N521=1,$AA521=0),"Outside planning year","OK"))))))))</f>
        <v>0</v>
      </c>
      <c r="N521">
        <f>IF(AND($B521&lt;&gt;"",$C521&lt;&gt;"",$D521&lt;&gt;"",ISNUMBER($F521),COUNTIF(PracticeNames,$C521)&gt;0,COUNTIF(MotionNames,$D521)&gt;0,NOT(AND(ISNUMBER($G521),$G521&lt;$F521))),IF(StatusFilter="All (excl. Cancelled)",IF($H521="Cancelled",0,1),IF(StatusFilter="All",1,IF($H521=StatusFilter,1,0))),0)</f>
        <v>0</v>
      </c>
      <c r="O521">
        <f>IF($N521=0,0,IF(AND($F521&lt;=EOMONTH(DATE(PlanYear,1,1),0),IF(ISNUMBER($G521),$G521,$F521)&gt;=DATE(PlanYear,1,1)),1,0))</f>
        <v>0</v>
      </c>
      <c r="P521">
        <f>IF($N521=0,0,IF(AND($F521&lt;=EOMONTH(DATE(PlanYear,2,1),0),IF(ISNUMBER($G521),$G521,$F521)&gt;=DATE(PlanYear,2,1)),1,0))</f>
        <v>0</v>
      </c>
      <c r="Q521">
        <f>IF($N521=0,0,IF(AND($F521&lt;=EOMONTH(DATE(PlanYear,3,1),0),IF(ISNUMBER($G521),$G521,$F521)&gt;=DATE(PlanYear,3,1)),1,0))</f>
        <v>0</v>
      </c>
      <c r="R521">
        <f>IF($N521=0,0,IF(AND($F521&lt;=EOMONTH(DATE(PlanYear,4,1),0),IF(ISNUMBER($G521),$G521,$F521)&gt;=DATE(PlanYear,4,1)),1,0))</f>
        <v>0</v>
      </c>
      <c r="S521">
        <f>IF($N521=0,0,IF(AND($F521&lt;=EOMONTH(DATE(PlanYear,5,1),0),IF(ISNUMBER($G521),$G521,$F521)&gt;=DATE(PlanYear,5,1)),1,0))</f>
        <v>0</v>
      </c>
      <c r="T521">
        <f>IF($N521=0,0,IF(AND($F521&lt;=EOMONTH(DATE(PlanYear,6,1),0),IF(ISNUMBER($G521),$G521,$F521)&gt;=DATE(PlanYear,6,1)),1,0))</f>
        <v>0</v>
      </c>
      <c r="U521">
        <f>IF($N521=0,0,IF(AND($F521&lt;=EOMONTH(DATE(PlanYear,7,1),0),IF(ISNUMBER($G521),$G521,$F521)&gt;=DATE(PlanYear,7,1)),1,0))</f>
        <v>0</v>
      </c>
      <c r="V521">
        <f>IF($N521=0,0,IF(AND($F521&lt;=EOMONTH(DATE(PlanYear,8,1),0),IF(ISNUMBER($G521),$G521,$F521)&gt;=DATE(PlanYear,8,1)),1,0))</f>
        <v>0</v>
      </c>
      <c r="W521">
        <f>IF($N521=0,0,IF(AND($F521&lt;=EOMONTH(DATE(PlanYear,9,1),0),IF(ISNUMBER($G521),$G521,$F521)&gt;=DATE(PlanYear,9,1)),1,0))</f>
        <v>0</v>
      </c>
      <c r="X521">
        <f>IF($N521=0,0,IF(AND($F521&lt;=EOMONTH(DATE(PlanYear,10,1),0),IF(ISNUMBER($G521),$G521,$F521)&gt;=DATE(PlanYear,10,1)),1,0))</f>
        <v>0</v>
      </c>
      <c r="Y521">
        <f>IF($N521=0,0,IF(AND($F521&lt;=EOMONTH(DATE(PlanYear,11,1),0),IF(ISNUMBER($G521),$G521,$F521)&gt;=DATE(PlanYear,11,1)),1,0))</f>
        <v>0</v>
      </c>
      <c r="Z521">
        <f>IF($N521=0,0,IF(AND($F521&lt;=EOMONTH(DATE(PlanYear,12,1),0),IF(ISNUMBER($G521),$G521,$F521)&gt;=DATE(PlanYear,12,1)),1,0))</f>
        <v>0</v>
      </c>
      <c r="AA521">
        <f>SUM($O521:$Z521)</f>
        <v>0</v>
      </c>
    </row>
    <row r="522" spans="1:27">
      <c r="A522" s="42">
        <f>IF($B522="","","ACT-"&amp;TEXT(ROW()-4,"000"))</f>
        <v>0</v>
      </c>
      <c r="M522" s="43">
        <f>IF(COUNTA($B522:$K522)=0,"",IF($B522="","Missing activity name",IF($C522="","Missing practice",IF(COUNTIF(PracticeNames,$C522)=0,"Practice not in Lists",IF($D522="","Missing motion",IF(NOT(ISNUMBER($F522)),"Missing or invalid start date",IF(AND(ISNUMBER($G522),$G522&lt;$F522),"End date before start",IF(AND($N522=1,$AA522=0),"Outside planning year","OK"))))))))</f>
        <v>0</v>
      </c>
      <c r="N522">
        <f>IF(AND($B522&lt;&gt;"",$C522&lt;&gt;"",$D522&lt;&gt;"",ISNUMBER($F522),COUNTIF(PracticeNames,$C522)&gt;0,COUNTIF(MotionNames,$D522)&gt;0,NOT(AND(ISNUMBER($G522),$G522&lt;$F522))),IF(StatusFilter="All (excl. Cancelled)",IF($H522="Cancelled",0,1),IF(StatusFilter="All",1,IF($H522=StatusFilter,1,0))),0)</f>
        <v>0</v>
      </c>
      <c r="O522">
        <f>IF($N522=0,0,IF(AND($F522&lt;=EOMONTH(DATE(PlanYear,1,1),0),IF(ISNUMBER($G522),$G522,$F522)&gt;=DATE(PlanYear,1,1)),1,0))</f>
        <v>0</v>
      </c>
      <c r="P522">
        <f>IF($N522=0,0,IF(AND($F522&lt;=EOMONTH(DATE(PlanYear,2,1),0),IF(ISNUMBER($G522),$G522,$F522)&gt;=DATE(PlanYear,2,1)),1,0))</f>
        <v>0</v>
      </c>
      <c r="Q522">
        <f>IF($N522=0,0,IF(AND($F522&lt;=EOMONTH(DATE(PlanYear,3,1),0),IF(ISNUMBER($G522),$G522,$F522)&gt;=DATE(PlanYear,3,1)),1,0))</f>
        <v>0</v>
      </c>
      <c r="R522">
        <f>IF($N522=0,0,IF(AND($F522&lt;=EOMONTH(DATE(PlanYear,4,1),0),IF(ISNUMBER($G522),$G522,$F522)&gt;=DATE(PlanYear,4,1)),1,0))</f>
        <v>0</v>
      </c>
      <c r="S522">
        <f>IF($N522=0,0,IF(AND($F522&lt;=EOMONTH(DATE(PlanYear,5,1),0),IF(ISNUMBER($G522),$G522,$F522)&gt;=DATE(PlanYear,5,1)),1,0))</f>
        <v>0</v>
      </c>
      <c r="T522">
        <f>IF($N522=0,0,IF(AND($F522&lt;=EOMONTH(DATE(PlanYear,6,1),0),IF(ISNUMBER($G522),$G522,$F522)&gt;=DATE(PlanYear,6,1)),1,0))</f>
        <v>0</v>
      </c>
      <c r="U522">
        <f>IF($N522=0,0,IF(AND($F522&lt;=EOMONTH(DATE(PlanYear,7,1),0),IF(ISNUMBER($G522),$G522,$F522)&gt;=DATE(PlanYear,7,1)),1,0))</f>
        <v>0</v>
      </c>
      <c r="V522">
        <f>IF($N522=0,0,IF(AND($F522&lt;=EOMONTH(DATE(PlanYear,8,1),0),IF(ISNUMBER($G522),$G522,$F522)&gt;=DATE(PlanYear,8,1)),1,0))</f>
        <v>0</v>
      </c>
      <c r="W522">
        <f>IF($N522=0,0,IF(AND($F522&lt;=EOMONTH(DATE(PlanYear,9,1),0),IF(ISNUMBER($G522),$G522,$F522)&gt;=DATE(PlanYear,9,1)),1,0))</f>
        <v>0</v>
      </c>
      <c r="X522">
        <f>IF($N522=0,0,IF(AND($F522&lt;=EOMONTH(DATE(PlanYear,10,1),0),IF(ISNUMBER($G522),$G522,$F522)&gt;=DATE(PlanYear,10,1)),1,0))</f>
        <v>0</v>
      </c>
      <c r="Y522">
        <f>IF($N522=0,0,IF(AND($F522&lt;=EOMONTH(DATE(PlanYear,11,1),0),IF(ISNUMBER($G522),$G522,$F522)&gt;=DATE(PlanYear,11,1)),1,0))</f>
        <v>0</v>
      </c>
      <c r="Z522">
        <f>IF($N522=0,0,IF(AND($F522&lt;=EOMONTH(DATE(PlanYear,12,1),0),IF(ISNUMBER($G522),$G522,$F522)&gt;=DATE(PlanYear,12,1)),1,0))</f>
        <v>0</v>
      </c>
      <c r="AA522">
        <f>SUM($O522:$Z522)</f>
        <v>0</v>
      </c>
    </row>
    <row r="523" spans="1:27">
      <c r="A523" s="42">
        <f>IF($B523="","","ACT-"&amp;TEXT(ROW()-4,"000"))</f>
        <v>0</v>
      </c>
      <c r="M523" s="43">
        <f>IF(COUNTA($B523:$K523)=0,"",IF($B523="","Missing activity name",IF($C523="","Missing practice",IF(COUNTIF(PracticeNames,$C523)=0,"Practice not in Lists",IF($D523="","Missing motion",IF(NOT(ISNUMBER($F523)),"Missing or invalid start date",IF(AND(ISNUMBER($G523),$G523&lt;$F523),"End date before start",IF(AND($N523=1,$AA523=0),"Outside planning year","OK"))))))))</f>
        <v>0</v>
      </c>
      <c r="N523">
        <f>IF(AND($B523&lt;&gt;"",$C523&lt;&gt;"",$D523&lt;&gt;"",ISNUMBER($F523),COUNTIF(PracticeNames,$C523)&gt;0,COUNTIF(MotionNames,$D523)&gt;0,NOT(AND(ISNUMBER($G523),$G523&lt;$F523))),IF(StatusFilter="All (excl. Cancelled)",IF($H523="Cancelled",0,1),IF(StatusFilter="All",1,IF($H523=StatusFilter,1,0))),0)</f>
        <v>0</v>
      </c>
      <c r="O523">
        <f>IF($N523=0,0,IF(AND($F523&lt;=EOMONTH(DATE(PlanYear,1,1),0),IF(ISNUMBER($G523),$G523,$F523)&gt;=DATE(PlanYear,1,1)),1,0))</f>
        <v>0</v>
      </c>
      <c r="P523">
        <f>IF($N523=0,0,IF(AND($F523&lt;=EOMONTH(DATE(PlanYear,2,1),0),IF(ISNUMBER($G523),$G523,$F523)&gt;=DATE(PlanYear,2,1)),1,0))</f>
        <v>0</v>
      </c>
      <c r="Q523">
        <f>IF($N523=0,0,IF(AND($F523&lt;=EOMONTH(DATE(PlanYear,3,1),0),IF(ISNUMBER($G523),$G523,$F523)&gt;=DATE(PlanYear,3,1)),1,0))</f>
        <v>0</v>
      </c>
      <c r="R523">
        <f>IF($N523=0,0,IF(AND($F523&lt;=EOMONTH(DATE(PlanYear,4,1),0),IF(ISNUMBER($G523),$G523,$F523)&gt;=DATE(PlanYear,4,1)),1,0))</f>
        <v>0</v>
      </c>
      <c r="S523">
        <f>IF($N523=0,0,IF(AND($F523&lt;=EOMONTH(DATE(PlanYear,5,1),0),IF(ISNUMBER($G523),$G523,$F523)&gt;=DATE(PlanYear,5,1)),1,0))</f>
        <v>0</v>
      </c>
      <c r="T523">
        <f>IF($N523=0,0,IF(AND($F523&lt;=EOMONTH(DATE(PlanYear,6,1),0),IF(ISNUMBER($G523),$G523,$F523)&gt;=DATE(PlanYear,6,1)),1,0))</f>
        <v>0</v>
      </c>
      <c r="U523">
        <f>IF($N523=0,0,IF(AND($F523&lt;=EOMONTH(DATE(PlanYear,7,1),0),IF(ISNUMBER($G523),$G523,$F523)&gt;=DATE(PlanYear,7,1)),1,0))</f>
        <v>0</v>
      </c>
      <c r="V523">
        <f>IF($N523=0,0,IF(AND($F523&lt;=EOMONTH(DATE(PlanYear,8,1),0),IF(ISNUMBER($G523),$G523,$F523)&gt;=DATE(PlanYear,8,1)),1,0))</f>
        <v>0</v>
      </c>
      <c r="W523">
        <f>IF($N523=0,0,IF(AND($F523&lt;=EOMONTH(DATE(PlanYear,9,1),0),IF(ISNUMBER($G523),$G523,$F523)&gt;=DATE(PlanYear,9,1)),1,0))</f>
        <v>0</v>
      </c>
      <c r="X523">
        <f>IF($N523=0,0,IF(AND($F523&lt;=EOMONTH(DATE(PlanYear,10,1),0),IF(ISNUMBER($G523),$G523,$F523)&gt;=DATE(PlanYear,10,1)),1,0))</f>
        <v>0</v>
      </c>
      <c r="Y523">
        <f>IF($N523=0,0,IF(AND($F523&lt;=EOMONTH(DATE(PlanYear,11,1),0),IF(ISNUMBER($G523),$G523,$F523)&gt;=DATE(PlanYear,11,1)),1,0))</f>
        <v>0</v>
      </c>
      <c r="Z523">
        <f>IF($N523=0,0,IF(AND($F523&lt;=EOMONTH(DATE(PlanYear,12,1),0),IF(ISNUMBER($G523),$G523,$F523)&gt;=DATE(PlanYear,12,1)),1,0))</f>
        <v>0</v>
      </c>
      <c r="AA523">
        <f>SUM($O523:$Z523)</f>
        <v>0</v>
      </c>
    </row>
    <row r="524" spans="1:27">
      <c r="A524" s="42">
        <f>IF($B524="","","ACT-"&amp;TEXT(ROW()-4,"000"))</f>
        <v>0</v>
      </c>
      <c r="M524" s="43">
        <f>IF(COUNTA($B524:$K524)=0,"",IF($B524="","Missing activity name",IF($C524="","Missing practice",IF(COUNTIF(PracticeNames,$C524)=0,"Practice not in Lists",IF($D524="","Missing motion",IF(NOT(ISNUMBER($F524)),"Missing or invalid start date",IF(AND(ISNUMBER($G524),$G524&lt;$F524),"End date before start",IF(AND($N524=1,$AA524=0),"Outside planning year","OK"))))))))</f>
        <v>0</v>
      </c>
      <c r="N524">
        <f>IF(AND($B524&lt;&gt;"",$C524&lt;&gt;"",$D524&lt;&gt;"",ISNUMBER($F524),COUNTIF(PracticeNames,$C524)&gt;0,COUNTIF(MotionNames,$D524)&gt;0,NOT(AND(ISNUMBER($G524),$G524&lt;$F524))),IF(StatusFilter="All (excl. Cancelled)",IF($H524="Cancelled",0,1),IF(StatusFilter="All",1,IF($H524=StatusFilter,1,0))),0)</f>
        <v>0</v>
      </c>
      <c r="O524">
        <f>IF($N524=0,0,IF(AND($F524&lt;=EOMONTH(DATE(PlanYear,1,1),0),IF(ISNUMBER($G524),$G524,$F524)&gt;=DATE(PlanYear,1,1)),1,0))</f>
        <v>0</v>
      </c>
      <c r="P524">
        <f>IF($N524=0,0,IF(AND($F524&lt;=EOMONTH(DATE(PlanYear,2,1),0),IF(ISNUMBER($G524),$G524,$F524)&gt;=DATE(PlanYear,2,1)),1,0))</f>
        <v>0</v>
      </c>
      <c r="Q524">
        <f>IF($N524=0,0,IF(AND($F524&lt;=EOMONTH(DATE(PlanYear,3,1),0),IF(ISNUMBER($G524),$G524,$F524)&gt;=DATE(PlanYear,3,1)),1,0))</f>
        <v>0</v>
      </c>
      <c r="R524">
        <f>IF($N524=0,0,IF(AND($F524&lt;=EOMONTH(DATE(PlanYear,4,1),0),IF(ISNUMBER($G524),$G524,$F524)&gt;=DATE(PlanYear,4,1)),1,0))</f>
        <v>0</v>
      </c>
      <c r="S524">
        <f>IF($N524=0,0,IF(AND($F524&lt;=EOMONTH(DATE(PlanYear,5,1),0),IF(ISNUMBER($G524),$G524,$F524)&gt;=DATE(PlanYear,5,1)),1,0))</f>
        <v>0</v>
      </c>
      <c r="T524">
        <f>IF($N524=0,0,IF(AND($F524&lt;=EOMONTH(DATE(PlanYear,6,1),0),IF(ISNUMBER($G524),$G524,$F524)&gt;=DATE(PlanYear,6,1)),1,0))</f>
        <v>0</v>
      </c>
      <c r="U524">
        <f>IF($N524=0,0,IF(AND($F524&lt;=EOMONTH(DATE(PlanYear,7,1),0),IF(ISNUMBER($G524),$G524,$F524)&gt;=DATE(PlanYear,7,1)),1,0))</f>
        <v>0</v>
      </c>
      <c r="V524">
        <f>IF($N524=0,0,IF(AND($F524&lt;=EOMONTH(DATE(PlanYear,8,1),0),IF(ISNUMBER($G524),$G524,$F524)&gt;=DATE(PlanYear,8,1)),1,0))</f>
        <v>0</v>
      </c>
      <c r="W524">
        <f>IF($N524=0,0,IF(AND($F524&lt;=EOMONTH(DATE(PlanYear,9,1),0),IF(ISNUMBER($G524),$G524,$F524)&gt;=DATE(PlanYear,9,1)),1,0))</f>
        <v>0</v>
      </c>
      <c r="X524">
        <f>IF($N524=0,0,IF(AND($F524&lt;=EOMONTH(DATE(PlanYear,10,1),0),IF(ISNUMBER($G524),$G524,$F524)&gt;=DATE(PlanYear,10,1)),1,0))</f>
        <v>0</v>
      </c>
      <c r="Y524">
        <f>IF($N524=0,0,IF(AND($F524&lt;=EOMONTH(DATE(PlanYear,11,1),0),IF(ISNUMBER($G524),$G524,$F524)&gt;=DATE(PlanYear,11,1)),1,0))</f>
        <v>0</v>
      </c>
      <c r="Z524">
        <f>IF($N524=0,0,IF(AND($F524&lt;=EOMONTH(DATE(PlanYear,12,1),0),IF(ISNUMBER($G524),$G524,$F524)&gt;=DATE(PlanYear,12,1)),1,0))</f>
        <v>0</v>
      </c>
      <c r="AA524">
        <f>SUM($O524:$Z524)</f>
        <v>0</v>
      </c>
    </row>
    <row r="525" spans="1:27">
      <c r="A525" s="42">
        <f>IF($B525="","","ACT-"&amp;TEXT(ROW()-4,"000"))</f>
        <v>0</v>
      </c>
      <c r="M525" s="43">
        <f>IF(COUNTA($B525:$K525)=0,"",IF($B525="","Missing activity name",IF($C525="","Missing practice",IF(COUNTIF(PracticeNames,$C525)=0,"Practice not in Lists",IF($D525="","Missing motion",IF(NOT(ISNUMBER($F525)),"Missing or invalid start date",IF(AND(ISNUMBER($G525),$G525&lt;$F525),"End date before start",IF(AND($N525=1,$AA525=0),"Outside planning year","OK"))))))))</f>
        <v>0</v>
      </c>
      <c r="N525">
        <f>IF(AND($B525&lt;&gt;"",$C525&lt;&gt;"",$D525&lt;&gt;"",ISNUMBER($F525),COUNTIF(PracticeNames,$C525)&gt;0,COUNTIF(MotionNames,$D525)&gt;0,NOT(AND(ISNUMBER($G525),$G525&lt;$F525))),IF(StatusFilter="All (excl. Cancelled)",IF($H525="Cancelled",0,1),IF(StatusFilter="All",1,IF($H525=StatusFilter,1,0))),0)</f>
        <v>0</v>
      </c>
      <c r="O525">
        <f>IF($N525=0,0,IF(AND($F525&lt;=EOMONTH(DATE(PlanYear,1,1),0),IF(ISNUMBER($G525),$G525,$F525)&gt;=DATE(PlanYear,1,1)),1,0))</f>
        <v>0</v>
      </c>
      <c r="P525">
        <f>IF($N525=0,0,IF(AND($F525&lt;=EOMONTH(DATE(PlanYear,2,1),0),IF(ISNUMBER($G525),$G525,$F525)&gt;=DATE(PlanYear,2,1)),1,0))</f>
        <v>0</v>
      </c>
      <c r="Q525">
        <f>IF($N525=0,0,IF(AND($F525&lt;=EOMONTH(DATE(PlanYear,3,1),0),IF(ISNUMBER($G525),$G525,$F525)&gt;=DATE(PlanYear,3,1)),1,0))</f>
        <v>0</v>
      </c>
      <c r="R525">
        <f>IF($N525=0,0,IF(AND($F525&lt;=EOMONTH(DATE(PlanYear,4,1),0),IF(ISNUMBER($G525),$G525,$F525)&gt;=DATE(PlanYear,4,1)),1,0))</f>
        <v>0</v>
      </c>
      <c r="S525">
        <f>IF($N525=0,0,IF(AND($F525&lt;=EOMONTH(DATE(PlanYear,5,1),0),IF(ISNUMBER($G525),$G525,$F525)&gt;=DATE(PlanYear,5,1)),1,0))</f>
        <v>0</v>
      </c>
      <c r="T525">
        <f>IF($N525=0,0,IF(AND($F525&lt;=EOMONTH(DATE(PlanYear,6,1),0),IF(ISNUMBER($G525),$G525,$F525)&gt;=DATE(PlanYear,6,1)),1,0))</f>
        <v>0</v>
      </c>
      <c r="U525">
        <f>IF($N525=0,0,IF(AND($F525&lt;=EOMONTH(DATE(PlanYear,7,1),0),IF(ISNUMBER($G525),$G525,$F525)&gt;=DATE(PlanYear,7,1)),1,0))</f>
        <v>0</v>
      </c>
      <c r="V525">
        <f>IF($N525=0,0,IF(AND($F525&lt;=EOMONTH(DATE(PlanYear,8,1),0),IF(ISNUMBER($G525),$G525,$F525)&gt;=DATE(PlanYear,8,1)),1,0))</f>
        <v>0</v>
      </c>
      <c r="W525">
        <f>IF($N525=0,0,IF(AND($F525&lt;=EOMONTH(DATE(PlanYear,9,1),0),IF(ISNUMBER($G525),$G525,$F525)&gt;=DATE(PlanYear,9,1)),1,0))</f>
        <v>0</v>
      </c>
      <c r="X525">
        <f>IF($N525=0,0,IF(AND($F525&lt;=EOMONTH(DATE(PlanYear,10,1),0),IF(ISNUMBER($G525),$G525,$F525)&gt;=DATE(PlanYear,10,1)),1,0))</f>
        <v>0</v>
      </c>
      <c r="Y525">
        <f>IF($N525=0,0,IF(AND($F525&lt;=EOMONTH(DATE(PlanYear,11,1),0),IF(ISNUMBER($G525),$G525,$F525)&gt;=DATE(PlanYear,11,1)),1,0))</f>
        <v>0</v>
      </c>
      <c r="Z525">
        <f>IF($N525=0,0,IF(AND($F525&lt;=EOMONTH(DATE(PlanYear,12,1),0),IF(ISNUMBER($G525),$G525,$F525)&gt;=DATE(PlanYear,12,1)),1,0))</f>
        <v>0</v>
      </c>
      <c r="AA525">
        <f>SUM($O525:$Z525)</f>
        <v>0</v>
      </c>
    </row>
    <row r="526" spans="1:27">
      <c r="A526" s="42">
        <f>IF($B526="","","ACT-"&amp;TEXT(ROW()-4,"000"))</f>
        <v>0</v>
      </c>
      <c r="M526" s="43">
        <f>IF(COUNTA($B526:$K526)=0,"",IF($B526="","Missing activity name",IF($C526="","Missing practice",IF(COUNTIF(PracticeNames,$C526)=0,"Practice not in Lists",IF($D526="","Missing motion",IF(NOT(ISNUMBER($F526)),"Missing or invalid start date",IF(AND(ISNUMBER($G526),$G526&lt;$F526),"End date before start",IF(AND($N526=1,$AA526=0),"Outside planning year","OK"))))))))</f>
        <v>0</v>
      </c>
      <c r="N526">
        <f>IF(AND($B526&lt;&gt;"",$C526&lt;&gt;"",$D526&lt;&gt;"",ISNUMBER($F526),COUNTIF(PracticeNames,$C526)&gt;0,COUNTIF(MotionNames,$D526)&gt;0,NOT(AND(ISNUMBER($G526),$G526&lt;$F526))),IF(StatusFilter="All (excl. Cancelled)",IF($H526="Cancelled",0,1),IF(StatusFilter="All",1,IF($H526=StatusFilter,1,0))),0)</f>
        <v>0</v>
      </c>
      <c r="O526">
        <f>IF($N526=0,0,IF(AND($F526&lt;=EOMONTH(DATE(PlanYear,1,1),0),IF(ISNUMBER($G526),$G526,$F526)&gt;=DATE(PlanYear,1,1)),1,0))</f>
        <v>0</v>
      </c>
      <c r="P526">
        <f>IF($N526=0,0,IF(AND($F526&lt;=EOMONTH(DATE(PlanYear,2,1),0),IF(ISNUMBER($G526),$G526,$F526)&gt;=DATE(PlanYear,2,1)),1,0))</f>
        <v>0</v>
      </c>
      <c r="Q526">
        <f>IF($N526=0,0,IF(AND($F526&lt;=EOMONTH(DATE(PlanYear,3,1),0),IF(ISNUMBER($G526),$G526,$F526)&gt;=DATE(PlanYear,3,1)),1,0))</f>
        <v>0</v>
      </c>
      <c r="R526">
        <f>IF($N526=0,0,IF(AND($F526&lt;=EOMONTH(DATE(PlanYear,4,1),0),IF(ISNUMBER($G526),$G526,$F526)&gt;=DATE(PlanYear,4,1)),1,0))</f>
        <v>0</v>
      </c>
      <c r="S526">
        <f>IF($N526=0,0,IF(AND($F526&lt;=EOMONTH(DATE(PlanYear,5,1),0),IF(ISNUMBER($G526),$G526,$F526)&gt;=DATE(PlanYear,5,1)),1,0))</f>
        <v>0</v>
      </c>
      <c r="T526">
        <f>IF($N526=0,0,IF(AND($F526&lt;=EOMONTH(DATE(PlanYear,6,1),0),IF(ISNUMBER($G526),$G526,$F526)&gt;=DATE(PlanYear,6,1)),1,0))</f>
        <v>0</v>
      </c>
      <c r="U526">
        <f>IF($N526=0,0,IF(AND($F526&lt;=EOMONTH(DATE(PlanYear,7,1),0),IF(ISNUMBER($G526),$G526,$F526)&gt;=DATE(PlanYear,7,1)),1,0))</f>
        <v>0</v>
      </c>
      <c r="V526">
        <f>IF($N526=0,0,IF(AND($F526&lt;=EOMONTH(DATE(PlanYear,8,1),0),IF(ISNUMBER($G526),$G526,$F526)&gt;=DATE(PlanYear,8,1)),1,0))</f>
        <v>0</v>
      </c>
      <c r="W526">
        <f>IF($N526=0,0,IF(AND($F526&lt;=EOMONTH(DATE(PlanYear,9,1),0),IF(ISNUMBER($G526),$G526,$F526)&gt;=DATE(PlanYear,9,1)),1,0))</f>
        <v>0</v>
      </c>
      <c r="X526">
        <f>IF($N526=0,0,IF(AND($F526&lt;=EOMONTH(DATE(PlanYear,10,1),0),IF(ISNUMBER($G526),$G526,$F526)&gt;=DATE(PlanYear,10,1)),1,0))</f>
        <v>0</v>
      </c>
      <c r="Y526">
        <f>IF($N526=0,0,IF(AND($F526&lt;=EOMONTH(DATE(PlanYear,11,1),0),IF(ISNUMBER($G526),$G526,$F526)&gt;=DATE(PlanYear,11,1)),1,0))</f>
        <v>0</v>
      </c>
      <c r="Z526">
        <f>IF($N526=0,0,IF(AND($F526&lt;=EOMONTH(DATE(PlanYear,12,1),0),IF(ISNUMBER($G526),$G526,$F526)&gt;=DATE(PlanYear,12,1)),1,0))</f>
        <v>0</v>
      </c>
      <c r="AA526">
        <f>SUM($O526:$Z526)</f>
        <v>0</v>
      </c>
    </row>
    <row r="527" spans="1:27">
      <c r="A527" s="42">
        <f>IF($B527="","","ACT-"&amp;TEXT(ROW()-4,"000"))</f>
        <v>0</v>
      </c>
      <c r="M527" s="43">
        <f>IF(COUNTA($B527:$K527)=0,"",IF($B527="","Missing activity name",IF($C527="","Missing practice",IF(COUNTIF(PracticeNames,$C527)=0,"Practice not in Lists",IF($D527="","Missing motion",IF(NOT(ISNUMBER($F527)),"Missing or invalid start date",IF(AND(ISNUMBER($G527),$G527&lt;$F527),"End date before start",IF(AND($N527=1,$AA527=0),"Outside planning year","OK"))))))))</f>
        <v>0</v>
      </c>
      <c r="N527">
        <f>IF(AND($B527&lt;&gt;"",$C527&lt;&gt;"",$D527&lt;&gt;"",ISNUMBER($F527),COUNTIF(PracticeNames,$C527)&gt;0,COUNTIF(MotionNames,$D527)&gt;0,NOT(AND(ISNUMBER($G527),$G527&lt;$F527))),IF(StatusFilter="All (excl. Cancelled)",IF($H527="Cancelled",0,1),IF(StatusFilter="All",1,IF($H527=StatusFilter,1,0))),0)</f>
        <v>0</v>
      </c>
      <c r="O527">
        <f>IF($N527=0,0,IF(AND($F527&lt;=EOMONTH(DATE(PlanYear,1,1),0),IF(ISNUMBER($G527),$G527,$F527)&gt;=DATE(PlanYear,1,1)),1,0))</f>
        <v>0</v>
      </c>
      <c r="P527">
        <f>IF($N527=0,0,IF(AND($F527&lt;=EOMONTH(DATE(PlanYear,2,1),0),IF(ISNUMBER($G527),$G527,$F527)&gt;=DATE(PlanYear,2,1)),1,0))</f>
        <v>0</v>
      </c>
      <c r="Q527">
        <f>IF($N527=0,0,IF(AND($F527&lt;=EOMONTH(DATE(PlanYear,3,1),0),IF(ISNUMBER($G527),$G527,$F527)&gt;=DATE(PlanYear,3,1)),1,0))</f>
        <v>0</v>
      </c>
      <c r="R527">
        <f>IF($N527=0,0,IF(AND($F527&lt;=EOMONTH(DATE(PlanYear,4,1),0),IF(ISNUMBER($G527),$G527,$F527)&gt;=DATE(PlanYear,4,1)),1,0))</f>
        <v>0</v>
      </c>
      <c r="S527">
        <f>IF($N527=0,0,IF(AND($F527&lt;=EOMONTH(DATE(PlanYear,5,1),0),IF(ISNUMBER($G527),$G527,$F527)&gt;=DATE(PlanYear,5,1)),1,0))</f>
        <v>0</v>
      </c>
      <c r="T527">
        <f>IF($N527=0,0,IF(AND($F527&lt;=EOMONTH(DATE(PlanYear,6,1),0),IF(ISNUMBER($G527),$G527,$F527)&gt;=DATE(PlanYear,6,1)),1,0))</f>
        <v>0</v>
      </c>
      <c r="U527">
        <f>IF($N527=0,0,IF(AND($F527&lt;=EOMONTH(DATE(PlanYear,7,1),0),IF(ISNUMBER($G527),$G527,$F527)&gt;=DATE(PlanYear,7,1)),1,0))</f>
        <v>0</v>
      </c>
      <c r="V527">
        <f>IF($N527=0,0,IF(AND($F527&lt;=EOMONTH(DATE(PlanYear,8,1),0),IF(ISNUMBER($G527),$G527,$F527)&gt;=DATE(PlanYear,8,1)),1,0))</f>
        <v>0</v>
      </c>
      <c r="W527">
        <f>IF($N527=0,0,IF(AND($F527&lt;=EOMONTH(DATE(PlanYear,9,1),0),IF(ISNUMBER($G527),$G527,$F527)&gt;=DATE(PlanYear,9,1)),1,0))</f>
        <v>0</v>
      </c>
      <c r="X527">
        <f>IF($N527=0,0,IF(AND($F527&lt;=EOMONTH(DATE(PlanYear,10,1),0),IF(ISNUMBER($G527),$G527,$F527)&gt;=DATE(PlanYear,10,1)),1,0))</f>
        <v>0</v>
      </c>
      <c r="Y527">
        <f>IF($N527=0,0,IF(AND($F527&lt;=EOMONTH(DATE(PlanYear,11,1),0),IF(ISNUMBER($G527),$G527,$F527)&gt;=DATE(PlanYear,11,1)),1,0))</f>
        <v>0</v>
      </c>
      <c r="Z527">
        <f>IF($N527=0,0,IF(AND($F527&lt;=EOMONTH(DATE(PlanYear,12,1),0),IF(ISNUMBER($G527),$G527,$F527)&gt;=DATE(PlanYear,12,1)),1,0))</f>
        <v>0</v>
      </c>
      <c r="AA527">
        <f>SUM($O527:$Z527)</f>
        <v>0</v>
      </c>
    </row>
    <row r="528" spans="1:27">
      <c r="A528" s="42">
        <f>IF($B528="","","ACT-"&amp;TEXT(ROW()-4,"000"))</f>
        <v>0</v>
      </c>
      <c r="M528" s="43">
        <f>IF(COUNTA($B528:$K528)=0,"",IF($B528="","Missing activity name",IF($C528="","Missing practice",IF(COUNTIF(PracticeNames,$C528)=0,"Practice not in Lists",IF($D528="","Missing motion",IF(NOT(ISNUMBER($F528)),"Missing or invalid start date",IF(AND(ISNUMBER($G528),$G528&lt;$F528),"End date before start",IF(AND($N528=1,$AA528=0),"Outside planning year","OK"))))))))</f>
        <v>0</v>
      </c>
      <c r="N528">
        <f>IF(AND($B528&lt;&gt;"",$C528&lt;&gt;"",$D528&lt;&gt;"",ISNUMBER($F528),COUNTIF(PracticeNames,$C528)&gt;0,COUNTIF(MotionNames,$D528)&gt;0,NOT(AND(ISNUMBER($G528),$G528&lt;$F528))),IF(StatusFilter="All (excl. Cancelled)",IF($H528="Cancelled",0,1),IF(StatusFilter="All",1,IF($H528=StatusFilter,1,0))),0)</f>
        <v>0</v>
      </c>
      <c r="O528">
        <f>IF($N528=0,0,IF(AND($F528&lt;=EOMONTH(DATE(PlanYear,1,1),0),IF(ISNUMBER($G528),$G528,$F528)&gt;=DATE(PlanYear,1,1)),1,0))</f>
        <v>0</v>
      </c>
      <c r="P528">
        <f>IF($N528=0,0,IF(AND($F528&lt;=EOMONTH(DATE(PlanYear,2,1),0),IF(ISNUMBER($G528),$G528,$F528)&gt;=DATE(PlanYear,2,1)),1,0))</f>
        <v>0</v>
      </c>
      <c r="Q528">
        <f>IF($N528=0,0,IF(AND($F528&lt;=EOMONTH(DATE(PlanYear,3,1),0),IF(ISNUMBER($G528),$G528,$F528)&gt;=DATE(PlanYear,3,1)),1,0))</f>
        <v>0</v>
      </c>
      <c r="R528">
        <f>IF($N528=0,0,IF(AND($F528&lt;=EOMONTH(DATE(PlanYear,4,1),0),IF(ISNUMBER($G528),$G528,$F528)&gt;=DATE(PlanYear,4,1)),1,0))</f>
        <v>0</v>
      </c>
      <c r="S528">
        <f>IF($N528=0,0,IF(AND($F528&lt;=EOMONTH(DATE(PlanYear,5,1),0),IF(ISNUMBER($G528),$G528,$F528)&gt;=DATE(PlanYear,5,1)),1,0))</f>
        <v>0</v>
      </c>
      <c r="T528">
        <f>IF($N528=0,0,IF(AND($F528&lt;=EOMONTH(DATE(PlanYear,6,1),0),IF(ISNUMBER($G528),$G528,$F528)&gt;=DATE(PlanYear,6,1)),1,0))</f>
        <v>0</v>
      </c>
      <c r="U528">
        <f>IF($N528=0,0,IF(AND($F528&lt;=EOMONTH(DATE(PlanYear,7,1),0),IF(ISNUMBER($G528),$G528,$F528)&gt;=DATE(PlanYear,7,1)),1,0))</f>
        <v>0</v>
      </c>
      <c r="V528">
        <f>IF($N528=0,0,IF(AND($F528&lt;=EOMONTH(DATE(PlanYear,8,1),0),IF(ISNUMBER($G528),$G528,$F528)&gt;=DATE(PlanYear,8,1)),1,0))</f>
        <v>0</v>
      </c>
      <c r="W528">
        <f>IF($N528=0,0,IF(AND($F528&lt;=EOMONTH(DATE(PlanYear,9,1),0),IF(ISNUMBER($G528),$G528,$F528)&gt;=DATE(PlanYear,9,1)),1,0))</f>
        <v>0</v>
      </c>
      <c r="X528">
        <f>IF($N528=0,0,IF(AND($F528&lt;=EOMONTH(DATE(PlanYear,10,1),0),IF(ISNUMBER($G528),$G528,$F528)&gt;=DATE(PlanYear,10,1)),1,0))</f>
        <v>0</v>
      </c>
      <c r="Y528">
        <f>IF($N528=0,0,IF(AND($F528&lt;=EOMONTH(DATE(PlanYear,11,1),0),IF(ISNUMBER($G528),$G528,$F528)&gt;=DATE(PlanYear,11,1)),1,0))</f>
        <v>0</v>
      </c>
      <c r="Z528">
        <f>IF($N528=0,0,IF(AND($F528&lt;=EOMONTH(DATE(PlanYear,12,1),0),IF(ISNUMBER($G528),$G528,$F528)&gt;=DATE(PlanYear,12,1)),1,0))</f>
        <v>0</v>
      </c>
      <c r="AA528">
        <f>SUM($O528:$Z528)</f>
        <v>0</v>
      </c>
    </row>
    <row r="529" spans="1:27">
      <c r="A529" s="42">
        <f>IF($B529="","","ACT-"&amp;TEXT(ROW()-4,"000"))</f>
        <v>0</v>
      </c>
      <c r="M529" s="43">
        <f>IF(COUNTA($B529:$K529)=0,"",IF($B529="","Missing activity name",IF($C529="","Missing practice",IF(COUNTIF(PracticeNames,$C529)=0,"Practice not in Lists",IF($D529="","Missing motion",IF(NOT(ISNUMBER($F529)),"Missing or invalid start date",IF(AND(ISNUMBER($G529),$G529&lt;$F529),"End date before start",IF(AND($N529=1,$AA529=0),"Outside planning year","OK"))))))))</f>
        <v>0</v>
      </c>
      <c r="N529">
        <f>IF(AND($B529&lt;&gt;"",$C529&lt;&gt;"",$D529&lt;&gt;"",ISNUMBER($F529),COUNTIF(PracticeNames,$C529)&gt;0,COUNTIF(MotionNames,$D529)&gt;0,NOT(AND(ISNUMBER($G529),$G529&lt;$F529))),IF(StatusFilter="All (excl. Cancelled)",IF($H529="Cancelled",0,1),IF(StatusFilter="All",1,IF($H529=StatusFilter,1,0))),0)</f>
        <v>0</v>
      </c>
      <c r="O529">
        <f>IF($N529=0,0,IF(AND($F529&lt;=EOMONTH(DATE(PlanYear,1,1),0),IF(ISNUMBER($G529),$G529,$F529)&gt;=DATE(PlanYear,1,1)),1,0))</f>
        <v>0</v>
      </c>
      <c r="P529">
        <f>IF($N529=0,0,IF(AND($F529&lt;=EOMONTH(DATE(PlanYear,2,1),0),IF(ISNUMBER($G529),$G529,$F529)&gt;=DATE(PlanYear,2,1)),1,0))</f>
        <v>0</v>
      </c>
      <c r="Q529">
        <f>IF($N529=0,0,IF(AND($F529&lt;=EOMONTH(DATE(PlanYear,3,1),0),IF(ISNUMBER($G529),$G529,$F529)&gt;=DATE(PlanYear,3,1)),1,0))</f>
        <v>0</v>
      </c>
      <c r="R529">
        <f>IF($N529=0,0,IF(AND($F529&lt;=EOMONTH(DATE(PlanYear,4,1),0),IF(ISNUMBER($G529),$G529,$F529)&gt;=DATE(PlanYear,4,1)),1,0))</f>
        <v>0</v>
      </c>
      <c r="S529">
        <f>IF($N529=0,0,IF(AND($F529&lt;=EOMONTH(DATE(PlanYear,5,1),0),IF(ISNUMBER($G529),$G529,$F529)&gt;=DATE(PlanYear,5,1)),1,0))</f>
        <v>0</v>
      </c>
      <c r="T529">
        <f>IF($N529=0,0,IF(AND($F529&lt;=EOMONTH(DATE(PlanYear,6,1),0),IF(ISNUMBER($G529),$G529,$F529)&gt;=DATE(PlanYear,6,1)),1,0))</f>
        <v>0</v>
      </c>
      <c r="U529">
        <f>IF($N529=0,0,IF(AND($F529&lt;=EOMONTH(DATE(PlanYear,7,1),0),IF(ISNUMBER($G529),$G529,$F529)&gt;=DATE(PlanYear,7,1)),1,0))</f>
        <v>0</v>
      </c>
      <c r="V529">
        <f>IF($N529=0,0,IF(AND($F529&lt;=EOMONTH(DATE(PlanYear,8,1),0),IF(ISNUMBER($G529),$G529,$F529)&gt;=DATE(PlanYear,8,1)),1,0))</f>
        <v>0</v>
      </c>
      <c r="W529">
        <f>IF($N529=0,0,IF(AND($F529&lt;=EOMONTH(DATE(PlanYear,9,1),0),IF(ISNUMBER($G529),$G529,$F529)&gt;=DATE(PlanYear,9,1)),1,0))</f>
        <v>0</v>
      </c>
      <c r="X529">
        <f>IF($N529=0,0,IF(AND($F529&lt;=EOMONTH(DATE(PlanYear,10,1),0),IF(ISNUMBER($G529),$G529,$F529)&gt;=DATE(PlanYear,10,1)),1,0))</f>
        <v>0</v>
      </c>
      <c r="Y529">
        <f>IF($N529=0,0,IF(AND($F529&lt;=EOMONTH(DATE(PlanYear,11,1),0),IF(ISNUMBER($G529),$G529,$F529)&gt;=DATE(PlanYear,11,1)),1,0))</f>
        <v>0</v>
      </c>
      <c r="Z529">
        <f>IF($N529=0,0,IF(AND($F529&lt;=EOMONTH(DATE(PlanYear,12,1),0),IF(ISNUMBER($G529),$G529,$F529)&gt;=DATE(PlanYear,12,1)),1,0))</f>
        <v>0</v>
      </c>
      <c r="AA529">
        <f>SUM($O529:$Z529)</f>
        <v>0</v>
      </c>
    </row>
    <row r="530" spans="1:27">
      <c r="A530" s="42">
        <f>IF($B530="","","ACT-"&amp;TEXT(ROW()-4,"000"))</f>
        <v>0</v>
      </c>
      <c r="M530" s="43">
        <f>IF(COUNTA($B530:$K530)=0,"",IF($B530="","Missing activity name",IF($C530="","Missing practice",IF(COUNTIF(PracticeNames,$C530)=0,"Practice not in Lists",IF($D530="","Missing motion",IF(NOT(ISNUMBER($F530)),"Missing or invalid start date",IF(AND(ISNUMBER($G530),$G530&lt;$F530),"End date before start",IF(AND($N530=1,$AA530=0),"Outside planning year","OK"))))))))</f>
        <v>0</v>
      </c>
      <c r="N530">
        <f>IF(AND($B530&lt;&gt;"",$C530&lt;&gt;"",$D530&lt;&gt;"",ISNUMBER($F530),COUNTIF(PracticeNames,$C530)&gt;0,COUNTIF(MotionNames,$D530)&gt;0,NOT(AND(ISNUMBER($G530),$G530&lt;$F530))),IF(StatusFilter="All (excl. Cancelled)",IF($H530="Cancelled",0,1),IF(StatusFilter="All",1,IF($H530=StatusFilter,1,0))),0)</f>
        <v>0</v>
      </c>
      <c r="O530">
        <f>IF($N530=0,0,IF(AND($F530&lt;=EOMONTH(DATE(PlanYear,1,1),0),IF(ISNUMBER($G530),$G530,$F530)&gt;=DATE(PlanYear,1,1)),1,0))</f>
        <v>0</v>
      </c>
      <c r="P530">
        <f>IF($N530=0,0,IF(AND($F530&lt;=EOMONTH(DATE(PlanYear,2,1),0),IF(ISNUMBER($G530),$G530,$F530)&gt;=DATE(PlanYear,2,1)),1,0))</f>
        <v>0</v>
      </c>
      <c r="Q530">
        <f>IF($N530=0,0,IF(AND($F530&lt;=EOMONTH(DATE(PlanYear,3,1),0),IF(ISNUMBER($G530),$G530,$F530)&gt;=DATE(PlanYear,3,1)),1,0))</f>
        <v>0</v>
      </c>
      <c r="R530">
        <f>IF($N530=0,0,IF(AND($F530&lt;=EOMONTH(DATE(PlanYear,4,1),0),IF(ISNUMBER($G530),$G530,$F530)&gt;=DATE(PlanYear,4,1)),1,0))</f>
        <v>0</v>
      </c>
      <c r="S530">
        <f>IF($N530=0,0,IF(AND($F530&lt;=EOMONTH(DATE(PlanYear,5,1),0),IF(ISNUMBER($G530),$G530,$F530)&gt;=DATE(PlanYear,5,1)),1,0))</f>
        <v>0</v>
      </c>
      <c r="T530">
        <f>IF($N530=0,0,IF(AND($F530&lt;=EOMONTH(DATE(PlanYear,6,1),0),IF(ISNUMBER($G530),$G530,$F530)&gt;=DATE(PlanYear,6,1)),1,0))</f>
        <v>0</v>
      </c>
      <c r="U530">
        <f>IF($N530=0,0,IF(AND($F530&lt;=EOMONTH(DATE(PlanYear,7,1),0),IF(ISNUMBER($G530),$G530,$F530)&gt;=DATE(PlanYear,7,1)),1,0))</f>
        <v>0</v>
      </c>
      <c r="V530">
        <f>IF($N530=0,0,IF(AND($F530&lt;=EOMONTH(DATE(PlanYear,8,1),0),IF(ISNUMBER($G530),$G530,$F530)&gt;=DATE(PlanYear,8,1)),1,0))</f>
        <v>0</v>
      </c>
      <c r="W530">
        <f>IF($N530=0,0,IF(AND($F530&lt;=EOMONTH(DATE(PlanYear,9,1),0),IF(ISNUMBER($G530),$G530,$F530)&gt;=DATE(PlanYear,9,1)),1,0))</f>
        <v>0</v>
      </c>
      <c r="X530">
        <f>IF($N530=0,0,IF(AND($F530&lt;=EOMONTH(DATE(PlanYear,10,1),0),IF(ISNUMBER($G530),$G530,$F530)&gt;=DATE(PlanYear,10,1)),1,0))</f>
        <v>0</v>
      </c>
      <c r="Y530">
        <f>IF($N530=0,0,IF(AND($F530&lt;=EOMONTH(DATE(PlanYear,11,1),0),IF(ISNUMBER($G530),$G530,$F530)&gt;=DATE(PlanYear,11,1)),1,0))</f>
        <v>0</v>
      </c>
      <c r="Z530">
        <f>IF($N530=0,0,IF(AND($F530&lt;=EOMONTH(DATE(PlanYear,12,1),0),IF(ISNUMBER($G530),$G530,$F530)&gt;=DATE(PlanYear,12,1)),1,0))</f>
        <v>0</v>
      </c>
      <c r="AA530">
        <f>SUM($O530:$Z530)</f>
        <v>0</v>
      </c>
    </row>
    <row r="531" spans="1:27">
      <c r="A531" s="42">
        <f>IF($B531="","","ACT-"&amp;TEXT(ROW()-4,"000"))</f>
        <v>0</v>
      </c>
      <c r="M531" s="43">
        <f>IF(COUNTA($B531:$K531)=0,"",IF($B531="","Missing activity name",IF($C531="","Missing practice",IF(COUNTIF(PracticeNames,$C531)=0,"Practice not in Lists",IF($D531="","Missing motion",IF(NOT(ISNUMBER($F531)),"Missing or invalid start date",IF(AND(ISNUMBER($G531),$G531&lt;$F531),"End date before start",IF(AND($N531=1,$AA531=0),"Outside planning year","OK"))))))))</f>
        <v>0</v>
      </c>
      <c r="N531">
        <f>IF(AND($B531&lt;&gt;"",$C531&lt;&gt;"",$D531&lt;&gt;"",ISNUMBER($F531),COUNTIF(PracticeNames,$C531)&gt;0,COUNTIF(MotionNames,$D531)&gt;0,NOT(AND(ISNUMBER($G531),$G531&lt;$F531))),IF(StatusFilter="All (excl. Cancelled)",IF($H531="Cancelled",0,1),IF(StatusFilter="All",1,IF($H531=StatusFilter,1,0))),0)</f>
        <v>0</v>
      </c>
      <c r="O531">
        <f>IF($N531=0,0,IF(AND($F531&lt;=EOMONTH(DATE(PlanYear,1,1),0),IF(ISNUMBER($G531),$G531,$F531)&gt;=DATE(PlanYear,1,1)),1,0))</f>
        <v>0</v>
      </c>
      <c r="P531">
        <f>IF($N531=0,0,IF(AND($F531&lt;=EOMONTH(DATE(PlanYear,2,1),0),IF(ISNUMBER($G531),$G531,$F531)&gt;=DATE(PlanYear,2,1)),1,0))</f>
        <v>0</v>
      </c>
      <c r="Q531">
        <f>IF($N531=0,0,IF(AND($F531&lt;=EOMONTH(DATE(PlanYear,3,1),0),IF(ISNUMBER($G531),$G531,$F531)&gt;=DATE(PlanYear,3,1)),1,0))</f>
        <v>0</v>
      </c>
      <c r="R531">
        <f>IF($N531=0,0,IF(AND($F531&lt;=EOMONTH(DATE(PlanYear,4,1),0),IF(ISNUMBER($G531),$G531,$F531)&gt;=DATE(PlanYear,4,1)),1,0))</f>
        <v>0</v>
      </c>
      <c r="S531">
        <f>IF($N531=0,0,IF(AND($F531&lt;=EOMONTH(DATE(PlanYear,5,1),0),IF(ISNUMBER($G531),$G531,$F531)&gt;=DATE(PlanYear,5,1)),1,0))</f>
        <v>0</v>
      </c>
      <c r="T531">
        <f>IF($N531=0,0,IF(AND($F531&lt;=EOMONTH(DATE(PlanYear,6,1),0),IF(ISNUMBER($G531),$G531,$F531)&gt;=DATE(PlanYear,6,1)),1,0))</f>
        <v>0</v>
      </c>
      <c r="U531">
        <f>IF($N531=0,0,IF(AND($F531&lt;=EOMONTH(DATE(PlanYear,7,1),0),IF(ISNUMBER($G531),$G531,$F531)&gt;=DATE(PlanYear,7,1)),1,0))</f>
        <v>0</v>
      </c>
      <c r="V531">
        <f>IF($N531=0,0,IF(AND($F531&lt;=EOMONTH(DATE(PlanYear,8,1),0),IF(ISNUMBER($G531),$G531,$F531)&gt;=DATE(PlanYear,8,1)),1,0))</f>
        <v>0</v>
      </c>
      <c r="W531">
        <f>IF($N531=0,0,IF(AND($F531&lt;=EOMONTH(DATE(PlanYear,9,1),0),IF(ISNUMBER($G531),$G531,$F531)&gt;=DATE(PlanYear,9,1)),1,0))</f>
        <v>0</v>
      </c>
      <c r="X531">
        <f>IF($N531=0,0,IF(AND($F531&lt;=EOMONTH(DATE(PlanYear,10,1),0),IF(ISNUMBER($G531),$G531,$F531)&gt;=DATE(PlanYear,10,1)),1,0))</f>
        <v>0</v>
      </c>
      <c r="Y531">
        <f>IF($N531=0,0,IF(AND($F531&lt;=EOMONTH(DATE(PlanYear,11,1),0),IF(ISNUMBER($G531),$G531,$F531)&gt;=DATE(PlanYear,11,1)),1,0))</f>
        <v>0</v>
      </c>
      <c r="Z531">
        <f>IF($N531=0,0,IF(AND($F531&lt;=EOMONTH(DATE(PlanYear,12,1),0),IF(ISNUMBER($G531),$G531,$F531)&gt;=DATE(PlanYear,12,1)),1,0))</f>
        <v>0</v>
      </c>
      <c r="AA531">
        <f>SUM($O531:$Z531)</f>
        <v>0</v>
      </c>
    </row>
    <row r="532" spans="1:27">
      <c r="A532" s="42">
        <f>IF($B532="","","ACT-"&amp;TEXT(ROW()-4,"000"))</f>
        <v>0</v>
      </c>
      <c r="M532" s="43">
        <f>IF(COUNTA($B532:$K532)=0,"",IF($B532="","Missing activity name",IF($C532="","Missing practice",IF(COUNTIF(PracticeNames,$C532)=0,"Practice not in Lists",IF($D532="","Missing motion",IF(NOT(ISNUMBER($F532)),"Missing or invalid start date",IF(AND(ISNUMBER($G532),$G532&lt;$F532),"End date before start",IF(AND($N532=1,$AA532=0),"Outside planning year","OK"))))))))</f>
        <v>0</v>
      </c>
      <c r="N532">
        <f>IF(AND($B532&lt;&gt;"",$C532&lt;&gt;"",$D532&lt;&gt;"",ISNUMBER($F532),COUNTIF(PracticeNames,$C532)&gt;0,COUNTIF(MotionNames,$D532)&gt;0,NOT(AND(ISNUMBER($G532),$G532&lt;$F532))),IF(StatusFilter="All (excl. Cancelled)",IF($H532="Cancelled",0,1),IF(StatusFilter="All",1,IF($H532=StatusFilter,1,0))),0)</f>
        <v>0</v>
      </c>
      <c r="O532">
        <f>IF($N532=0,0,IF(AND($F532&lt;=EOMONTH(DATE(PlanYear,1,1),0),IF(ISNUMBER($G532),$G532,$F532)&gt;=DATE(PlanYear,1,1)),1,0))</f>
        <v>0</v>
      </c>
      <c r="P532">
        <f>IF($N532=0,0,IF(AND($F532&lt;=EOMONTH(DATE(PlanYear,2,1),0),IF(ISNUMBER($G532),$G532,$F532)&gt;=DATE(PlanYear,2,1)),1,0))</f>
        <v>0</v>
      </c>
      <c r="Q532">
        <f>IF($N532=0,0,IF(AND($F532&lt;=EOMONTH(DATE(PlanYear,3,1),0),IF(ISNUMBER($G532),$G532,$F532)&gt;=DATE(PlanYear,3,1)),1,0))</f>
        <v>0</v>
      </c>
      <c r="R532">
        <f>IF($N532=0,0,IF(AND($F532&lt;=EOMONTH(DATE(PlanYear,4,1),0),IF(ISNUMBER($G532),$G532,$F532)&gt;=DATE(PlanYear,4,1)),1,0))</f>
        <v>0</v>
      </c>
      <c r="S532">
        <f>IF($N532=0,0,IF(AND($F532&lt;=EOMONTH(DATE(PlanYear,5,1),0),IF(ISNUMBER($G532),$G532,$F532)&gt;=DATE(PlanYear,5,1)),1,0))</f>
        <v>0</v>
      </c>
      <c r="T532">
        <f>IF($N532=0,0,IF(AND($F532&lt;=EOMONTH(DATE(PlanYear,6,1),0),IF(ISNUMBER($G532),$G532,$F532)&gt;=DATE(PlanYear,6,1)),1,0))</f>
        <v>0</v>
      </c>
      <c r="U532">
        <f>IF($N532=0,0,IF(AND($F532&lt;=EOMONTH(DATE(PlanYear,7,1),0),IF(ISNUMBER($G532),$G532,$F532)&gt;=DATE(PlanYear,7,1)),1,0))</f>
        <v>0</v>
      </c>
      <c r="V532">
        <f>IF($N532=0,0,IF(AND($F532&lt;=EOMONTH(DATE(PlanYear,8,1),0),IF(ISNUMBER($G532),$G532,$F532)&gt;=DATE(PlanYear,8,1)),1,0))</f>
        <v>0</v>
      </c>
      <c r="W532">
        <f>IF($N532=0,0,IF(AND($F532&lt;=EOMONTH(DATE(PlanYear,9,1),0),IF(ISNUMBER($G532),$G532,$F532)&gt;=DATE(PlanYear,9,1)),1,0))</f>
        <v>0</v>
      </c>
      <c r="X532">
        <f>IF($N532=0,0,IF(AND($F532&lt;=EOMONTH(DATE(PlanYear,10,1),0),IF(ISNUMBER($G532),$G532,$F532)&gt;=DATE(PlanYear,10,1)),1,0))</f>
        <v>0</v>
      </c>
      <c r="Y532">
        <f>IF($N532=0,0,IF(AND($F532&lt;=EOMONTH(DATE(PlanYear,11,1),0),IF(ISNUMBER($G532),$G532,$F532)&gt;=DATE(PlanYear,11,1)),1,0))</f>
        <v>0</v>
      </c>
      <c r="Z532">
        <f>IF($N532=0,0,IF(AND($F532&lt;=EOMONTH(DATE(PlanYear,12,1),0),IF(ISNUMBER($G532),$G532,$F532)&gt;=DATE(PlanYear,12,1)),1,0))</f>
        <v>0</v>
      </c>
      <c r="AA532">
        <f>SUM($O532:$Z532)</f>
        <v>0</v>
      </c>
    </row>
    <row r="533" spans="1:27">
      <c r="A533" s="42">
        <f>IF($B533="","","ACT-"&amp;TEXT(ROW()-4,"000"))</f>
        <v>0</v>
      </c>
      <c r="M533" s="43">
        <f>IF(COUNTA($B533:$K533)=0,"",IF($B533="","Missing activity name",IF($C533="","Missing practice",IF(COUNTIF(PracticeNames,$C533)=0,"Practice not in Lists",IF($D533="","Missing motion",IF(NOT(ISNUMBER($F533)),"Missing or invalid start date",IF(AND(ISNUMBER($G533),$G533&lt;$F533),"End date before start",IF(AND($N533=1,$AA533=0),"Outside planning year","OK"))))))))</f>
        <v>0</v>
      </c>
      <c r="N533">
        <f>IF(AND($B533&lt;&gt;"",$C533&lt;&gt;"",$D533&lt;&gt;"",ISNUMBER($F533),COUNTIF(PracticeNames,$C533)&gt;0,COUNTIF(MotionNames,$D533)&gt;0,NOT(AND(ISNUMBER($G533),$G533&lt;$F533))),IF(StatusFilter="All (excl. Cancelled)",IF($H533="Cancelled",0,1),IF(StatusFilter="All",1,IF($H533=StatusFilter,1,0))),0)</f>
        <v>0</v>
      </c>
      <c r="O533">
        <f>IF($N533=0,0,IF(AND($F533&lt;=EOMONTH(DATE(PlanYear,1,1),0),IF(ISNUMBER($G533),$G533,$F533)&gt;=DATE(PlanYear,1,1)),1,0))</f>
        <v>0</v>
      </c>
      <c r="P533">
        <f>IF($N533=0,0,IF(AND($F533&lt;=EOMONTH(DATE(PlanYear,2,1),0),IF(ISNUMBER($G533),$G533,$F533)&gt;=DATE(PlanYear,2,1)),1,0))</f>
        <v>0</v>
      </c>
      <c r="Q533">
        <f>IF($N533=0,0,IF(AND($F533&lt;=EOMONTH(DATE(PlanYear,3,1),0),IF(ISNUMBER($G533),$G533,$F533)&gt;=DATE(PlanYear,3,1)),1,0))</f>
        <v>0</v>
      </c>
      <c r="R533">
        <f>IF($N533=0,0,IF(AND($F533&lt;=EOMONTH(DATE(PlanYear,4,1),0),IF(ISNUMBER($G533),$G533,$F533)&gt;=DATE(PlanYear,4,1)),1,0))</f>
        <v>0</v>
      </c>
      <c r="S533">
        <f>IF($N533=0,0,IF(AND($F533&lt;=EOMONTH(DATE(PlanYear,5,1),0),IF(ISNUMBER($G533),$G533,$F533)&gt;=DATE(PlanYear,5,1)),1,0))</f>
        <v>0</v>
      </c>
      <c r="T533">
        <f>IF($N533=0,0,IF(AND($F533&lt;=EOMONTH(DATE(PlanYear,6,1),0),IF(ISNUMBER($G533),$G533,$F533)&gt;=DATE(PlanYear,6,1)),1,0))</f>
        <v>0</v>
      </c>
      <c r="U533">
        <f>IF($N533=0,0,IF(AND($F533&lt;=EOMONTH(DATE(PlanYear,7,1),0),IF(ISNUMBER($G533),$G533,$F533)&gt;=DATE(PlanYear,7,1)),1,0))</f>
        <v>0</v>
      </c>
      <c r="V533">
        <f>IF($N533=0,0,IF(AND($F533&lt;=EOMONTH(DATE(PlanYear,8,1),0),IF(ISNUMBER($G533),$G533,$F533)&gt;=DATE(PlanYear,8,1)),1,0))</f>
        <v>0</v>
      </c>
      <c r="W533">
        <f>IF($N533=0,0,IF(AND($F533&lt;=EOMONTH(DATE(PlanYear,9,1),0),IF(ISNUMBER($G533),$G533,$F533)&gt;=DATE(PlanYear,9,1)),1,0))</f>
        <v>0</v>
      </c>
      <c r="X533">
        <f>IF($N533=0,0,IF(AND($F533&lt;=EOMONTH(DATE(PlanYear,10,1),0),IF(ISNUMBER($G533),$G533,$F533)&gt;=DATE(PlanYear,10,1)),1,0))</f>
        <v>0</v>
      </c>
      <c r="Y533">
        <f>IF($N533=0,0,IF(AND($F533&lt;=EOMONTH(DATE(PlanYear,11,1),0),IF(ISNUMBER($G533),$G533,$F533)&gt;=DATE(PlanYear,11,1)),1,0))</f>
        <v>0</v>
      </c>
      <c r="Z533">
        <f>IF($N533=0,0,IF(AND($F533&lt;=EOMONTH(DATE(PlanYear,12,1),0),IF(ISNUMBER($G533),$G533,$F533)&gt;=DATE(PlanYear,12,1)),1,0))</f>
        <v>0</v>
      </c>
      <c r="AA533">
        <f>SUM($O533:$Z533)</f>
        <v>0</v>
      </c>
    </row>
    <row r="534" spans="1:27">
      <c r="A534" s="42">
        <f>IF($B534="","","ACT-"&amp;TEXT(ROW()-4,"000"))</f>
        <v>0</v>
      </c>
      <c r="M534" s="43">
        <f>IF(COUNTA($B534:$K534)=0,"",IF($B534="","Missing activity name",IF($C534="","Missing practice",IF(COUNTIF(PracticeNames,$C534)=0,"Practice not in Lists",IF($D534="","Missing motion",IF(NOT(ISNUMBER($F534)),"Missing or invalid start date",IF(AND(ISNUMBER($G534),$G534&lt;$F534),"End date before start",IF(AND($N534=1,$AA534=0),"Outside planning year","OK"))))))))</f>
        <v>0</v>
      </c>
      <c r="N534">
        <f>IF(AND($B534&lt;&gt;"",$C534&lt;&gt;"",$D534&lt;&gt;"",ISNUMBER($F534),COUNTIF(PracticeNames,$C534)&gt;0,COUNTIF(MotionNames,$D534)&gt;0,NOT(AND(ISNUMBER($G534),$G534&lt;$F534))),IF(StatusFilter="All (excl. Cancelled)",IF($H534="Cancelled",0,1),IF(StatusFilter="All",1,IF($H534=StatusFilter,1,0))),0)</f>
        <v>0</v>
      </c>
      <c r="O534">
        <f>IF($N534=0,0,IF(AND($F534&lt;=EOMONTH(DATE(PlanYear,1,1),0),IF(ISNUMBER($G534),$G534,$F534)&gt;=DATE(PlanYear,1,1)),1,0))</f>
        <v>0</v>
      </c>
      <c r="P534">
        <f>IF($N534=0,0,IF(AND($F534&lt;=EOMONTH(DATE(PlanYear,2,1),0),IF(ISNUMBER($G534),$G534,$F534)&gt;=DATE(PlanYear,2,1)),1,0))</f>
        <v>0</v>
      </c>
      <c r="Q534">
        <f>IF($N534=0,0,IF(AND($F534&lt;=EOMONTH(DATE(PlanYear,3,1),0),IF(ISNUMBER($G534),$G534,$F534)&gt;=DATE(PlanYear,3,1)),1,0))</f>
        <v>0</v>
      </c>
      <c r="R534">
        <f>IF($N534=0,0,IF(AND($F534&lt;=EOMONTH(DATE(PlanYear,4,1),0),IF(ISNUMBER($G534),$G534,$F534)&gt;=DATE(PlanYear,4,1)),1,0))</f>
        <v>0</v>
      </c>
      <c r="S534">
        <f>IF($N534=0,0,IF(AND($F534&lt;=EOMONTH(DATE(PlanYear,5,1),0),IF(ISNUMBER($G534),$G534,$F534)&gt;=DATE(PlanYear,5,1)),1,0))</f>
        <v>0</v>
      </c>
      <c r="T534">
        <f>IF($N534=0,0,IF(AND($F534&lt;=EOMONTH(DATE(PlanYear,6,1),0),IF(ISNUMBER($G534),$G534,$F534)&gt;=DATE(PlanYear,6,1)),1,0))</f>
        <v>0</v>
      </c>
      <c r="U534">
        <f>IF($N534=0,0,IF(AND($F534&lt;=EOMONTH(DATE(PlanYear,7,1),0),IF(ISNUMBER($G534),$G534,$F534)&gt;=DATE(PlanYear,7,1)),1,0))</f>
        <v>0</v>
      </c>
      <c r="V534">
        <f>IF($N534=0,0,IF(AND($F534&lt;=EOMONTH(DATE(PlanYear,8,1),0),IF(ISNUMBER($G534),$G534,$F534)&gt;=DATE(PlanYear,8,1)),1,0))</f>
        <v>0</v>
      </c>
      <c r="W534">
        <f>IF($N534=0,0,IF(AND($F534&lt;=EOMONTH(DATE(PlanYear,9,1),0),IF(ISNUMBER($G534),$G534,$F534)&gt;=DATE(PlanYear,9,1)),1,0))</f>
        <v>0</v>
      </c>
      <c r="X534">
        <f>IF($N534=0,0,IF(AND($F534&lt;=EOMONTH(DATE(PlanYear,10,1),0),IF(ISNUMBER($G534),$G534,$F534)&gt;=DATE(PlanYear,10,1)),1,0))</f>
        <v>0</v>
      </c>
      <c r="Y534">
        <f>IF($N534=0,0,IF(AND($F534&lt;=EOMONTH(DATE(PlanYear,11,1),0),IF(ISNUMBER($G534),$G534,$F534)&gt;=DATE(PlanYear,11,1)),1,0))</f>
        <v>0</v>
      </c>
      <c r="Z534">
        <f>IF($N534=0,0,IF(AND($F534&lt;=EOMONTH(DATE(PlanYear,12,1),0),IF(ISNUMBER($G534),$G534,$F534)&gt;=DATE(PlanYear,12,1)),1,0))</f>
        <v>0</v>
      </c>
      <c r="AA534">
        <f>SUM($O534:$Z534)</f>
        <v>0</v>
      </c>
    </row>
    <row r="535" spans="1:27">
      <c r="A535" s="42">
        <f>IF($B535="","","ACT-"&amp;TEXT(ROW()-4,"000"))</f>
        <v>0</v>
      </c>
      <c r="M535" s="43">
        <f>IF(COUNTA($B535:$K535)=0,"",IF($B535="","Missing activity name",IF($C535="","Missing practice",IF(COUNTIF(PracticeNames,$C535)=0,"Practice not in Lists",IF($D535="","Missing motion",IF(NOT(ISNUMBER($F535)),"Missing or invalid start date",IF(AND(ISNUMBER($G535),$G535&lt;$F535),"End date before start",IF(AND($N535=1,$AA535=0),"Outside planning year","OK"))))))))</f>
        <v>0</v>
      </c>
      <c r="N535">
        <f>IF(AND($B535&lt;&gt;"",$C535&lt;&gt;"",$D535&lt;&gt;"",ISNUMBER($F535),COUNTIF(PracticeNames,$C535)&gt;0,COUNTIF(MotionNames,$D535)&gt;0,NOT(AND(ISNUMBER($G535),$G535&lt;$F535))),IF(StatusFilter="All (excl. Cancelled)",IF($H535="Cancelled",0,1),IF(StatusFilter="All",1,IF($H535=StatusFilter,1,0))),0)</f>
        <v>0</v>
      </c>
      <c r="O535">
        <f>IF($N535=0,0,IF(AND($F535&lt;=EOMONTH(DATE(PlanYear,1,1),0),IF(ISNUMBER($G535),$G535,$F535)&gt;=DATE(PlanYear,1,1)),1,0))</f>
        <v>0</v>
      </c>
      <c r="P535">
        <f>IF($N535=0,0,IF(AND($F535&lt;=EOMONTH(DATE(PlanYear,2,1),0),IF(ISNUMBER($G535),$G535,$F535)&gt;=DATE(PlanYear,2,1)),1,0))</f>
        <v>0</v>
      </c>
      <c r="Q535">
        <f>IF($N535=0,0,IF(AND($F535&lt;=EOMONTH(DATE(PlanYear,3,1),0),IF(ISNUMBER($G535),$G535,$F535)&gt;=DATE(PlanYear,3,1)),1,0))</f>
        <v>0</v>
      </c>
      <c r="R535">
        <f>IF($N535=0,0,IF(AND($F535&lt;=EOMONTH(DATE(PlanYear,4,1),0),IF(ISNUMBER($G535),$G535,$F535)&gt;=DATE(PlanYear,4,1)),1,0))</f>
        <v>0</v>
      </c>
      <c r="S535">
        <f>IF($N535=0,0,IF(AND($F535&lt;=EOMONTH(DATE(PlanYear,5,1),0),IF(ISNUMBER($G535),$G535,$F535)&gt;=DATE(PlanYear,5,1)),1,0))</f>
        <v>0</v>
      </c>
      <c r="T535">
        <f>IF($N535=0,0,IF(AND($F535&lt;=EOMONTH(DATE(PlanYear,6,1),0),IF(ISNUMBER($G535),$G535,$F535)&gt;=DATE(PlanYear,6,1)),1,0))</f>
        <v>0</v>
      </c>
      <c r="U535">
        <f>IF($N535=0,0,IF(AND($F535&lt;=EOMONTH(DATE(PlanYear,7,1),0),IF(ISNUMBER($G535),$G535,$F535)&gt;=DATE(PlanYear,7,1)),1,0))</f>
        <v>0</v>
      </c>
      <c r="V535">
        <f>IF($N535=0,0,IF(AND($F535&lt;=EOMONTH(DATE(PlanYear,8,1),0),IF(ISNUMBER($G535),$G535,$F535)&gt;=DATE(PlanYear,8,1)),1,0))</f>
        <v>0</v>
      </c>
      <c r="W535">
        <f>IF($N535=0,0,IF(AND($F535&lt;=EOMONTH(DATE(PlanYear,9,1),0),IF(ISNUMBER($G535),$G535,$F535)&gt;=DATE(PlanYear,9,1)),1,0))</f>
        <v>0</v>
      </c>
      <c r="X535">
        <f>IF($N535=0,0,IF(AND($F535&lt;=EOMONTH(DATE(PlanYear,10,1),0),IF(ISNUMBER($G535),$G535,$F535)&gt;=DATE(PlanYear,10,1)),1,0))</f>
        <v>0</v>
      </c>
      <c r="Y535">
        <f>IF($N535=0,0,IF(AND($F535&lt;=EOMONTH(DATE(PlanYear,11,1),0),IF(ISNUMBER($G535),$G535,$F535)&gt;=DATE(PlanYear,11,1)),1,0))</f>
        <v>0</v>
      </c>
      <c r="Z535">
        <f>IF($N535=0,0,IF(AND($F535&lt;=EOMONTH(DATE(PlanYear,12,1),0),IF(ISNUMBER($G535),$G535,$F535)&gt;=DATE(PlanYear,12,1)),1,0))</f>
        <v>0</v>
      </c>
      <c r="AA535">
        <f>SUM($O535:$Z535)</f>
        <v>0</v>
      </c>
    </row>
    <row r="536" spans="1:27">
      <c r="A536" s="42">
        <f>IF($B536="","","ACT-"&amp;TEXT(ROW()-4,"000"))</f>
        <v>0</v>
      </c>
      <c r="M536" s="43">
        <f>IF(COUNTA($B536:$K536)=0,"",IF($B536="","Missing activity name",IF($C536="","Missing practice",IF(COUNTIF(PracticeNames,$C536)=0,"Practice not in Lists",IF($D536="","Missing motion",IF(NOT(ISNUMBER($F536)),"Missing or invalid start date",IF(AND(ISNUMBER($G536),$G536&lt;$F536),"End date before start",IF(AND($N536=1,$AA536=0),"Outside planning year","OK"))))))))</f>
        <v>0</v>
      </c>
      <c r="N536">
        <f>IF(AND($B536&lt;&gt;"",$C536&lt;&gt;"",$D536&lt;&gt;"",ISNUMBER($F536),COUNTIF(PracticeNames,$C536)&gt;0,COUNTIF(MotionNames,$D536)&gt;0,NOT(AND(ISNUMBER($G536),$G536&lt;$F536))),IF(StatusFilter="All (excl. Cancelled)",IF($H536="Cancelled",0,1),IF(StatusFilter="All",1,IF($H536=StatusFilter,1,0))),0)</f>
        <v>0</v>
      </c>
      <c r="O536">
        <f>IF($N536=0,0,IF(AND($F536&lt;=EOMONTH(DATE(PlanYear,1,1),0),IF(ISNUMBER($G536),$G536,$F536)&gt;=DATE(PlanYear,1,1)),1,0))</f>
        <v>0</v>
      </c>
      <c r="P536">
        <f>IF($N536=0,0,IF(AND($F536&lt;=EOMONTH(DATE(PlanYear,2,1),0),IF(ISNUMBER($G536),$G536,$F536)&gt;=DATE(PlanYear,2,1)),1,0))</f>
        <v>0</v>
      </c>
      <c r="Q536">
        <f>IF($N536=0,0,IF(AND($F536&lt;=EOMONTH(DATE(PlanYear,3,1),0),IF(ISNUMBER($G536),$G536,$F536)&gt;=DATE(PlanYear,3,1)),1,0))</f>
        <v>0</v>
      </c>
      <c r="R536">
        <f>IF($N536=0,0,IF(AND($F536&lt;=EOMONTH(DATE(PlanYear,4,1),0),IF(ISNUMBER($G536),$G536,$F536)&gt;=DATE(PlanYear,4,1)),1,0))</f>
        <v>0</v>
      </c>
      <c r="S536">
        <f>IF($N536=0,0,IF(AND($F536&lt;=EOMONTH(DATE(PlanYear,5,1),0),IF(ISNUMBER($G536),$G536,$F536)&gt;=DATE(PlanYear,5,1)),1,0))</f>
        <v>0</v>
      </c>
      <c r="T536">
        <f>IF($N536=0,0,IF(AND($F536&lt;=EOMONTH(DATE(PlanYear,6,1),0),IF(ISNUMBER($G536),$G536,$F536)&gt;=DATE(PlanYear,6,1)),1,0))</f>
        <v>0</v>
      </c>
      <c r="U536">
        <f>IF($N536=0,0,IF(AND($F536&lt;=EOMONTH(DATE(PlanYear,7,1),0),IF(ISNUMBER($G536),$G536,$F536)&gt;=DATE(PlanYear,7,1)),1,0))</f>
        <v>0</v>
      </c>
      <c r="V536">
        <f>IF($N536=0,0,IF(AND($F536&lt;=EOMONTH(DATE(PlanYear,8,1),0),IF(ISNUMBER($G536),$G536,$F536)&gt;=DATE(PlanYear,8,1)),1,0))</f>
        <v>0</v>
      </c>
      <c r="W536">
        <f>IF($N536=0,0,IF(AND($F536&lt;=EOMONTH(DATE(PlanYear,9,1),0),IF(ISNUMBER($G536),$G536,$F536)&gt;=DATE(PlanYear,9,1)),1,0))</f>
        <v>0</v>
      </c>
      <c r="X536">
        <f>IF($N536=0,0,IF(AND($F536&lt;=EOMONTH(DATE(PlanYear,10,1),0),IF(ISNUMBER($G536),$G536,$F536)&gt;=DATE(PlanYear,10,1)),1,0))</f>
        <v>0</v>
      </c>
      <c r="Y536">
        <f>IF($N536=0,0,IF(AND($F536&lt;=EOMONTH(DATE(PlanYear,11,1),0),IF(ISNUMBER($G536),$G536,$F536)&gt;=DATE(PlanYear,11,1)),1,0))</f>
        <v>0</v>
      </c>
      <c r="Z536">
        <f>IF($N536=0,0,IF(AND($F536&lt;=EOMONTH(DATE(PlanYear,12,1),0),IF(ISNUMBER($G536),$G536,$F536)&gt;=DATE(PlanYear,12,1)),1,0))</f>
        <v>0</v>
      </c>
      <c r="AA536">
        <f>SUM($O536:$Z536)</f>
        <v>0</v>
      </c>
    </row>
    <row r="537" spans="1:27">
      <c r="A537" s="42">
        <f>IF($B537="","","ACT-"&amp;TEXT(ROW()-4,"000"))</f>
        <v>0</v>
      </c>
      <c r="M537" s="43">
        <f>IF(COUNTA($B537:$K537)=0,"",IF($B537="","Missing activity name",IF($C537="","Missing practice",IF(COUNTIF(PracticeNames,$C537)=0,"Practice not in Lists",IF($D537="","Missing motion",IF(NOT(ISNUMBER($F537)),"Missing or invalid start date",IF(AND(ISNUMBER($G537),$G537&lt;$F537),"End date before start",IF(AND($N537=1,$AA537=0),"Outside planning year","OK"))))))))</f>
        <v>0</v>
      </c>
      <c r="N537">
        <f>IF(AND($B537&lt;&gt;"",$C537&lt;&gt;"",$D537&lt;&gt;"",ISNUMBER($F537),COUNTIF(PracticeNames,$C537)&gt;0,COUNTIF(MotionNames,$D537)&gt;0,NOT(AND(ISNUMBER($G537),$G537&lt;$F537))),IF(StatusFilter="All (excl. Cancelled)",IF($H537="Cancelled",0,1),IF(StatusFilter="All",1,IF($H537=StatusFilter,1,0))),0)</f>
        <v>0</v>
      </c>
      <c r="O537">
        <f>IF($N537=0,0,IF(AND($F537&lt;=EOMONTH(DATE(PlanYear,1,1),0),IF(ISNUMBER($G537),$G537,$F537)&gt;=DATE(PlanYear,1,1)),1,0))</f>
        <v>0</v>
      </c>
      <c r="P537">
        <f>IF($N537=0,0,IF(AND($F537&lt;=EOMONTH(DATE(PlanYear,2,1),0),IF(ISNUMBER($G537),$G537,$F537)&gt;=DATE(PlanYear,2,1)),1,0))</f>
        <v>0</v>
      </c>
      <c r="Q537">
        <f>IF($N537=0,0,IF(AND($F537&lt;=EOMONTH(DATE(PlanYear,3,1),0),IF(ISNUMBER($G537),$G537,$F537)&gt;=DATE(PlanYear,3,1)),1,0))</f>
        <v>0</v>
      </c>
      <c r="R537">
        <f>IF($N537=0,0,IF(AND($F537&lt;=EOMONTH(DATE(PlanYear,4,1),0),IF(ISNUMBER($G537),$G537,$F537)&gt;=DATE(PlanYear,4,1)),1,0))</f>
        <v>0</v>
      </c>
      <c r="S537">
        <f>IF($N537=0,0,IF(AND($F537&lt;=EOMONTH(DATE(PlanYear,5,1),0),IF(ISNUMBER($G537),$G537,$F537)&gt;=DATE(PlanYear,5,1)),1,0))</f>
        <v>0</v>
      </c>
      <c r="T537">
        <f>IF($N537=0,0,IF(AND($F537&lt;=EOMONTH(DATE(PlanYear,6,1),0),IF(ISNUMBER($G537),$G537,$F537)&gt;=DATE(PlanYear,6,1)),1,0))</f>
        <v>0</v>
      </c>
      <c r="U537">
        <f>IF($N537=0,0,IF(AND($F537&lt;=EOMONTH(DATE(PlanYear,7,1),0),IF(ISNUMBER($G537),$G537,$F537)&gt;=DATE(PlanYear,7,1)),1,0))</f>
        <v>0</v>
      </c>
      <c r="V537">
        <f>IF($N537=0,0,IF(AND($F537&lt;=EOMONTH(DATE(PlanYear,8,1),0),IF(ISNUMBER($G537),$G537,$F537)&gt;=DATE(PlanYear,8,1)),1,0))</f>
        <v>0</v>
      </c>
      <c r="W537">
        <f>IF($N537=0,0,IF(AND($F537&lt;=EOMONTH(DATE(PlanYear,9,1),0),IF(ISNUMBER($G537),$G537,$F537)&gt;=DATE(PlanYear,9,1)),1,0))</f>
        <v>0</v>
      </c>
      <c r="X537">
        <f>IF($N537=0,0,IF(AND($F537&lt;=EOMONTH(DATE(PlanYear,10,1),0),IF(ISNUMBER($G537),$G537,$F537)&gt;=DATE(PlanYear,10,1)),1,0))</f>
        <v>0</v>
      </c>
      <c r="Y537">
        <f>IF($N537=0,0,IF(AND($F537&lt;=EOMONTH(DATE(PlanYear,11,1),0),IF(ISNUMBER($G537),$G537,$F537)&gt;=DATE(PlanYear,11,1)),1,0))</f>
        <v>0</v>
      </c>
      <c r="Z537">
        <f>IF($N537=0,0,IF(AND($F537&lt;=EOMONTH(DATE(PlanYear,12,1),0),IF(ISNUMBER($G537),$G537,$F537)&gt;=DATE(PlanYear,12,1)),1,0))</f>
        <v>0</v>
      </c>
      <c r="AA537">
        <f>SUM($O537:$Z537)</f>
        <v>0</v>
      </c>
    </row>
    <row r="538" spans="1:27">
      <c r="A538" s="42">
        <f>IF($B538="","","ACT-"&amp;TEXT(ROW()-4,"000"))</f>
        <v>0</v>
      </c>
      <c r="M538" s="43">
        <f>IF(COUNTA($B538:$K538)=0,"",IF($B538="","Missing activity name",IF($C538="","Missing practice",IF(COUNTIF(PracticeNames,$C538)=0,"Practice not in Lists",IF($D538="","Missing motion",IF(NOT(ISNUMBER($F538)),"Missing or invalid start date",IF(AND(ISNUMBER($G538),$G538&lt;$F538),"End date before start",IF(AND($N538=1,$AA538=0),"Outside planning year","OK"))))))))</f>
        <v>0</v>
      </c>
      <c r="N538">
        <f>IF(AND($B538&lt;&gt;"",$C538&lt;&gt;"",$D538&lt;&gt;"",ISNUMBER($F538),COUNTIF(PracticeNames,$C538)&gt;0,COUNTIF(MotionNames,$D538)&gt;0,NOT(AND(ISNUMBER($G538),$G538&lt;$F538))),IF(StatusFilter="All (excl. Cancelled)",IF($H538="Cancelled",0,1),IF(StatusFilter="All",1,IF($H538=StatusFilter,1,0))),0)</f>
        <v>0</v>
      </c>
      <c r="O538">
        <f>IF($N538=0,0,IF(AND($F538&lt;=EOMONTH(DATE(PlanYear,1,1),0),IF(ISNUMBER($G538),$G538,$F538)&gt;=DATE(PlanYear,1,1)),1,0))</f>
        <v>0</v>
      </c>
      <c r="P538">
        <f>IF($N538=0,0,IF(AND($F538&lt;=EOMONTH(DATE(PlanYear,2,1),0),IF(ISNUMBER($G538),$G538,$F538)&gt;=DATE(PlanYear,2,1)),1,0))</f>
        <v>0</v>
      </c>
      <c r="Q538">
        <f>IF($N538=0,0,IF(AND($F538&lt;=EOMONTH(DATE(PlanYear,3,1),0),IF(ISNUMBER($G538),$G538,$F538)&gt;=DATE(PlanYear,3,1)),1,0))</f>
        <v>0</v>
      </c>
      <c r="R538">
        <f>IF($N538=0,0,IF(AND($F538&lt;=EOMONTH(DATE(PlanYear,4,1),0),IF(ISNUMBER($G538),$G538,$F538)&gt;=DATE(PlanYear,4,1)),1,0))</f>
        <v>0</v>
      </c>
      <c r="S538">
        <f>IF($N538=0,0,IF(AND($F538&lt;=EOMONTH(DATE(PlanYear,5,1),0),IF(ISNUMBER($G538),$G538,$F538)&gt;=DATE(PlanYear,5,1)),1,0))</f>
        <v>0</v>
      </c>
      <c r="T538">
        <f>IF($N538=0,0,IF(AND($F538&lt;=EOMONTH(DATE(PlanYear,6,1),0),IF(ISNUMBER($G538),$G538,$F538)&gt;=DATE(PlanYear,6,1)),1,0))</f>
        <v>0</v>
      </c>
      <c r="U538">
        <f>IF($N538=0,0,IF(AND($F538&lt;=EOMONTH(DATE(PlanYear,7,1),0),IF(ISNUMBER($G538),$G538,$F538)&gt;=DATE(PlanYear,7,1)),1,0))</f>
        <v>0</v>
      </c>
      <c r="V538">
        <f>IF($N538=0,0,IF(AND($F538&lt;=EOMONTH(DATE(PlanYear,8,1),0),IF(ISNUMBER($G538),$G538,$F538)&gt;=DATE(PlanYear,8,1)),1,0))</f>
        <v>0</v>
      </c>
      <c r="W538">
        <f>IF($N538=0,0,IF(AND($F538&lt;=EOMONTH(DATE(PlanYear,9,1),0),IF(ISNUMBER($G538),$G538,$F538)&gt;=DATE(PlanYear,9,1)),1,0))</f>
        <v>0</v>
      </c>
      <c r="X538">
        <f>IF($N538=0,0,IF(AND($F538&lt;=EOMONTH(DATE(PlanYear,10,1),0),IF(ISNUMBER($G538),$G538,$F538)&gt;=DATE(PlanYear,10,1)),1,0))</f>
        <v>0</v>
      </c>
      <c r="Y538">
        <f>IF($N538=0,0,IF(AND($F538&lt;=EOMONTH(DATE(PlanYear,11,1),0),IF(ISNUMBER($G538),$G538,$F538)&gt;=DATE(PlanYear,11,1)),1,0))</f>
        <v>0</v>
      </c>
      <c r="Z538">
        <f>IF($N538=0,0,IF(AND($F538&lt;=EOMONTH(DATE(PlanYear,12,1),0),IF(ISNUMBER($G538),$G538,$F538)&gt;=DATE(PlanYear,12,1)),1,0))</f>
        <v>0</v>
      </c>
      <c r="AA538">
        <f>SUM($O538:$Z538)</f>
        <v>0</v>
      </c>
    </row>
    <row r="539" spans="1:27">
      <c r="A539" s="42">
        <f>IF($B539="","","ACT-"&amp;TEXT(ROW()-4,"000"))</f>
        <v>0</v>
      </c>
      <c r="M539" s="43">
        <f>IF(COUNTA($B539:$K539)=0,"",IF($B539="","Missing activity name",IF($C539="","Missing practice",IF(COUNTIF(PracticeNames,$C539)=0,"Practice not in Lists",IF($D539="","Missing motion",IF(NOT(ISNUMBER($F539)),"Missing or invalid start date",IF(AND(ISNUMBER($G539),$G539&lt;$F539),"End date before start",IF(AND($N539=1,$AA539=0),"Outside planning year","OK"))))))))</f>
        <v>0</v>
      </c>
      <c r="N539">
        <f>IF(AND($B539&lt;&gt;"",$C539&lt;&gt;"",$D539&lt;&gt;"",ISNUMBER($F539),COUNTIF(PracticeNames,$C539)&gt;0,COUNTIF(MotionNames,$D539)&gt;0,NOT(AND(ISNUMBER($G539),$G539&lt;$F539))),IF(StatusFilter="All (excl. Cancelled)",IF($H539="Cancelled",0,1),IF(StatusFilter="All",1,IF($H539=StatusFilter,1,0))),0)</f>
        <v>0</v>
      </c>
      <c r="O539">
        <f>IF($N539=0,0,IF(AND($F539&lt;=EOMONTH(DATE(PlanYear,1,1),0),IF(ISNUMBER($G539),$G539,$F539)&gt;=DATE(PlanYear,1,1)),1,0))</f>
        <v>0</v>
      </c>
      <c r="P539">
        <f>IF($N539=0,0,IF(AND($F539&lt;=EOMONTH(DATE(PlanYear,2,1),0),IF(ISNUMBER($G539),$G539,$F539)&gt;=DATE(PlanYear,2,1)),1,0))</f>
        <v>0</v>
      </c>
      <c r="Q539">
        <f>IF($N539=0,0,IF(AND($F539&lt;=EOMONTH(DATE(PlanYear,3,1),0),IF(ISNUMBER($G539),$G539,$F539)&gt;=DATE(PlanYear,3,1)),1,0))</f>
        <v>0</v>
      </c>
      <c r="R539">
        <f>IF($N539=0,0,IF(AND($F539&lt;=EOMONTH(DATE(PlanYear,4,1),0),IF(ISNUMBER($G539),$G539,$F539)&gt;=DATE(PlanYear,4,1)),1,0))</f>
        <v>0</v>
      </c>
      <c r="S539">
        <f>IF($N539=0,0,IF(AND($F539&lt;=EOMONTH(DATE(PlanYear,5,1),0),IF(ISNUMBER($G539),$G539,$F539)&gt;=DATE(PlanYear,5,1)),1,0))</f>
        <v>0</v>
      </c>
      <c r="T539">
        <f>IF($N539=0,0,IF(AND($F539&lt;=EOMONTH(DATE(PlanYear,6,1),0),IF(ISNUMBER($G539),$G539,$F539)&gt;=DATE(PlanYear,6,1)),1,0))</f>
        <v>0</v>
      </c>
      <c r="U539">
        <f>IF($N539=0,0,IF(AND($F539&lt;=EOMONTH(DATE(PlanYear,7,1),0),IF(ISNUMBER($G539),$G539,$F539)&gt;=DATE(PlanYear,7,1)),1,0))</f>
        <v>0</v>
      </c>
      <c r="V539">
        <f>IF($N539=0,0,IF(AND($F539&lt;=EOMONTH(DATE(PlanYear,8,1),0),IF(ISNUMBER($G539),$G539,$F539)&gt;=DATE(PlanYear,8,1)),1,0))</f>
        <v>0</v>
      </c>
      <c r="W539">
        <f>IF($N539=0,0,IF(AND($F539&lt;=EOMONTH(DATE(PlanYear,9,1),0),IF(ISNUMBER($G539),$G539,$F539)&gt;=DATE(PlanYear,9,1)),1,0))</f>
        <v>0</v>
      </c>
      <c r="X539">
        <f>IF($N539=0,0,IF(AND($F539&lt;=EOMONTH(DATE(PlanYear,10,1),0),IF(ISNUMBER($G539),$G539,$F539)&gt;=DATE(PlanYear,10,1)),1,0))</f>
        <v>0</v>
      </c>
      <c r="Y539">
        <f>IF($N539=0,0,IF(AND($F539&lt;=EOMONTH(DATE(PlanYear,11,1),0),IF(ISNUMBER($G539),$G539,$F539)&gt;=DATE(PlanYear,11,1)),1,0))</f>
        <v>0</v>
      </c>
      <c r="Z539">
        <f>IF($N539=0,0,IF(AND($F539&lt;=EOMONTH(DATE(PlanYear,12,1),0),IF(ISNUMBER($G539),$G539,$F539)&gt;=DATE(PlanYear,12,1)),1,0))</f>
        <v>0</v>
      </c>
      <c r="AA539">
        <f>SUM($O539:$Z539)</f>
        <v>0</v>
      </c>
    </row>
    <row r="540" spans="1:27">
      <c r="A540" s="42">
        <f>IF($B540="","","ACT-"&amp;TEXT(ROW()-4,"000"))</f>
        <v>0</v>
      </c>
      <c r="M540" s="43">
        <f>IF(COUNTA($B540:$K540)=0,"",IF($B540="","Missing activity name",IF($C540="","Missing practice",IF(COUNTIF(PracticeNames,$C540)=0,"Practice not in Lists",IF($D540="","Missing motion",IF(NOT(ISNUMBER($F540)),"Missing or invalid start date",IF(AND(ISNUMBER($G540),$G540&lt;$F540),"End date before start",IF(AND($N540=1,$AA540=0),"Outside planning year","OK"))))))))</f>
        <v>0</v>
      </c>
      <c r="N540">
        <f>IF(AND($B540&lt;&gt;"",$C540&lt;&gt;"",$D540&lt;&gt;"",ISNUMBER($F540),COUNTIF(PracticeNames,$C540)&gt;0,COUNTIF(MotionNames,$D540)&gt;0,NOT(AND(ISNUMBER($G540),$G540&lt;$F540))),IF(StatusFilter="All (excl. Cancelled)",IF($H540="Cancelled",0,1),IF(StatusFilter="All",1,IF($H540=StatusFilter,1,0))),0)</f>
        <v>0</v>
      </c>
      <c r="O540">
        <f>IF($N540=0,0,IF(AND($F540&lt;=EOMONTH(DATE(PlanYear,1,1),0),IF(ISNUMBER($G540),$G540,$F540)&gt;=DATE(PlanYear,1,1)),1,0))</f>
        <v>0</v>
      </c>
      <c r="P540">
        <f>IF($N540=0,0,IF(AND($F540&lt;=EOMONTH(DATE(PlanYear,2,1),0),IF(ISNUMBER($G540),$G540,$F540)&gt;=DATE(PlanYear,2,1)),1,0))</f>
        <v>0</v>
      </c>
      <c r="Q540">
        <f>IF($N540=0,0,IF(AND($F540&lt;=EOMONTH(DATE(PlanYear,3,1),0),IF(ISNUMBER($G540),$G540,$F540)&gt;=DATE(PlanYear,3,1)),1,0))</f>
        <v>0</v>
      </c>
      <c r="R540">
        <f>IF($N540=0,0,IF(AND($F540&lt;=EOMONTH(DATE(PlanYear,4,1),0),IF(ISNUMBER($G540),$G540,$F540)&gt;=DATE(PlanYear,4,1)),1,0))</f>
        <v>0</v>
      </c>
      <c r="S540">
        <f>IF($N540=0,0,IF(AND($F540&lt;=EOMONTH(DATE(PlanYear,5,1),0),IF(ISNUMBER($G540),$G540,$F540)&gt;=DATE(PlanYear,5,1)),1,0))</f>
        <v>0</v>
      </c>
      <c r="T540">
        <f>IF($N540=0,0,IF(AND($F540&lt;=EOMONTH(DATE(PlanYear,6,1),0),IF(ISNUMBER($G540),$G540,$F540)&gt;=DATE(PlanYear,6,1)),1,0))</f>
        <v>0</v>
      </c>
      <c r="U540">
        <f>IF($N540=0,0,IF(AND($F540&lt;=EOMONTH(DATE(PlanYear,7,1),0),IF(ISNUMBER($G540),$G540,$F540)&gt;=DATE(PlanYear,7,1)),1,0))</f>
        <v>0</v>
      </c>
      <c r="V540">
        <f>IF($N540=0,0,IF(AND($F540&lt;=EOMONTH(DATE(PlanYear,8,1),0),IF(ISNUMBER($G540),$G540,$F540)&gt;=DATE(PlanYear,8,1)),1,0))</f>
        <v>0</v>
      </c>
      <c r="W540">
        <f>IF($N540=0,0,IF(AND($F540&lt;=EOMONTH(DATE(PlanYear,9,1),0),IF(ISNUMBER($G540),$G540,$F540)&gt;=DATE(PlanYear,9,1)),1,0))</f>
        <v>0</v>
      </c>
      <c r="X540">
        <f>IF($N540=0,0,IF(AND($F540&lt;=EOMONTH(DATE(PlanYear,10,1),0),IF(ISNUMBER($G540),$G540,$F540)&gt;=DATE(PlanYear,10,1)),1,0))</f>
        <v>0</v>
      </c>
      <c r="Y540">
        <f>IF($N540=0,0,IF(AND($F540&lt;=EOMONTH(DATE(PlanYear,11,1),0),IF(ISNUMBER($G540),$G540,$F540)&gt;=DATE(PlanYear,11,1)),1,0))</f>
        <v>0</v>
      </c>
      <c r="Z540">
        <f>IF($N540=0,0,IF(AND($F540&lt;=EOMONTH(DATE(PlanYear,12,1),0),IF(ISNUMBER($G540),$G540,$F540)&gt;=DATE(PlanYear,12,1)),1,0))</f>
        <v>0</v>
      </c>
      <c r="AA540">
        <f>SUM($O540:$Z540)</f>
        <v>0</v>
      </c>
    </row>
    <row r="541" spans="1:27">
      <c r="A541" s="42">
        <f>IF($B541="","","ACT-"&amp;TEXT(ROW()-4,"000"))</f>
        <v>0</v>
      </c>
      <c r="M541" s="43">
        <f>IF(COUNTA($B541:$K541)=0,"",IF($B541="","Missing activity name",IF($C541="","Missing practice",IF(COUNTIF(PracticeNames,$C541)=0,"Practice not in Lists",IF($D541="","Missing motion",IF(NOT(ISNUMBER($F541)),"Missing or invalid start date",IF(AND(ISNUMBER($G541),$G541&lt;$F541),"End date before start",IF(AND($N541=1,$AA541=0),"Outside planning year","OK"))))))))</f>
        <v>0</v>
      </c>
      <c r="N541">
        <f>IF(AND($B541&lt;&gt;"",$C541&lt;&gt;"",$D541&lt;&gt;"",ISNUMBER($F541),COUNTIF(PracticeNames,$C541)&gt;0,COUNTIF(MotionNames,$D541)&gt;0,NOT(AND(ISNUMBER($G541),$G541&lt;$F541))),IF(StatusFilter="All (excl. Cancelled)",IF($H541="Cancelled",0,1),IF(StatusFilter="All",1,IF($H541=StatusFilter,1,0))),0)</f>
        <v>0</v>
      </c>
      <c r="O541">
        <f>IF($N541=0,0,IF(AND($F541&lt;=EOMONTH(DATE(PlanYear,1,1),0),IF(ISNUMBER($G541),$G541,$F541)&gt;=DATE(PlanYear,1,1)),1,0))</f>
        <v>0</v>
      </c>
      <c r="P541">
        <f>IF($N541=0,0,IF(AND($F541&lt;=EOMONTH(DATE(PlanYear,2,1),0),IF(ISNUMBER($G541),$G541,$F541)&gt;=DATE(PlanYear,2,1)),1,0))</f>
        <v>0</v>
      </c>
      <c r="Q541">
        <f>IF($N541=0,0,IF(AND($F541&lt;=EOMONTH(DATE(PlanYear,3,1),0),IF(ISNUMBER($G541),$G541,$F541)&gt;=DATE(PlanYear,3,1)),1,0))</f>
        <v>0</v>
      </c>
      <c r="R541">
        <f>IF($N541=0,0,IF(AND($F541&lt;=EOMONTH(DATE(PlanYear,4,1),0),IF(ISNUMBER($G541),$G541,$F541)&gt;=DATE(PlanYear,4,1)),1,0))</f>
        <v>0</v>
      </c>
      <c r="S541">
        <f>IF($N541=0,0,IF(AND($F541&lt;=EOMONTH(DATE(PlanYear,5,1),0),IF(ISNUMBER($G541),$G541,$F541)&gt;=DATE(PlanYear,5,1)),1,0))</f>
        <v>0</v>
      </c>
      <c r="T541">
        <f>IF($N541=0,0,IF(AND($F541&lt;=EOMONTH(DATE(PlanYear,6,1),0),IF(ISNUMBER($G541),$G541,$F541)&gt;=DATE(PlanYear,6,1)),1,0))</f>
        <v>0</v>
      </c>
      <c r="U541">
        <f>IF($N541=0,0,IF(AND($F541&lt;=EOMONTH(DATE(PlanYear,7,1),0),IF(ISNUMBER($G541),$G541,$F541)&gt;=DATE(PlanYear,7,1)),1,0))</f>
        <v>0</v>
      </c>
      <c r="V541">
        <f>IF($N541=0,0,IF(AND($F541&lt;=EOMONTH(DATE(PlanYear,8,1),0),IF(ISNUMBER($G541),$G541,$F541)&gt;=DATE(PlanYear,8,1)),1,0))</f>
        <v>0</v>
      </c>
      <c r="W541">
        <f>IF($N541=0,0,IF(AND($F541&lt;=EOMONTH(DATE(PlanYear,9,1),0),IF(ISNUMBER($G541),$G541,$F541)&gt;=DATE(PlanYear,9,1)),1,0))</f>
        <v>0</v>
      </c>
      <c r="X541">
        <f>IF($N541=0,0,IF(AND($F541&lt;=EOMONTH(DATE(PlanYear,10,1),0),IF(ISNUMBER($G541),$G541,$F541)&gt;=DATE(PlanYear,10,1)),1,0))</f>
        <v>0</v>
      </c>
      <c r="Y541">
        <f>IF($N541=0,0,IF(AND($F541&lt;=EOMONTH(DATE(PlanYear,11,1),0),IF(ISNUMBER($G541),$G541,$F541)&gt;=DATE(PlanYear,11,1)),1,0))</f>
        <v>0</v>
      </c>
      <c r="Z541">
        <f>IF($N541=0,0,IF(AND($F541&lt;=EOMONTH(DATE(PlanYear,12,1),0),IF(ISNUMBER($G541),$G541,$F541)&gt;=DATE(PlanYear,12,1)),1,0))</f>
        <v>0</v>
      </c>
      <c r="AA541">
        <f>SUM($O541:$Z541)</f>
        <v>0</v>
      </c>
    </row>
    <row r="542" spans="1:27">
      <c r="A542" s="42">
        <f>IF($B542="","","ACT-"&amp;TEXT(ROW()-4,"000"))</f>
        <v>0</v>
      </c>
      <c r="M542" s="43">
        <f>IF(COUNTA($B542:$K542)=0,"",IF($B542="","Missing activity name",IF($C542="","Missing practice",IF(COUNTIF(PracticeNames,$C542)=0,"Practice not in Lists",IF($D542="","Missing motion",IF(NOT(ISNUMBER($F542)),"Missing or invalid start date",IF(AND(ISNUMBER($G542),$G542&lt;$F542),"End date before start",IF(AND($N542=1,$AA542=0),"Outside planning year","OK"))))))))</f>
        <v>0</v>
      </c>
      <c r="N542">
        <f>IF(AND($B542&lt;&gt;"",$C542&lt;&gt;"",$D542&lt;&gt;"",ISNUMBER($F542),COUNTIF(PracticeNames,$C542)&gt;0,COUNTIF(MotionNames,$D542)&gt;0,NOT(AND(ISNUMBER($G542),$G542&lt;$F542))),IF(StatusFilter="All (excl. Cancelled)",IF($H542="Cancelled",0,1),IF(StatusFilter="All",1,IF($H542=StatusFilter,1,0))),0)</f>
        <v>0</v>
      </c>
      <c r="O542">
        <f>IF($N542=0,0,IF(AND($F542&lt;=EOMONTH(DATE(PlanYear,1,1),0),IF(ISNUMBER($G542),$G542,$F542)&gt;=DATE(PlanYear,1,1)),1,0))</f>
        <v>0</v>
      </c>
      <c r="P542">
        <f>IF($N542=0,0,IF(AND($F542&lt;=EOMONTH(DATE(PlanYear,2,1),0),IF(ISNUMBER($G542),$G542,$F542)&gt;=DATE(PlanYear,2,1)),1,0))</f>
        <v>0</v>
      </c>
      <c r="Q542">
        <f>IF($N542=0,0,IF(AND($F542&lt;=EOMONTH(DATE(PlanYear,3,1),0),IF(ISNUMBER($G542),$G542,$F542)&gt;=DATE(PlanYear,3,1)),1,0))</f>
        <v>0</v>
      </c>
      <c r="R542">
        <f>IF($N542=0,0,IF(AND($F542&lt;=EOMONTH(DATE(PlanYear,4,1),0),IF(ISNUMBER($G542),$G542,$F542)&gt;=DATE(PlanYear,4,1)),1,0))</f>
        <v>0</v>
      </c>
      <c r="S542">
        <f>IF($N542=0,0,IF(AND($F542&lt;=EOMONTH(DATE(PlanYear,5,1),0),IF(ISNUMBER($G542),$G542,$F542)&gt;=DATE(PlanYear,5,1)),1,0))</f>
        <v>0</v>
      </c>
      <c r="T542">
        <f>IF($N542=0,0,IF(AND($F542&lt;=EOMONTH(DATE(PlanYear,6,1),0),IF(ISNUMBER($G542),$G542,$F542)&gt;=DATE(PlanYear,6,1)),1,0))</f>
        <v>0</v>
      </c>
      <c r="U542">
        <f>IF($N542=0,0,IF(AND($F542&lt;=EOMONTH(DATE(PlanYear,7,1),0),IF(ISNUMBER($G542),$G542,$F542)&gt;=DATE(PlanYear,7,1)),1,0))</f>
        <v>0</v>
      </c>
      <c r="V542">
        <f>IF($N542=0,0,IF(AND($F542&lt;=EOMONTH(DATE(PlanYear,8,1),0),IF(ISNUMBER($G542),$G542,$F542)&gt;=DATE(PlanYear,8,1)),1,0))</f>
        <v>0</v>
      </c>
      <c r="W542">
        <f>IF($N542=0,0,IF(AND($F542&lt;=EOMONTH(DATE(PlanYear,9,1),0),IF(ISNUMBER($G542),$G542,$F542)&gt;=DATE(PlanYear,9,1)),1,0))</f>
        <v>0</v>
      </c>
      <c r="X542">
        <f>IF($N542=0,0,IF(AND($F542&lt;=EOMONTH(DATE(PlanYear,10,1),0),IF(ISNUMBER($G542),$G542,$F542)&gt;=DATE(PlanYear,10,1)),1,0))</f>
        <v>0</v>
      </c>
      <c r="Y542">
        <f>IF($N542=0,0,IF(AND($F542&lt;=EOMONTH(DATE(PlanYear,11,1),0),IF(ISNUMBER($G542),$G542,$F542)&gt;=DATE(PlanYear,11,1)),1,0))</f>
        <v>0</v>
      </c>
      <c r="Z542">
        <f>IF($N542=0,0,IF(AND($F542&lt;=EOMONTH(DATE(PlanYear,12,1),0),IF(ISNUMBER($G542),$G542,$F542)&gt;=DATE(PlanYear,12,1)),1,0))</f>
        <v>0</v>
      </c>
      <c r="AA542">
        <f>SUM($O542:$Z542)</f>
        <v>0</v>
      </c>
    </row>
    <row r="543" spans="1:27">
      <c r="A543" s="42">
        <f>IF($B543="","","ACT-"&amp;TEXT(ROW()-4,"000"))</f>
        <v>0</v>
      </c>
      <c r="M543" s="43">
        <f>IF(COUNTA($B543:$K543)=0,"",IF($B543="","Missing activity name",IF($C543="","Missing practice",IF(COUNTIF(PracticeNames,$C543)=0,"Practice not in Lists",IF($D543="","Missing motion",IF(NOT(ISNUMBER($F543)),"Missing or invalid start date",IF(AND(ISNUMBER($G543),$G543&lt;$F543),"End date before start",IF(AND($N543=1,$AA543=0),"Outside planning year","OK"))))))))</f>
        <v>0</v>
      </c>
      <c r="N543">
        <f>IF(AND($B543&lt;&gt;"",$C543&lt;&gt;"",$D543&lt;&gt;"",ISNUMBER($F543),COUNTIF(PracticeNames,$C543)&gt;0,COUNTIF(MotionNames,$D543)&gt;0,NOT(AND(ISNUMBER($G543),$G543&lt;$F543))),IF(StatusFilter="All (excl. Cancelled)",IF($H543="Cancelled",0,1),IF(StatusFilter="All",1,IF($H543=StatusFilter,1,0))),0)</f>
        <v>0</v>
      </c>
      <c r="O543">
        <f>IF($N543=0,0,IF(AND($F543&lt;=EOMONTH(DATE(PlanYear,1,1),0),IF(ISNUMBER($G543),$G543,$F543)&gt;=DATE(PlanYear,1,1)),1,0))</f>
        <v>0</v>
      </c>
      <c r="P543">
        <f>IF($N543=0,0,IF(AND($F543&lt;=EOMONTH(DATE(PlanYear,2,1),0),IF(ISNUMBER($G543),$G543,$F543)&gt;=DATE(PlanYear,2,1)),1,0))</f>
        <v>0</v>
      </c>
      <c r="Q543">
        <f>IF($N543=0,0,IF(AND($F543&lt;=EOMONTH(DATE(PlanYear,3,1),0),IF(ISNUMBER($G543),$G543,$F543)&gt;=DATE(PlanYear,3,1)),1,0))</f>
        <v>0</v>
      </c>
      <c r="R543">
        <f>IF($N543=0,0,IF(AND($F543&lt;=EOMONTH(DATE(PlanYear,4,1),0),IF(ISNUMBER($G543),$G543,$F543)&gt;=DATE(PlanYear,4,1)),1,0))</f>
        <v>0</v>
      </c>
      <c r="S543">
        <f>IF($N543=0,0,IF(AND($F543&lt;=EOMONTH(DATE(PlanYear,5,1),0),IF(ISNUMBER($G543),$G543,$F543)&gt;=DATE(PlanYear,5,1)),1,0))</f>
        <v>0</v>
      </c>
      <c r="T543">
        <f>IF($N543=0,0,IF(AND($F543&lt;=EOMONTH(DATE(PlanYear,6,1),0),IF(ISNUMBER($G543),$G543,$F543)&gt;=DATE(PlanYear,6,1)),1,0))</f>
        <v>0</v>
      </c>
      <c r="U543">
        <f>IF($N543=0,0,IF(AND($F543&lt;=EOMONTH(DATE(PlanYear,7,1),0),IF(ISNUMBER($G543),$G543,$F543)&gt;=DATE(PlanYear,7,1)),1,0))</f>
        <v>0</v>
      </c>
      <c r="V543">
        <f>IF($N543=0,0,IF(AND($F543&lt;=EOMONTH(DATE(PlanYear,8,1),0),IF(ISNUMBER($G543),$G543,$F543)&gt;=DATE(PlanYear,8,1)),1,0))</f>
        <v>0</v>
      </c>
      <c r="W543">
        <f>IF($N543=0,0,IF(AND($F543&lt;=EOMONTH(DATE(PlanYear,9,1),0),IF(ISNUMBER($G543),$G543,$F543)&gt;=DATE(PlanYear,9,1)),1,0))</f>
        <v>0</v>
      </c>
      <c r="X543">
        <f>IF($N543=0,0,IF(AND($F543&lt;=EOMONTH(DATE(PlanYear,10,1),0),IF(ISNUMBER($G543),$G543,$F543)&gt;=DATE(PlanYear,10,1)),1,0))</f>
        <v>0</v>
      </c>
      <c r="Y543">
        <f>IF($N543=0,0,IF(AND($F543&lt;=EOMONTH(DATE(PlanYear,11,1),0),IF(ISNUMBER($G543),$G543,$F543)&gt;=DATE(PlanYear,11,1)),1,0))</f>
        <v>0</v>
      </c>
      <c r="Z543">
        <f>IF($N543=0,0,IF(AND($F543&lt;=EOMONTH(DATE(PlanYear,12,1),0),IF(ISNUMBER($G543),$G543,$F543)&gt;=DATE(PlanYear,12,1)),1,0))</f>
        <v>0</v>
      </c>
      <c r="AA543">
        <f>SUM($O543:$Z543)</f>
        <v>0</v>
      </c>
    </row>
    <row r="544" spans="1:27">
      <c r="A544" s="42">
        <f>IF($B544="","","ACT-"&amp;TEXT(ROW()-4,"000"))</f>
        <v>0</v>
      </c>
      <c r="M544" s="43">
        <f>IF(COUNTA($B544:$K544)=0,"",IF($B544="","Missing activity name",IF($C544="","Missing practice",IF(COUNTIF(PracticeNames,$C544)=0,"Practice not in Lists",IF($D544="","Missing motion",IF(NOT(ISNUMBER($F544)),"Missing or invalid start date",IF(AND(ISNUMBER($G544),$G544&lt;$F544),"End date before start",IF(AND($N544=1,$AA544=0),"Outside planning year","OK"))))))))</f>
        <v>0</v>
      </c>
      <c r="N544">
        <f>IF(AND($B544&lt;&gt;"",$C544&lt;&gt;"",$D544&lt;&gt;"",ISNUMBER($F544),COUNTIF(PracticeNames,$C544)&gt;0,COUNTIF(MotionNames,$D544)&gt;0,NOT(AND(ISNUMBER($G544),$G544&lt;$F544))),IF(StatusFilter="All (excl. Cancelled)",IF($H544="Cancelled",0,1),IF(StatusFilter="All",1,IF($H544=StatusFilter,1,0))),0)</f>
        <v>0</v>
      </c>
      <c r="O544">
        <f>IF($N544=0,0,IF(AND($F544&lt;=EOMONTH(DATE(PlanYear,1,1),0),IF(ISNUMBER($G544),$G544,$F544)&gt;=DATE(PlanYear,1,1)),1,0))</f>
        <v>0</v>
      </c>
      <c r="P544">
        <f>IF($N544=0,0,IF(AND($F544&lt;=EOMONTH(DATE(PlanYear,2,1),0),IF(ISNUMBER($G544),$G544,$F544)&gt;=DATE(PlanYear,2,1)),1,0))</f>
        <v>0</v>
      </c>
      <c r="Q544">
        <f>IF($N544=0,0,IF(AND($F544&lt;=EOMONTH(DATE(PlanYear,3,1),0),IF(ISNUMBER($G544),$G544,$F544)&gt;=DATE(PlanYear,3,1)),1,0))</f>
        <v>0</v>
      </c>
      <c r="R544">
        <f>IF($N544=0,0,IF(AND($F544&lt;=EOMONTH(DATE(PlanYear,4,1),0),IF(ISNUMBER($G544),$G544,$F544)&gt;=DATE(PlanYear,4,1)),1,0))</f>
        <v>0</v>
      </c>
      <c r="S544">
        <f>IF($N544=0,0,IF(AND($F544&lt;=EOMONTH(DATE(PlanYear,5,1),0),IF(ISNUMBER($G544),$G544,$F544)&gt;=DATE(PlanYear,5,1)),1,0))</f>
        <v>0</v>
      </c>
      <c r="T544">
        <f>IF($N544=0,0,IF(AND($F544&lt;=EOMONTH(DATE(PlanYear,6,1),0),IF(ISNUMBER($G544),$G544,$F544)&gt;=DATE(PlanYear,6,1)),1,0))</f>
        <v>0</v>
      </c>
      <c r="U544">
        <f>IF($N544=0,0,IF(AND($F544&lt;=EOMONTH(DATE(PlanYear,7,1),0),IF(ISNUMBER($G544),$G544,$F544)&gt;=DATE(PlanYear,7,1)),1,0))</f>
        <v>0</v>
      </c>
      <c r="V544">
        <f>IF($N544=0,0,IF(AND($F544&lt;=EOMONTH(DATE(PlanYear,8,1),0),IF(ISNUMBER($G544),$G544,$F544)&gt;=DATE(PlanYear,8,1)),1,0))</f>
        <v>0</v>
      </c>
      <c r="W544">
        <f>IF($N544=0,0,IF(AND($F544&lt;=EOMONTH(DATE(PlanYear,9,1),0),IF(ISNUMBER($G544),$G544,$F544)&gt;=DATE(PlanYear,9,1)),1,0))</f>
        <v>0</v>
      </c>
      <c r="X544">
        <f>IF($N544=0,0,IF(AND($F544&lt;=EOMONTH(DATE(PlanYear,10,1),0),IF(ISNUMBER($G544),$G544,$F544)&gt;=DATE(PlanYear,10,1)),1,0))</f>
        <v>0</v>
      </c>
      <c r="Y544">
        <f>IF($N544=0,0,IF(AND($F544&lt;=EOMONTH(DATE(PlanYear,11,1),0),IF(ISNUMBER($G544),$G544,$F544)&gt;=DATE(PlanYear,11,1)),1,0))</f>
        <v>0</v>
      </c>
      <c r="Z544">
        <f>IF($N544=0,0,IF(AND($F544&lt;=EOMONTH(DATE(PlanYear,12,1),0),IF(ISNUMBER($G544),$G544,$F544)&gt;=DATE(PlanYear,12,1)),1,0))</f>
        <v>0</v>
      </c>
      <c r="AA544">
        <f>SUM($O544:$Z544)</f>
        <v>0</v>
      </c>
    </row>
    <row r="545" spans="1:27">
      <c r="A545" s="42">
        <f>IF($B545="","","ACT-"&amp;TEXT(ROW()-4,"000"))</f>
        <v>0</v>
      </c>
      <c r="M545" s="43">
        <f>IF(COUNTA($B545:$K545)=0,"",IF($B545="","Missing activity name",IF($C545="","Missing practice",IF(COUNTIF(PracticeNames,$C545)=0,"Practice not in Lists",IF($D545="","Missing motion",IF(NOT(ISNUMBER($F545)),"Missing or invalid start date",IF(AND(ISNUMBER($G545),$G545&lt;$F545),"End date before start",IF(AND($N545=1,$AA545=0),"Outside planning year","OK"))))))))</f>
        <v>0</v>
      </c>
      <c r="N545">
        <f>IF(AND($B545&lt;&gt;"",$C545&lt;&gt;"",$D545&lt;&gt;"",ISNUMBER($F545),COUNTIF(PracticeNames,$C545)&gt;0,COUNTIF(MotionNames,$D545)&gt;0,NOT(AND(ISNUMBER($G545),$G545&lt;$F545))),IF(StatusFilter="All (excl. Cancelled)",IF($H545="Cancelled",0,1),IF(StatusFilter="All",1,IF($H545=StatusFilter,1,0))),0)</f>
        <v>0</v>
      </c>
      <c r="O545">
        <f>IF($N545=0,0,IF(AND($F545&lt;=EOMONTH(DATE(PlanYear,1,1),0),IF(ISNUMBER($G545),$G545,$F545)&gt;=DATE(PlanYear,1,1)),1,0))</f>
        <v>0</v>
      </c>
      <c r="P545">
        <f>IF($N545=0,0,IF(AND($F545&lt;=EOMONTH(DATE(PlanYear,2,1),0),IF(ISNUMBER($G545),$G545,$F545)&gt;=DATE(PlanYear,2,1)),1,0))</f>
        <v>0</v>
      </c>
      <c r="Q545">
        <f>IF($N545=0,0,IF(AND($F545&lt;=EOMONTH(DATE(PlanYear,3,1),0),IF(ISNUMBER($G545),$G545,$F545)&gt;=DATE(PlanYear,3,1)),1,0))</f>
        <v>0</v>
      </c>
      <c r="R545">
        <f>IF($N545=0,0,IF(AND($F545&lt;=EOMONTH(DATE(PlanYear,4,1),0),IF(ISNUMBER($G545),$G545,$F545)&gt;=DATE(PlanYear,4,1)),1,0))</f>
        <v>0</v>
      </c>
      <c r="S545">
        <f>IF($N545=0,0,IF(AND($F545&lt;=EOMONTH(DATE(PlanYear,5,1),0),IF(ISNUMBER($G545),$G545,$F545)&gt;=DATE(PlanYear,5,1)),1,0))</f>
        <v>0</v>
      </c>
      <c r="T545">
        <f>IF($N545=0,0,IF(AND($F545&lt;=EOMONTH(DATE(PlanYear,6,1),0),IF(ISNUMBER($G545),$G545,$F545)&gt;=DATE(PlanYear,6,1)),1,0))</f>
        <v>0</v>
      </c>
      <c r="U545">
        <f>IF($N545=0,0,IF(AND($F545&lt;=EOMONTH(DATE(PlanYear,7,1),0),IF(ISNUMBER($G545),$G545,$F545)&gt;=DATE(PlanYear,7,1)),1,0))</f>
        <v>0</v>
      </c>
      <c r="V545">
        <f>IF($N545=0,0,IF(AND($F545&lt;=EOMONTH(DATE(PlanYear,8,1),0),IF(ISNUMBER($G545),$G545,$F545)&gt;=DATE(PlanYear,8,1)),1,0))</f>
        <v>0</v>
      </c>
      <c r="W545">
        <f>IF($N545=0,0,IF(AND($F545&lt;=EOMONTH(DATE(PlanYear,9,1),0),IF(ISNUMBER($G545),$G545,$F545)&gt;=DATE(PlanYear,9,1)),1,0))</f>
        <v>0</v>
      </c>
      <c r="X545">
        <f>IF($N545=0,0,IF(AND($F545&lt;=EOMONTH(DATE(PlanYear,10,1),0),IF(ISNUMBER($G545),$G545,$F545)&gt;=DATE(PlanYear,10,1)),1,0))</f>
        <v>0</v>
      </c>
      <c r="Y545">
        <f>IF($N545=0,0,IF(AND($F545&lt;=EOMONTH(DATE(PlanYear,11,1),0),IF(ISNUMBER($G545),$G545,$F545)&gt;=DATE(PlanYear,11,1)),1,0))</f>
        <v>0</v>
      </c>
      <c r="Z545">
        <f>IF($N545=0,0,IF(AND($F545&lt;=EOMONTH(DATE(PlanYear,12,1),0),IF(ISNUMBER($G545),$G545,$F545)&gt;=DATE(PlanYear,12,1)),1,0))</f>
        <v>0</v>
      </c>
      <c r="AA545">
        <f>SUM($O545:$Z545)</f>
        <v>0</v>
      </c>
    </row>
    <row r="546" spans="1:27">
      <c r="A546" s="42">
        <f>IF($B546="","","ACT-"&amp;TEXT(ROW()-4,"000"))</f>
        <v>0</v>
      </c>
      <c r="M546" s="43">
        <f>IF(COUNTA($B546:$K546)=0,"",IF($B546="","Missing activity name",IF($C546="","Missing practice",IF(COUNTIF(PracticeNames,$C546)=0,"Practice not in Lists",IF($D546="","Missing motion",IF(NOT(ISNUMBER($F546)),"Missing or invalid start date",IF(AND(ISNUMBER($G546),$G546&lt;$F546),"End date before start",IF(AND($N546=1,$AA546=0),"Outside planning year","OK"))))))))</f>
        <v>0</v>
      </c>
      <c r="N546">
        <f>IF(AND($B546&lt;&gt;"",$C546&lt;&gt;"",$D546&lt;&gt;"",ISNUMBER($F546),COUNTIF(PracticeNames,$C546)&gt;0,COUNTIF(MotionNames,$D546)&gt;0,NOT(AND(ISNUMBER($G546),$G546&lt;$F546))),IF(StatusFilter="All (excl. Cancelled)",IF($H546="Cancelled",0,1),IF(StatusFilter="All",1,IF($H546=StatusFilter,1,0))),0)</f>
        <v>0</v>
      </c>
      <c r="O546">
        <f>IF($N546=0,0,IF(AND($F546&lt;=EOMONTH(DATE(PlanYear,1,1),0),IF(ISNUMBER($G546),$G546,$F546)&gt;=DATE(PlanYear,1,1)),1,0))</f>
        <v>0</v>
      </c>
      <c r="P546">
        <f>IF($N546=0,0,IF(AND($F546&lt;=EOMONTH(DATE(PlanYear,2,1),0),IF(ISNUMBER($G546),$G546,$F546)&gt;=DATE(PlanYear,2,1)),1,0))</f>
        <v>0</v>
      </c>
      <c r="Q546">
        <f>IF($N546=0,0,IF(AND($F546&lt;=EOMONTH(DATE(PlanYear,3,1),0),IF(ISNUMBER($G546),$G546,$F546)&gt;=DATE(PlanYear,3,1)),1,0))</f>
        <v>0</v>
      </c>
      <c r="R546">
        <f>IF($N546=0,0,IF(AND($F546&lt;=EOMONTH(DATE(PlanYear,4,1),0),IF(ISNUMBER($G546),$G546,$F546)&gt;=DATE(PlanYear,4,1)),1,0))</f>
        <v>0</v>
      </c>
      <c r="S546">
        <f>IF($N546=0,0,IF(AND($F546&lt;=EOMONTH(DATE(PlanYear,5,1),0),IF(ISNUMBER($G546),$G546,$F546)&gt;=DATE(PlanYear,5,1)),1,0))</f>
        <v>0</v>
      </c>
      <c r="T546">
        <f>IF($N546=0,0,IF(AND($F546&lt;=EOMONTH(DATE(PlanYear,6,1),0),IF(ISNUMBER($G546),$G546,$F546)&gt;=DATE(PlanYear,6,1)),1,0))</f>
        <v>0</v>
      </c>
      <c r="U546">
        <f>IF($N546=0,0,IF(AND($F546&lt;=EOMONTH(DATE(PlanYear,7,1),0),IF(ISNUMBER($G546),$G546,$F546)&gt;=DATE(PlanYear,7,1)),1,0))</f>
        <v>0</v>
      </c>
      <c r="V546">
        <f>IF($N546=0,0,IF(AND($F546&lt;=EOMONTH(DATE(PlanYear,8,1),0),IF(ISNUMBER($G546),$G546,$F546)&gt;=DATE(PlanYear,8,1)),1,0))</f>
        <v>0</v>
      </c>
      <c r="W546">
        <f>IF($N546=0,0,IF(AND($F546&lt;=EOMONTH(DATE(PlanYear,9,1),0),IF(ISNUMBER($G546),$G546,$F546)&gt;=DATE(PlanYear,9,1)),1,0))</f>
        <v>0</v>
      </c>
      <c r="X546">
        <f>IF($N546=0,0,IF(AND($F546&lt;=EOMONTH(DATE(PlanYear,10,1),0),IF(ISNUMBER($G546),$G546,$F546)&gt;=DATE(PlanYear,10,1)),1,0))</f>
        <v>0</v>
      </c>
      <c r="Y546">
        <f>IF($N546=0,0,IF(AND($F546&lt;=EOMONTH(DATE(PlanYear,11,1),0),IF(ISNUMBER($G546),$G546,$F546)&gt;=DATE(PlanYear,11,1)),1,0))</f>
        <v>0</v>
      </c>
      <c r="Z546">
        <f>IF($N546=0,0,IF(AND($F546&lt;=EOMONTH(DATE(PlanYear,12,1),0),IF(ISNUMBER($G546),$G546,$F546)&gt;=DATE(PlanYear,12,1)),1,0))</f>
        <v>0</v>
      </c>
      <c r="AA546">
        <f>SUM($O546:$Z546)</f>
        <v>0</v>
      </c>
    </row>
    <row r="547" spans="1:27">
      <c r="A547" s="42">
        <f>IF($B547="","","ACT-"&amp;TEXT(ROW()-4,"000"))</f>
        <v>0</v>
      </c>
      <c r="M547" s="43">
        <f>IF(COUNTA($B547:$K547)=0,"",IF($B547="","Missing activity name",IF($C547="","Missing practice",IF(COUNTIF(PracticeNames,$C547)=0,"Practice not in Lists",IF($D547="","Missing motion",IF(NOT(ISNUMBER($F547)),"Missing or invalid start date",IF(AND(ISNUMBER($G547),$G547&lt;$F547),"End date before start",IF(AND($N547=1,$AA547=0),"Outside planning year","OK"))))))))</f>
        <v>0</v>
      </c>
      <c r="N547">
        <f>IF(AND($B547&lt;&gt;"",$C547&lt;&gt;"",$D547&lt;&gt;"",ISNUMBER($F547),COUNTIF(PracticeNames,$C547)&gt;0,COUNTIF(MotionNames,$D547)&gt;0,NOT(AND(ISNUMBER($G547),$G547&lt;$F547))),IF(StatusFilter="All (excl. Cancelled)",IF($H547="Cancelled",0,1),IF(StatusFilter="All",1,IF($H547=StatusFilter,1,0))),0)</f>
        <v>0</v>
      </c>
      <c r="O547">
        <f>IF($N547=0,0,IF(AND($F547&lt;=EOMONTH(DATE(PlanYear,1,1),0),IF(ISNUMBER($G547),$G547,$F547)&gt;=DATE(PlanYear,1,1)),1,0))</f>
        <v>0</v>
      </c>
      <c r="P547">
        <f>IF($N547=0,0,IF(AND($F547&lt;=EOMONTH(DATE(PlanYear,2,1),0),IF(ISNUMBER($G547),$G547,$F547)&gt;=DATE(PlanYear,2,1)),1,0))</f>
        <v>0</v>
      </c>
      <c r="Q547">
        <f>IF($N547=0,0,IF(AND($F547&lt;=EOMONTH(DATE(PlanYear,3,1),0),IF(ISNUMBER($G547),$G547,$F547)&gt;=DATE(PlanYear,3,1)),1,0))</f>
        <v>0</v>
      </c>
      <c r="R547">
        <f>IF($N547=0,0,IF(AND($F547&lt;=EOMONTH(DATE(PlanYear,4,1),0),IF(ISNUMBER($G547),$G547,$F547)&gt;=DATE(PlanYear,4,1)),1,0))</f>
        <v>0</v>
      </c>
      <c r="S547">
        <f>IF($N547=0,0,IF(AND($F547&lt;=EOMONTH(DATE(PlanYear,5,1),0),IF(ISNUMBER($G547),$G547,$F547)&gt;=DATE(PlanYear,5,1)),1,0))</f>
        <v>0</v>
      </c>
      <c r="T547">
        <f>IF($N547=0,0,IF(AND($F547&lt;=EOMONTH(DATE(PlanYear,6,1),0),IF(ISNUMBER($G547),$G547,$F547)&gt;=DATE(PlanYear,6,1)),1,0))</f>
        <v>0</v>
      </c>
      <c r="U547">
        <f>IF($N547=0,0,IF(AND($F547&lt;=EOMONTH(DATE(PlanYear,7,1),0),IF(ISNUMBER($G547),$G547,$F547)&gt;=DATE(PlanYear,7,1)),1,0))</f>
        <v>0</v>
      </c>
      <c r="V547">
        <f>IF($N547=0,0,IF(AND($F547&lt;=EOMONTH(DATE(PlanYear,8,1),0),IF(ISNUMBER($G547),$G547,$F547)&gt;=DATE(PlanYear,8,1)),1,0))</f>
        <v>0</v>
      </c>
      <c r="W547">
        <f>IF($N547=0,0,IF(AND($F547&lt;=EOMONTH(DATE(PlanYear,9,1),0),IF(ISNUMBER($G547),$G547,$F547)&gt;=DATE(PlanYear,9,1)),1,0))</f>
        <v>0</v>
      </c>
      <c r="X547">
        <f>IF($N547=0,0,IF(AND($F547&lt;=EOMONTH(DATE(PlanYear,10,1),0),IF(ISNUMBER($G547),$G547,$F547)&gt;=DATE(PlanYear,10,1)),1,0))</f>
        <v>0</v>
      </c>
      <c r="Y547">
        <f>IF($N547=0,0,IF(AND($F547&lt;=EOMONTH(DATE(PlanYear,11,1),0),IF(ISNUMBER($G547),$G547,$F547)&gt;=DATE(PlanYear,11,1)),1,0))</f>
        <v>0</v>
      </c>
      <c r="Z547">
        <f>IF($N547=0,0,IF(AND($F547&lt;=EOMONTH(DATE(PlanYear,12,1),0),IF(ISNUMBER($G547),$G547,$F547)&gt;=DATE(PlanYear,12,1)),1,0))</f>
        <v>0</v>
      </c>
      <c r="AA547">
        <f>SUM($O547:$Z547)</f>
        <v>0</v>
      </c>
    </row>
    <row r="548" spans="1:27">
      <c r="A548" s="42">
        <f>IF($B548="","","ACT-"&amp;TEXT(ROW()-4,"000"))</f>
        <v>0</v>
      </c>
      <c r="M548" s="43">
        <f>IF(COUNTA($B548:$K548)=0,"",IF($B548="","Missing activity name",IF($C548="","Missing practice",IF(COUNTIF(PracticeNames,$C548)=0,"Practice not in Lists",IF($D548="","Missing motion",IF(NOT(ISNUMBER($F548)),"Missing or invalid start date",IF(AND(ISNUMBER($G548),$G548&lt;$F548),"End date before start",IF(AND($N548=1,$AA548=0),"Outside planning year","OK"))))))))</f>
        <v>0</v>
      </c>
      <c r="N548">
        <f>IF(AND($B548&lt;&gt;"",$C548&lt;&gt;"",$D548&lt;&gt;"",ISNUMBER($F548),COUNTIF(PracticeNames,$C548)&gt;0,COUNTIF(MotionNames,$D548)&gt;0,NOT(AND(ISNUMBER($G548),$G548&lt;$F548))),IF(StatusFilter="All (excl. Cancelled)",IF($H548="Cancelled",0,1),IF(StatusFilter="All",1,IF($H548=StatusFilter,1,0))),0)</f>
        <v>0</v>
      </c>
      <c r="O548">
        <f>IF($N548=0,0,IF(AND($F548&lt;=EOMONTH(DATE(PlanYear,1,1),0),IF(ISNUMBER($G548),$G548,$F548)&gt;=DATE(PlanYear,1,1)),1,0))</f>
        <v>0</v>
      </c>
      <c r="P548">
        <f>IF($N548=0,0,IF(AND($F548&lt;=EOMONTH(DATE(PlanYear,2,1),0),IF(ISNUMBER($G548),$G548,$F548)&gt;=DATE(PlanYear,2,1)),1,0))</f>
        <v>0</v>
      </c>
      <c r="Q548">
        <f>IF($N548=0,0,IF(AND($F548&lt;=EOMONTH(DATE(PlanYear,3,1),0),IF(ISNUMBER($G548),$G548,$F548)&gt;=DATE(PlanYear,3,1)),1,0))</f>
        <v>0</v>
      </c>
      <c r="R548">
        <f>IF($N548=0,0,IF(AND($F548&lt;=EOMONTH(DATE(PlanYear,4,1),0),IF(ISNUMBER($G548),$G548,$F548)&gt;=DATE(PlanYear,4,1)),1,0))</f>
        <v>0</v>
      </c>
      <c r="S548">
        <f>IF($N548=0,0,IF(AND($F548&lt;=EOMONTH(DATE(PlanYear,5,1),0),IF(ISNUMBER($G548),$G548,$F548)&gt;=DATE(PlanYear,5,1)),1,0))</f>
        <v>0</v>
      </c>
      <c r="T548">
        <f>IF($N548=0,0,IF(AND($F548&lt;=EOMONTH(DATE(PlanYear,6,1),0),IF(ISNUMBER($G548),$G548,$F548)&gt;=DATE(PlanYear,6,1)),1,0))</f>
        <v>0</v>
      </c>
      <c r="U548">
        <f>IF($N548=0,0,IF(AND($F548&lt;=EOMONTH(DATE(PlanYear,7,1),0),IF(ISNUMBER($G548),$G548,$F548)&gt;=DATE(PlanYear,7,1)),1,0))</f>
        <v>0</v>
      </c>
      <c r="V548">
        <f>IF($N548=0,0,IF(AND($F548&lt;=EOMONTH(DATE(PlanYear,8,1),0),IF(ISNUMBER($G548),$G548,$F548)&gt;=DATE(PlanYear,8,1)),1,0))</f>
        <v>0</v>
      </c>
      <c r="W548">
        <f>IF($N548=0,0,IF(AND($F548&lt;=EOMONTH(DATE(PlanYear,9,1),0),IF(ISNUMBER($G548),$G548,$F548)&gt;=DATE(PlanYear,9,1)),1,0))</f>
        <v>0</v>
      </c>
      <c r="X548">
        <f>IF($N548=0,0,IF(AND($F548&lt;=EOMONTH(DATE(PlanYear,10,1),0),IF(ISNUMBER($G548),$G548,$F548)&gt;=DATE(PlanYear,10,1)),1,0))</f>
        <v>0</v>
      </c>
      <c r="Y548">
        <f>IF($N548=0,0,IF(AND($F548&lt;=EOMONTH(DATE(PlanYear,11,1),0),IF(ISNUMBER($G548),$G548,$F548)&gt;=DATE(PlanYear,11,1)),1,0))</f>
        <v>0</v>
      </c>
      <c r="Z548">
        <f>IF($N548=0,0,IF(AND($F548&lt;=EOMONTH(DATE(PlanYear,12,1),0),IF(ISNUMBER($G548),$G548,$F548)&gt;=DATE(PlanYear,12,1)),1,0))</f>
        <v>0</v>
      </c>
      <c r="AA548">
        <f>SUM($O548:$Z548)</f>
        <v>0</v>
      </c>
    </row>
    <row r="549" spans="1:27">
      <c r="A549" s="42">
        <f>IF($B549="","","ACT-"&amp;TEXT(ROW()-4,"000"))</f>
        <v>0</v>
      </c>
      <c r="M549" s="43">
        <f>IF(COUNTA($B549:$K549)=0,"",IF($B549="","Missing activity name",IF($C549="","Missing practice",IF(COUNTIF(PracticeNames,$C549)=0,"Practice not in Lists",IF($D549="","Missing motion",IF(NOT(ISNUMBER($F549)),"Missing or invalid start date",IF(AND(ISNUMBER($G549),$G549&lt;$F549),"End date before start",IF(AND($N549=1,$AA549=0),"Outside planning year","OK"))))))))</f>
        <v>0</v>
      </c>
      <c r="N549">
        <f>IF(AND($B549&lt;&gt;"",$C549&lt;&gt;"",$D549&lt;&gt;"",ISNUMBER($F549),COUNTIF(PracticeNames,$C549)&gt;0,COUNTIF(MotionNames,$D549)&gt;0,NOT(AND(ISNUMBER($G549),$G549&lt;$F549))),IF(StatusFilter="All (excl. Cancelled)",IF($H549="Cancelled",0,1),IF(StatusFilter="All",1,IF($H549=StatusFilter,1,0))),0)</f>
        <v>0</v>
      </c>
      <c r="O549">
        <f>IF($N549=0,0,IF(AND($F549&lt;=EOMONTH(DATE(PlanYear,1,1),0),IF(ISNUMBER($G549),$G549,$F549)&gt;=DATE(PlanYear,1,1)),1,0))</f>
        <v>0</v>
      </c>
      <c r="P549">
        <f>IF($N549=0,0,IF(AND($F549&lt;=EOMONTH(DATE(PlanYear,2,1),0),IF(ISNUMBER($G549),$G549,$F549)&gt;=DATE(PlanYear,2,1)),1,0))</f>
        <v>0</v>
      </c>
      <c r="Q549">
        <f>IF($N549=0,0,IF(AND($F549&lt;=EOMONTH(DATE(PlanYear,3,1),0),IF(ISNUMBER($G549),$G549,$F549)&gt;=DATE(PlanYear,3,1)),1,0))</f>
        <v>0</v>
      </c>
      <c r="R549">
        <f>IF($N549=0,0,IF(AND($F549&lt;=EOMONTH(DATE(PlanYear,4,1),0),IF(ISNUMBER($G549),$G549,$F549)&gt;=DATE(PlanYear,4,1)),1,0))</f>
        <v>0</v>
      </c>
      <c r="S549">
        <f>IF($N549=0,0,IF(AND($F549&lt;=EOMONTH(DATE(PlanYear,5,1),0),IF(ISNUMBER($G549),$G549,$F549)&gt;=DATE(PlanYear,5,1)),1,0))</f>
        <v>0</v>
      </c>
      <c r="T549">
        <f>IF($N549=0,0,IF(AND($F549&lt;=EOMONTH(DATE(PlanYear,6,1),0),IF(ISNUMBER($G549),$G549,$F549)&gt;=DATE(PlanYear,6,1)),1,0))</f>
        <v>0</v>
      </c>
      <c r="U549">
        <f>IF($N549=0,0,IF(AND($F549&lt;=EOMONTH(DATE(PlanYear,7,1),0),IF(ISNUMBER($G549),$G549,$F549)&gt;=DATE(PlanYear,7,1)),1,0))</f>
        <v>0</v>
      </c>
      <c r="V549">
        <f>IF($N549=0,0,IF(AND($F549&lt;=EOMONTH(DATE(PlanYear,8,1),0),IF(ISNUMBER($G549),$G549,$F549)&gt;=DATE(PlanYear,8,1)),1,0))</f>
        <v>0</v>
      </c>
      <c r="W549">
        <f>IF($N549=0,0,IF(AND($F549&lt;=EOMONTH(DATE(PlanYear,9,1),0),IF(ISNUMBER($G549),$G549,$F549)&gt;=DATE(PlanYear,9,1)),1,0))</f>
        <v>0</v>
      </c>
      <c r="X549">
        <f>IF($N549=0,0,IF(AND($F549&lt;=EOMONTH(DATE(PlanYear,10,1),0),IF(ISNUMBER($G549),$G549,$F549)&gt;=DATE(PlanYear,10,1)),1,0))</f>
        <v>0</v>
      </c>
      <c r="Y549">
        <f>IF($N549=0,0,IF(AND($F549&lt;=EOMONTH(DATE(PlanYear,11,1),0),IF(ISNUMBER($G549),$G549,$F549)&gt;=DATE(PlanYear,11,1)),1,0))</f>
        <v>0</v>
      </c>
      <c r="Z549">
        <f>IF($N549=0,0,IF(AND($F549&lt;=EOMONTH(DATE(PlanYear,12,1),0),IF(ISNUMBER($G549),$G549,$F549)&gt;=DATE(PlanYear,12,1)),1,0))</f>
        <v>0</v>
      </c>
      <c r="AA549">
        <f>SUM($O549:$Z549)</f>
        <v>0</v>
      </c>
    </row>
    <row r="550" spans="1:27">
      <c r="A550" s="42">
        <f>IF($B550="","","ACT-"&amp;TEXT(ROW()-4,"000"))</f>
        <v>0</v>
      </c>
      <c r="M550" s="43">
        <f>IF(COUNTA($B550:$K550)=0,"",IF($B550="","Missing activity name",IF($C550="","Missing practice",IF(COUNTIF(PracticeNames,$C550)=0,"Practice not in Lists",IF($D550="","Missing motion",IF(NOT(ISNUMBER($F550)),"Missing or invalid start date",IF(AND(ISNUMBER($G550),$G550&lt;$F550),"End date before start",IF(AND($N550=1,$AA550=0),"Outside planning year","OK"))))))))</f>
        <v>0</v>
      </c>
      <c r="N550">
        <f>IF(AND($B550&lt;&gt;"",$C550&lt;&gt;"",$D550&lt;&gt;"",ISNUMBER($F550),COUNTIF(PracticeNames,$C550)&gt;0,COUNTIF(MotionNames,$D550)&gt;0,NOT(AND(ISNUMBER($G550),$G550&lt;$F550))),IF(StatusFilter="All (excl. Cancelled)",IF($H550="Cancelled",0,1),IF(StatusFilter="All",1,IF($H550=StatusFilter,1,0))),0)</f>
        <v>0</v>
      </c>
      <c r="O550">
        <f>IF($N550=0,0,IF(AND($F550&lt;=EOMONTH(DATE(PlanYear,1,1),0),IF(ISNUMBER($G550),$G550,$F550)&gt;=DATE(PlanYear,1,1)),1,0))</f>
        <v>0</v>
      </c>
      <c r="P550">
        <f>IF($N550=0,0,IF(AND($F550&lt;=EOMONTH(DATE(PlanYear,2,1),0),IF(ISNUMBER($G550),$G550,$F550)&gt;=DATE(PlanYear,2,1)),1,0))</f>
        <v>0</v>
      </c>
      <c r="Q550">
        <f>IF($N550=0,0,IF(AND($F550&lt;=EOMONTH(DATE(PlanYear,3,1),0),IF(ISNUMBER($G550),$G550,$F550)&gt;=DATE(PlanYear,3,1)),1,0))</f>
        <v>0</v>
      </c>
      <c r="R550">
        <f>IF($N550=0,0,IF(AND($F550&lt;=EOMONTH(DATE(PlanYear,4,1),0),IF(ISNUMBER($G550),$G550,$F550)&gt;=DATE(PlanYear,4,1)),1,0))</f>
        <v>0</v>
      </c>
      <c r="S550">
        <f>IF($N550=0,0,IF(AND($F550&lt;=EOMONTH(DATE(PlanYear,5,1),0),IF(ISNUMBER($G550),$G550,$F550)&gt;=DATE(PlanYear,5,1)),1,0))</f>
        <v>0</v>
      </c>
      <c r="T550">
        <f>IF($N550=0,0,IF(AND($F550&lt;=EOMONTH(DATE(PlanYear,6,1),0),IF(ISNUMBER($G550),$G550,$F550)&gt;=DATE(PlanYear,6,1)),1,0))</f>
        <v>0</v>
      </c>
      <c r="U550">
        <f>IF($N550=0,0,IF(AND($F550&lt;=EOMONTH(DATE(PlanYear,7,1),0),IF(ISNUMBER($G550),$G550,$F550)&gt;=DATE(PlanYear,7,1)),1,0))</f>
        <v>0</v>
      </c>
      <c r="V550">
        <f>IF($N550=0,0,IF(AND($F550&lt;=EOMONTH(DATE(PlanYear,8,1),0),IF(ISNUMBER($G550),$G550,$F550)&gt;=DATE(PlanYear,8,1)),1,0))</f>
        <v>0</v>
      </c>
      <c r="W550">
        <f>IF($N550=0,0,IF(AND($F550&lt;=EOMONTH(DATE(PlanYear,9,1),0),IF(ISNUMBER($G550),$G550,$F550)&gt;=DATE(PlanYear,9,1)),1,0))</f>
        <v>0</v>
      </c>
      <c r="X550">
        <f>IF($N550=0,0,IF(AND($F550&lt;=EOMONTH(DATE(PlanYear,10,1),0),IF(ISNUMBER($G550),$G550,$F550)&gt;=DATE(PlanYear,10,1)),1,0))</f>
        <v>0</v>
      </c>
      <c r="Y550">
        <f>IF($N550=0,0,IF(AND($F550&lt;=EOMONTH(DATE(PlanYear,11,1),0),IF(ISNUMBER($G550),$G550,$F550)&gt;=DATE(PlanYear,11,1)),1,0))</f>
        <v>0</v>
      </c>
      <c r="Z550">
        <f>IF($N550=0,0,IF(AND($F550&lt;=EOMONTH(DATE(PlanYear,12,1),0),IF(ISNUMBER($G550),$G550,$F550)&gt;=DATE(PlanYear,12,1)),1,0))</f>
        <v>0</v>
      </c>
      <c r="AA550">
        <f>SUM($O550:$Z550)</f>
        <v>0</v>
      </c>
    </row>
    <row r="551" spans="1:27">
      <c r="A551" s="42">
        <f>IF($B551="","","ACT-"&amp;TEXT(ROW()-4,"000"))</f>
        <v>0</v>
      </c>
      <c r="M551" s="43">
        <f>IF(COUNTA($B551:$K551)=0,"",IF($B551="","Missing activity name",IF($C551="","Missing practice",IF(COUNTIF(PracticeNames,$C551)=0,"Practice not in Lists",IF($D551="","Missing motion",IF(NOT(ISNUMBER($F551)),"Missing or invalid start date",IF(AND(ISNUMBER($G551),$G551&lt;$F551),"End date before start",IF(AND($N551=1,$AA551=0),"Outside planning year","OK"))))))))</f>
        <v>0</v>
      </c>
      <c r="N551">
        <f>IF(AND($B551&lt;&gt;"",$C551&lt;&gt;"",$D551&lt;&gt;"",ISNUMBER($F551),COUNTIF(PracticeNames,$C551)&gt;0,COUNTIF(MotionNames,$D551)&gt;0,NOT(AND(ISNUMBER($G551),$G551&lt;$F551))),IF(StatusFilter="All (excl. Cancelled)",IF($H551="Cancelled",0,1),IF(StatusFilter="All",1,IF($H551=StatusFilter,1,0))),0)</f>
        <v>0</v>
      </c>
      <c r="O551">
        <f>IF($N551=0,0,IF(AND($F551&lt;=EOMONTH(DATE(PlanYear,1,1),0),IF(ISNUMBER($G551),$G551,$F551)&gt;=DATE(PlanYear,1,1)),1,0))</f>
        <v>0</v>
      </c>
      <c r="P551">
        <f>IF($N551=0,0,IF(AND($F551&lt;=EOMONTH(DATE(PlanYear,2,1),0),IF(ISNUMBER($G551),$G551,$F551)&gt;=DATE(PlanYear,2,1)),1,0))</f>
        <v>0</v>
      </c>
      <c r="Q551">
        <f>IF($N551=0,0,IF(AND($F551&lt;=EOMONTH(DATE(PlanYear,3,1),0),IF(ISNUMBER($G551),$G551,$F551)&gt;=DATE(PlanYear,3,1)),1,0))</f>
        <v>0</v>
      </c>
      <c r="R551">
        <f>IF($N551=0,0,IF(AND($F551&lt;=EOMONTH(DATE(PlanYear,4,1),0),IF(ISNUMBER($G551),$G551,$F551)&gt;=DATE(PlanYear,4,1)),1,0))</f>
        <v>0</v>
      </c>
      <c r="S551">
        <f>IF($N551=0,0,IF(AND($F551&lt;=EOMONTH(DATE(PlanYear,5,1),0),IF(ISNUMBER($G551),$G551,$F551)&gt;=DATE(PlanYear,5,1)),1,0))</f>
        <v>0</v>
      </c>
      <c r="T551">
        <f>IF($N551=0,0,IF(AND($F551&lt;=EOMONTH(DATE(PlanYear,6,1),0),IF(ISNUMBER($G551),$G551,$F551)&gt;=DATE(PlanYear,6,1)),1,0))</f>
        <v>0</v>
      </c>
      <c r="U551">
        <f>IF($N551=0,0,IF(AND($F551&lt;=EOMONTH(DATE(PlanYear,7,1),0),IF(ISNUMBER($G551),$G551,$F551)&gt;=DATE(PlanYear,7,1)),1,0))</f>
        <v>0</v>
      </c>
      <c r="V551">
        <f>IF($N551=0,0,IF(AND($F551&lt;=EOMONTH(DATE(PlanYear,8,1),0),IF(ISNUMBER($G551),$G551,$F551)&gt;=DATE(PlanYear,8,1)),1,0))</f>
        <v>0</v>
      </c>
      <c r="W551">
        <f>IF($N551=0,0,IF(AND($F551&lt;=EOMONTH(DATE(PlanYear,9,1),0),IF(ISNUMBER($G551),$G551,$F551)&gt;=DATE(PlanYear,9,1)),1,0))</f>
        <v>0</v>
      </c>
      <c r="X551">
        <f>IF($N551=0,0,IF(AND($F551&lt;=EOMONTH(DATE(PlanYear,10,1),0),IF(ISNUMBER($G551),$G551,$F551)&gt;=DATE(PlanYear,10,1)),1,0))</f>
        <v>0</v>
      </c>
      <c r="Y551">
        <f>IF($N551=0,0,IF(AND($F551&lt;=EOMONTH(DATE(PlanYear,11,1),0),IF(ISNUMBER($G551),$G551,$F551)&gt;=DATE(PlanYear,11,1)),1,0))</f>
        <v>0</v>
      </c>
      <c r="Z551">
        <f>IF($N551=0,0,IF(AND($F551&lt;=EOMONTH(DATE(PlanYear,12,1),0),IF(ISNUMBER($G551),$G551,$F551)&gt;=DATE(PlanYear,12,1)),1,0))</f>
        <v>0</v>
      </c>
      <c r="AA551">
        <f>SUM($O551:$Z551)</f>
        <v>0</v>
      </c>
    </row>
    <row r="552" spans="1:27">
      <c r="A552" s="42">
        <f>IF($B552="","","ACT-"&amp;TEXT(ROW()-4,"000"))</f>
        <v>0</v>
      </c>
      <c r="M552" s="43">
        <f>IF(COUNTA($B552:$K552)=0,"",IF($B552="","Missing activity name",IF($C552="","Missing practice",IF(COUNTIF(PracticeNames,$C552)=0,"Practice not in Lists",IF($D552="","Missing motion",IF(NOT(ISNUMBER($F552)),"Missing or invalid start date",IF(AND(ISNUMBER($G552),$G552&lt;$F552),"End date before start",IF(AND($N552=1,$AA552=0),"Outside planning year","OK"))))))))</f>
        <v>0</v>
      </c>
      <c r="N552">
        <f>IF(AND($B552&lt;&gt;"",$C552&lt;&gt;"",$D552&lt;&gt;"",ISNUMBER($F552),COUNTIF(PracticeNames,$C552)&gt;0,COUNTIF(MotionNames,$D552)&gt;0,NOT(AND(ISNUMBER($G552),$G552&lt;$F552))),IF(StatusFilter="All (excl. Cancelled)",IF($H552="Cancelled",0,1),IF(StatusFilter="All",1,IF($H552=StatusFilter,1,0))),0)</f>
        <v>0</v>
      </c>
      <c r="O552">
        <f>IF($N552=0,0,IF(AND($F552&lt;=EOMONTH(DATE(PlanYear,1,1),0),IF(ISNUMBER($G552),$G552,$F552)&gt;=DATE(PlanYear,1,1)),1,0))</f>
        <v>0</v>
      </c>
      <c r="P552">
        <f>IF($N552=0,0,IF(AND($F552&lt;=EOMONTH(DATE(PlanYear,2,1),0),IF(ISNUMBER($G552),$G552,$F552)&gt;=DATE(PlanYear,2,1)),1,0))</f>
        <v>0</v>
      </c>
      <c r="Q552">
        <f>IF($N552=0,0,IF(AND($F552&lt;=EOMONTH(DATE(PlanYear,3,1),0),IF(ISNUMBER($G552),$G552,$F552)&gt;=DATE(PlanYear,3,1)),1,0))</f>
        <v>0</v>
      </c>
      <c r="R552">
        <f>IF($N552=0,0,IF(AND($F552&lt;=EOMONTH(DATE(PlanYear,4,1),0),IF(ISNUMBER($G552),$G552,$F552)&gt;=DATE(PlanYear,4,1)),1,0))</f>
        <v>0</v>
      </c>
      <c r="S552">
        <f>IF($N552=0,0,IF(AND($F552&lt;=EOMONTH(DATE(PlanYear,5,1),0),IF(ISNUMBER($G552),$G552,$F552)&gt;=DATE(PlanYear,5,1)),1,0))</f>
        <v>0</v>
      </c>
      <c r="T552">
        <f>IF($N552=0,0,IF(AND($F552&lt;=EOMONTH(DATE(PlanYear,6,1),0),IF(ISNUMBER($G552),$G552,$F552)&gt;=DATE(PlanYear,6,1)),1,0))</f>
        <v>0</v>
      </c>
      <c r="U552">
        <f>IF($N552=0,0,IF(AND($F552&lt;=EOMONTH(DATE(PlanYear,7,1),0),IF(ISNUMBER($G552),$G552,$F552)&gt;=DATE(PlanYear,7,1)),1,0))</f>
        <v>0</v>
      </c>
      <c r="V552">
        <f>IF($N552=0,0,IF(AND($F552&lt;=EOMONTH(DATE(PlanYear,8,1),0),IF(ISNUMBER($G552),$G552,$F552)&gt;=DATE(PlanYear,8,1)),1,0))</f>
        <v>0</v>
      </c>
      <c r="W552">
        <f>IF($N552=0,0,IF(AND($F552&lt;=EOMONTH(DATE(PlanYear,9,1),0),IF(ISNUMBER($G552),$G552,$F552)&gt;=DATE(PlanYear,9,1)),1,0))</f>
        <v>0</v>
      </c>
      <c r="X552">
        <f>IF($N552=0,0,IF(AND($F552&lt;=EOMONTH(DATE(PlanYear,10,1),0),IF(ISNUMBER($G552),$G552,$F552)&gt;=DATE(PlanYear,10,1)),1,0))</f>
        <v>0</v>
      </c>
      <c r="Y552">
        <f>IF($N552=0,0,IF(AND($F552&lt;=EOMONTH(DATE(PlanYear,11,1),0),IF(ISNUMBER($G552),$G552,$F552)&gt;=DATE(PlanYear,11,1)),1,0))</f>
        <v>0</v>
      </c>
      <c r="Z552">
        <f>IF($N552=0,0,IF(AND($F552&lt;=EOMONTH(DATE(PlanYear,12,1),0),IF(ISNUMBER($G552),$G552,$F552)&gt;=DATE(PlanYear,12,1)),1,0))</f>
        <v>0</v>
      </c>
      <c r="AA552">
        <f>SUM($O552:$Z552)</f>
        <v>0</v>
      </c>
    </row>
    <row r="553" spans="1:27">
      <c r="A553" s="42">
        <f>IF($B553="","","ACT-"&amp;TEXT(ROW()-4,"000"))</f>
        <v>0</v>
      </c>
      <c r="M553" s="43">
        <f>IF(COUNTA($B553:$K553)=0,"",IF($B553="","Missing activity name",IF($C553="","Missing practice",IF(COUNTIF(PracticeNames,$C553)=0,"Practice not in Lists",IF($D553="","Missing motion",IF(NOT(ISNUMBER($F553)),"Missing or invalid start date",IF(AND(ISNUMBER($G553),$G553&lt;$F553),"End date before start",IF(AND($N553=1,$AA553=0),"Outside planning year","OK"))))))))</f>
        <v>0</v>
      </c>
      <c r="N553">
        <f>IF(AND($B553&lt;&gt;"",$C553&lt;&gt;"",$D553&lt;&gt;"",ISNUMBER($F553),COUNTIF(PracticeNames,$C553)&gt;0,COUNTIF(MotionNames,$D553)&gt;0,NOT(AND(ISNUMBER($G553),$G553&lt;$F553))),IF(StatusFilter="All (excl. Cancelled)",IF($H553="Cancelled",0,1),IF(StatusFilter="All",1,IF($H553=StatusFilter,1,0))),0)</f>
        <v>0</v>
      </c>
      <c r="O553">
        <f>IF($N553=0,0,IF(AND($F553&lt;=EOMONTH(DATE(PlanYear,1,1),0),IF(ISNUMBER($G553),$G553,$F553)&gt;=DATE(PlanYear,1,1)),1,0))</f>
        <v>0</v>
      </c>
      <c r="P553">
        <f>IF($N553=0,0,IF(AND($F553&lt;=EOMONTH(DATE(PlanYear,2,1),0),IF(ISNUMBER($G553),$G553,$F553)&gt;=DATE(PlanYear,2,1)),1,0))</f>
        <v>0</v>
      </c>
      <c r="Q553">
        <f>IF($N553=0,0,IF(AND($F553&lt;=EOMONTH(DATE(PlanYear,3,1),0),IF(ISNUMBER($G553),$G553,$F553)&gt;=DATE(PlanYear,3,1)),1,0))</f>
        <v>0</v>
      </c>
      <c r="R553">
        <f>IF($N553=0,0,IF(AND($F553&lt;=EOMONTH(DATE(PlanYear,4,1),0),IF(ISNUMBER($G553),$G553,$F553)&gt;=DATE(PlanYear,4,1)),1,0))</f>
        <v>0</v>
      </c>
      <c r="S553">
        <f>IF($N553=0,0,IF(AND($F553&lt;=EOMONTH(DATE(PlanYear,5,1),0),IF(ISNUMBER($G553),$G553,$F553)&gt;=DATE(PlanYear,5,1)),1,0))</f>
        <v>0</v>
      </c>
      <c r="T553">
        <f>IF($N553=0,0,IF(AND($F553&lt;=EOMONTH(DATE(PlanYear,6,1),0),IF(ISNUMBER($G553),$G553,$F553)&gt;=DATE(PlanYear,6,1)),1,0))</f>
        <v>0</v>
      </c>
      <c r="U553">
        <f>IF($N553=0,0,IF(AND($F553&lt;=EOMONTH(DATE(PlanYear,7,1),0),IF(ISNUMBER($G553),$G553,$F553)&gt;=DATE(PlanYear,7,1)),1,0))</f>
        <v>0</v>
      </c>
      <c r="V553">
        <f>IF($N553=0,0,IF(AND($F553&lt;=EOMONTH(DATE(PlanYear,8,1),0),IF(ISNUMBER($G553),$G553,$F553)&gt;=DATE(PlanYear,8,1)),1,0))</f>
        <v>0</v>
      </c>
      <c r="W553">
        <f>IF($N553=0,0,IF(AND($F553&lt;=EOMONTH(DATE(PlanYear,9,1),0),IF(ISNUMBER($G553),$G553,$F553)&gt;=DATE(PlanYear,9,1)),1,0))</f>
        <v>0</v>
      </c>
      <c r="X553">
        <f>IF($N553=0,0,IF(AND($F553&lt;=EOMONTH(DATE(PlanYear,10,1),0),IF(ISNUMBER($G553),$G553,$F553)&gt;=DATE(PlanYear,10,1)),1,0))</f>
        <v>0</v>
      </c>
      <c r="Y553">
        <f>IF($N553=0,0,IF(AND($F553&lt;=EOMONTH(DATE(PlanYear,11,1),0),IF(ISNUMBER($G553),$G553,$F553)&gt;=DATE(PlanYear,11,1)),1,0))</f>
        <v>0</v>
      </c>
      <c r="Z553">
        <f>IF($N553=0,0,IF(AND($F553&lt;=EOMONTH(DATE(PlanYear,12,1),0),IF(ISNUMBER($G553),$G553,$F553)&gt;=DATE(PlanYear,12,1)),1,0))</f>
        <v>0</v>
      </c>
      <c r="AA553">
        <f>SUM($O553:$Z553)</f>
        <v>0</v>
      </c>
    </row>
    <row r="554" spans="1:27">
      <c r="A554" s="42">
        <f>IF($B554="","","ACT-"&amp;TEXT(ROW()-4,"000"))</f>
        <v>0</v>
      </c>
      <c r="M554" s="43">
        <f>IF(COUNTA($B554:$K554)=0,"",IF($B554="","Missing activity name",IF($C554="","Missing practice",IF(COUNTIF(PracticeNames,$C554)=0,"Practice not in Lists",IF($D554="","Missing motion",IF(NOT(ISNUMBER($F554)),"Missing or invalid start date",IF(AND(ISNUMBER($G554),$G554&lt;$F554),"End date before start",IF(AND($N554=1,$AA554=0),"Outside planning year","OK"))))))))</f>
        <v>0</v>
      </c>
      <c r="N554">
        <f>IF(AND($B554&lt;&gt;"",$C554&lt;&gt;"",$D554&lt;&gt;"",ISNUMBER($F554),COUNTIF(PracticeNames,$C554)&gt;0,COUNTIF(MotionNames,$D554)&gt;0,NOT(AND(ISNUMBER($G554),$G554&lt;$F554))),IF(StatusFilter="All (excl. Cancelled)",IF($H554="Cancelled",0,1),IF(StatusFilter="All",1,IF($H554=StatusFilter,1,0))),0)</f>
        <v>0</v>
      </c>
      <c r="O554">
        <f>IF($N554=0,0,IF(AND($F554&lt;=EOMONTH(DATE(PlanYear,1,1),0),IF(ISNUMBER($G554),$G554,$F554)&gt;=DATE(PlanYear,1,1)),1,0))</f>
        <v>0</v>
      </c>
      <c r="P554">
        <f>IF($N554=0,0,IF(AND($F554&lt;=EOMONTH(DATE(PlanYear,2,1),0),IF(ISNUMBER($G554),$G554,$F554)&gt;=DATE(PlanYear,2,1)),1,0))</f>
        <v>0</v>
      </c>
      <c r="Q554">
        <f>IF($N554=0,0,IF(AND($F554&lt;=EOMONTH(DATE(PlanYear,3,1),0),IF(ISNUMBER($G554),$G554,$F554)&gt;=DATE(PlanYear,3,1)),1,0))</f>
        <v>0</v>
      </c>
      <c r="R554">
        <f>IF($N554=0,0,IF(AND($F554&lt;=EOMONTH(DATE(PlanYear,4,1),0),IF(ISNUMBER($G554),$G554,$F554)&gt;=DATE(PlanYear,4,1)),1,0))</f>
        <v>0</v>
      </c>
      <c r="S554">
        <f>IF($N554=0,0,IF(AND($F554&lt;=EOMONTH(DATE(PlanYear,5,1),0),IF(ISNUMBER($G554),$G554,$F554)&gt;=DATE(PlanYear,5,1)),1,0))</f>
        <v>0</v>
      </c>
      <c r="T554">
        <f>IF($N554=0,0,IF(AND($F554&lt;=EOMONTH(DATE(PlanYear,6,1),0),IF(ISNUMBER($G554),$G554,$F554)&gt;=DATE(PlanYear,6,1)),1,0))</f>
        <v>0</v>
      </c>
      <c r="U554">
        <f>IF($N554=0,0,IF(AND($F554&lt;=EOMONTH(DATE(PlanYear,7,1),0),IF(ISNUMBER($G554),$G554,$F554)&gt;=DATE(PlanYear,7,1)),1,0))</f>
        <v>0</v>
      </c>
      <c r="V554">
        <f>IF($N554=0,0,IF(AND($F554&lt;=EOMONTH(DATE(PlanYear,8,1),0),IF(ISNUMBER($G554),$G554,$F554)&gt;=DATE(PlanYear,8,1)),1,0))</f>
        <v>0</v>
      </c>
      <c r="W554">
        <f>IF($N554=0,0,IF(AND($F554&lt;=EOMONTH(DATE(PlanYear,9,1),0),IF(ISNUMBER($G554),$G554,$F554)&gt;=DATE(PlanYear,9,1)),1,0))</f>
        <v>0</v>
      </c>
      <c r="X554">
        <f>IF($N554=0,0,IF(AND($F554&lt;=EOMONTH(DATE(PlanYear,10,1),0),IF(ISNUMBER($G554),$G554,$F554)&gt;=DATE(PlanYear,10,1)),1,0))</f>
        <v>0</v>
      </c>
      <c r="Y554">
        <f>IF($N554=0,0,IF(AND($F554&lt;=EOMONTH(DATE(PlanYear,11,1),0),IF(ISNUMBER($G554),$G554,$F554)&gt;=DATE(PlanYear,11,1)),1,0))</f>
        <v>0</v>
      </c>
      <c r="Z554">
        <f>IF($N554=0,0,IF(AND($F554&lt;=EOMONTH(DATE(PlanYear,12,1),0),IF(ISNUMBER($G554),$G554,$F554)&gt;=DATE(PlanYear,12,1)),1,0))</f>
        <v>0</v>
      </c>
      <c r="AA554">
        <f>SUM($O554:$Z554)</f>
        <v>0</v>
      </c>
    </row>
    <row r="555" spans="1:27">
      <c r="A555" s="42">
        <f>IF($B555="","","ACT-"&amp;TEXT(ROW()-4,"000"))</f>
        <v>0</v>
      </c>
      <c r="M555" s="43">
        <f>IF(COUNTA($B555:$K555)=0,"",IF($B555="","Missing activity name",IF($C555="","Missing practice",IF(COUNTIF(PracticeNames,$C555)=0,"Practice not in Lists",IF($D555="","Missing motion",IF(NOT(ISNUMBER($F555)),"Missing or invalid start date",IF(AND(ISNUMBER($G555),$G555&lt;$F555),"End date before start",IF(AND($N555=1,$AA555=0),"Outside planning year","OK"))))))))</f>
        <v>0</v>
      </c>
      <c r="N555">
        <f>IF(AND($B555&lt;&gt;"",$C555&lt;&gt;"",$D555&lt;&gt;"",ISNUMBER($F555),COUNTIF(PracticeNames,$C555)&gt;0,COUNTIF(MotionNames,$D555)&gt;0,NOT(AND(ISNUMBER($G555),$G555&lt;$F555))),IF(StatusFilter="All (excl. Cancelled)",IF($H555="Cancelled",0,1),IF(StatusFilter="All",1,IF($H555=StatusFilter,1,0))),0)</f>
        <v>0</v>
      </c>
      <c r="O555">
        <f>IF($N555=0,0,IF(AND($F555&lt;=EOMONTH(DATE(PlanYear,1,1),0),IF(ISNUMBER($G555),$G555,$F555)&gt;=DATE(PlanYear,1,1)),1,0))</f>
        <v>0</v>
      </c>
      <c r="P555">
        <f>IF($N555=0,0,IF(AND($F555&lt;=EOMONTH(DATE(PlanYear,2,1),0),IF(ISNUMBER($G555),$G555,$F555)&gt;=DATE(PlanYear,2,1)),1,0))</f>
        <v>0</v>
      </c>
      <c r="Q555">
        <f>IF($N555=0,0,IF(AND($F555&lt;=EOMONTH(DATE(PlanYear,3,1),0),IF(ISNUMBER($G555),$G555,$F555)&gt;=DATE(PlanYear,3,1)),1,0))</f>
        <v>0</v>
      </c>
      <c r="R555">
        <f>IF($N555=0,0,IF(AND($F555&lt;=EOMONTH(DATE(PlanYear,4,1),0),IF(ISNUMBER($G555),$G555,$F555)&gt;=DATE(PlanYear,4,1)),1,0))</f>
        <v>0</v>
      </c>
      <c r="S555">
        <f>IF($N555=0,0,IF(AND($F555&lt;=EOMONTH(DATE(PlanYear,5,1),0),IF(ISNUMBER($G555),$G555,$F555)&gt;=DATE(PlanYear,5,1)),1,0))</f>
        <v>0</v>
      </c>
      <c r="T555">
        <f>IF($N555=0,0,IF(AND($F555&lt;=EOMONTH(DATE(PlanYear,6,1),0),IF(ISNUMBER($G555),$G555,$F555)&gt;=DATE(PlanYear,6,1)),1,0))</f>
        <v>0</v>
      </c>
      <c r="U555">
        <f>IF($N555=0,0,IF(AND($F555&lt;=EOMONTH(DATE(PlanYear,7,1),0),IF(ISNUMBER($G555),$G555,$F555)&gt;=DATE(PlanYear,7,1)),1,0))</f>
        <v>0</v>
      </c>
      <c r="V555">
        <f>IF($N555=0,0,IF(AND($F555&lt;=EOMONTH(DATE(PlanYear,8,1),0),IF(ISNUMBER($G555),$G555,$F555)&gt;=DATE(PlanYear,8,1)),1,0))</f>
        <v>0</v>
      </c>
      <c r="W555">
        <f>IF($N555=0,0,IF(AND($F555&lt;=EOMONTH(DATE(PlanYear,9,1),0),IF(ISNUMBER($G555),$G555,$F555)&gt;=DATE(PlanYear,9,1)),1,0))</f>
        <v>0</v>
      </c>
      <c r="X555">
        <f>IF($N555=0,0,IF(AND($F555&lt;=EOMONTH(DATE(PlanYear,10,1),0),IF(ISNUMBER($G555),$G555,$F555)&gt;=DATE(PlanYear,10,1)),1,0))</f>
        <v>0</v>
      </c>
      <c r="Y555">
        <f>IF($N555=0,0,IF(AND($F555&lt;=EOMONTH(DATE(PlanYear,11,1),0),IF(ISNUMBER($G555),$G555,$F555)&gt;=DATE(PlanYear,11,1)),1,0))</f>
        <v>0</v>
      </c>
      <c r="Z555">
        <f>IF($N555=0,0,IF(AND($F555&lt;=EOMONTH(DATE(PlanYear,12,1),0),IF(ISNUMBER($G555),$G555,$F555)&gt;=DATE(PlanYear,12,1)),1,0))</f>
        <v>0</v>
      </c>
      <c r="AA555">
        <f>SUM($O555:$Z555)</f>
        <v>0</v>
      </c>
    </row>
    <row r="556" spans="1:27">
      <c r="A556" s="42">
        <f>IF($B556="","","ACT-"&amp;TEXT(ROW()-4,"000"))</f>
        <v>0</v>
      </c>
      <c r="M556" s="43">
        <f>IF(COUNTA($B556:$K556)=0,"",IF($B556="","Missing activity name",IF($C556="","Missing practice",IF(COUNTIF(PracticeNames,$C556)=0,"Practice not in Lists",IF($D556="","Missing motion",IF(NOT(ISNUMBER($F556)),"Missing or invalid start date",IF(AND(ISNUMBER($G556),$G556&lt;$F556),"End date before start",IF(AND($N556=1,$AA556=0),"Outside planning year","OK"))))))))</f>
        <v>0</v>
      </c>
      <c r="N556">
        <f>IF(AND($B556&lt;&gt;"",$C556&lt;&gt;"",$D556&lt;&gt;"",ISNUMBER($F556),COUNTIF(PracticeNames,$C556)&gt;0,COUNTIF(MotionNames,$D556)&gt;0,NOT(AND(ISNUMBER($G556),$G556&lt;$F556))),IF(StatusFilter="All (excl. Cancelled)",IF($H556="Cancelled",0,1),IF(StatusFilter="All",1,IF($H556=StatusFilter,1,0))),0)</f>
        <v>0</v>
      </c>
      <c r="O556">
        <f>IF($N556=0,0,IF(AND($F556&lt;=EOMONTH(DATE(PlanYear,1,1),0),IF(ISNUMBER($G556),$G556,$F556)&gt;=DATE(PlanYear,1,1)),1,0))</f>
        <v>0</v>
      </c>
      <c r="P556">
        <f>IF($N556=0,0,IF(AND($F556&lt;=EOMONTH(DATE(PlanYear,2,1),0),IF(ISNUMBER($G556),$G556,$F556)&gt;=DATE(PlanYear,2,1)),1,0))</f>
        <v>0</v>
      </c>
      <c r="Q556">
        <f>IF($N556=0,0,IF(AND($F556&lt;=EOMONTH(DATE(PlanYear,3,1),0),IF(ISNUMBER($G556),$G556,$F556)&gt;=DATE(PlanYear,3,1)),1,0))</f>
        <v>0</v>
      </c>
      <c r="R556">
        <f>IF($N556=0,0,IF(AND($F556&lt;=EOMONTH(DATE(PlanYear,4,1),0),IF(ISNUMBER($G556),$G556,$F556)&gt;=DATE(PlanYear,4,1)),1,0))</f>
        <v>0</v>
      </c>
      <c r="S556">
        <f>IF($N556=0,0,IF(AND($F556&lt;=EOMONTH(DATE(PlanYear,5,1),0),IF(ISNUMBER($G556),$G556,$F556)&gt;=DATE(PlanYear,5,1)),1,0))</f>
        <v>0</v>
      </c>
      <c r="T556">
        <f>IF($N556=0,0,IF(AND($F556&lt;=EOMONTH(DATE(PlanYear,6,1),0),IF(ISNUMBER($G556),$G556,$F556)&gt;=DATE(PlanYear,6,1)),1,0))</f>
        <v>0</v>
      </c>
      <c r="U556">
        <f>IF($N556=0,0,IF(AND($F556&lt;=EOMONTH(DATE(PlanYear,7,1),0),IF(ISNUMBER($G556),$G556,$F556)&gt;=DATE(PlanYear,7,1)),1,0))</f>
        <v>0</v>
      </c>
      <c r="V556">
        <f>IF($N556=0,0,IF(AND($F556&lt;=EOMONTH(DATE(PlanYear,8,1),0),IF(ISNUMBER($G556),$G556,$F556)&gt;=DATE(PlanYear,8,1)),1,0))</f>
        <v>0</v>
      </c>
      <c r="W556">
        <f>IF($N556=0,0,IF(AND($F556&lt;=EOMONTH(DATE(PlanYear,9,1),0),IF(ISNUMBER($G556),$G556,$F556)&gt;=DATE(PlanYear,9,1)),1,0))</f>
        <v>0</v>
      </c>
      <c r="X556">
        <f>IF($N556=0,0,IF(AND($F556&lt;=EOMONTH(DATE(PlanYear,10,1),0),IF(ISNUMBER($G556),$G556,$F556)&gt;=DATE(PlanYear,10,1)),1,0))</f>
        <v>0</v>
      </c>
      <c r="Y556">
        <f>IF($N556=0,0,IF(AND($F556&lt;=EOMONTH(DATE(PlanYear,11,1),0),IF(ISNUMBER($G556),$G556,$F556)&gt;=DATE(PlanYear,11,1)),1,0))</f>
        <v>0</v>
      </c>
      <c r="Z556">
        <f>IF($N556=0,0,IF(AND($F556&lt;=EOMONTH(DATE(PlanYear,12,1),0),IF(ISNUMBER($G556),$G556,$F556)&gt;=DATE(PlanYear,12,1)),1,0))</f>
        <v>0</v>
      </c>
      <c r="AA556">
        <f>SUM($O556:$Z556)</f>
        <v>0</v>
      </c>
    </row>
    <row r="557" spans="1:27">
      <c r="A557" s="42">
        <f>IF($B557="","","ACT-"&amp;TEXT(ROW()-4,"000"))</f>
        <v>0</v>
      </c>
      <c r="M557" s="43">
        <f>IF(COUNTA($B557:$K557)=0,"",IF($B557="","Missing activity name",IF($C557="","Missing practice",IF(COUNTIF(PracticeNames,$C557)=0,"Practice not in Lists",IF($D557="","Missing motion",IF(NOT(ISNUMBER($F557)),"Missing or invalid start date",IF(AND(ISNUMBER($G557),$G557&lt;$F557),"End date before start",IF(AND($N557=1,$AA557=0),"Outside planning year","OK"))))))))</f>
        <v>0</v>
      </c>
      <c r="N557">
        <f>IF(AND($B557&lt;&gt;"",$C557&lt;&gt;"",$D557&lt;&gt;"",ISNUMBER($F557),COUNTIF(PracticeNames,$C557)&gt;0,COUNTIF(MotionNames,$D557)&gt;0,NOT(AND(ISNUMBER($G557),$G557&lt;$F557))),IF(StatusFilter="All (excl. Cancelled)",IF($H557="Cancelled",0,1),IF(StatusFilter="All",1,IF($H557=StatusFilter,1,0))),0)</f>
        <v>0</v>
      </c>
      <c r="O557">
        <f>IF($N557=0,0,IF(AND($F557&lt;=EOMONTH(DATE(PlanYear,1,1),0),IF(ISNUMBER($G557),$G557,$F557)&gt;=DATE(PlanYear,1,1)),1,0))</f>
        <v>0</v>
      </c>
      <c r="P557">
        <f>IF($N557=0,0,IF(AND($F557&lt;=EOMONTH(DATE(PlanYear,2,1),0),IF(ISNUMBER($G557),$G557,$F557)&gt;=DATE(PlanYear,2,1)),1,0))</f>
        <v>0</v>
      </c>
      <c r="Q557">
        <f>IF($N557=0,0,IF(AND($F557&lt;=EOMONTH(DATE(PlanYear,3,1),0),IF(ISNUMBER($G557),$G557,$F557)&gt;=DATE(PlanYear,3,1)),1,0))</f>
        <v>0</v>
      </c>
      <c r="R557">
        <f>IF($N557=0,0,IF(AND($F557&lt;=EOMONTH(DATE(PlanYear,4,1),0),IF(ISNUMBER($G557),$G557,$F557)&gt;=DATE(PlanYear,4,1)),1,0))</f>
        <v>0</v>
      </c>
      <c r="S557">
        <f>IF($N557=0,0,IF(AND($F557&lt;=EOMONTH(DATE(PlanYear,5,1),0),IF(ISNUMBER($G557),$G557,$F557)&gt;=DATE(PlanYear,5,1)),1,0))</f>
        <v>0</v>
      </c>
      <c r="T557">
        <f>IF($N557=0,0,IF(AND($F557&lt;=EOMONTH(DATE(PlanYear,6,1),0),IF(ISNUMBER($G557),$G557,$F557)&gt;=DATE(PlanYear,6,1)),1,0))</f>
        <v>0</v>
      </c>
      <c r="U557">
        <f>IF($N557=0,0,IF(AND($F557&lt;=EOMONTH(DATE(PlanYear,7,1),0),IF(ISNUMBER($G557),$G557,$F557)&gt;=DATE(PlanYear,7,1)),1,0))</f>
        <v>0</v>
      </c>
      <c r="V557">
        <f>IF($N557=0,0,IF(AND($F557&lt;=EOMONTH(DATE(PlanYear,8,1),0),IF(ISNUMBER($G557),$G557,$F557)&gt;=DATE(PlanYear,8,1)),1,0))</f>
        <v>0</v>
      </c>
      <c r="W557">
        <f>IF($N557=0,0,IF(AND($F557&lt;=EOMONTH(DATE(PlanYear,9,1),0),IF(ISNUMBER($G557),$G557,$F557)&gt;=DATE(PlanYear,9,1)),1,0))</f>
        <v>0</v>
      </c>
      <c r="X557">
        <f>IF($N557=0,0,IF(AND($F557&lt;=EOMONTH(DATE(PlanYear,10,1),0),IF(ISNUMBER($G557),$G557,$F557)&gt;=DATE(PlanYear,10,1)),1,0))</f>
        <v>0</v>
      </c>
      <c r="Y557">
        <f>IF($N557=0,0,IF(AND($F557&lt;=EOMONTH(DATE(PlanYear,11,1),0),IF(ISNUMBER($G557),$G557,$F557)&gt;=DATE(PlanYear,11,1)),1,0))</f>
        <v>0</v>
      </c>
      <c r="Z557">
        <f>IF($N557=0,0,IF(AND($F557&lt;=EOMONTH(DATE(PlanYear,12,1),0),IF(ISNUMBER($G557),$G557,$F557)&gt;=DATE(PlanYear,12,1)),1,0))</f>
        <v>0</v>
      </c>
      <c r="AA557">
        <f>SUM($O557:$Z557)</f>
        <v>0</v>
      </c>
    </row>
    <row r="558" spans="1:27">
      <c r="A558" s="42">
        <f>IF($B558="","","ACT-"&amp;TEXT(ROW()-4,"000"))</f>
        <v>0</v>
      </c>
      <c r="M558" s="43">
        <f>IF(COUNTA($B558:$K558)=0,"",IF($B558="","Missing activity name",IF($C558="","Missing practice",IF(COUNTIF(PracticeNames,$C558)=0,"Practice not in Lists",IF($D558="","Missing motion",IF(NOT(ISNUMBER($F558)),"Missing or invalid start date",IF(AND(ISNUMBER($G558),$G558&lt;$F558),"End date before start",IF(AND($N558=1,$AA558=0),"Outside planning year","OK"))))))))</f>
        <v>0</v>
      </c>
      <c r="N558">
        <f>IF(AND($B558&lt;&gt;"",$C558&lt;&gt;"",$D558&lt;&gt;"",ISNUMBER($F558),COUNTIF(PracticeNames,$C558)&gt;0,COUNTIF(MotionNames,$D558)&gt;0,NOT(AND(ISNUMBER($G558),$G558&lt;$F558))),IF(StatusFilter="All (excl. Cancelled)",IF($H558="Cancelled",0,1),IF(StatusFilter="All",1,IF($H558=StatusFilter,1,0))),0)</f>
        <v>0</v>
      </c>
      <c r="O558">
        <f>IF($N558=0,0,IF(AND($F558&lt;=EOMONTH(DATE(PlanYear,1,1),0),IF(ISNUMBER($G558),$G558,$F558)&gt;=DATE(PlanYear,1,1)),1,0))</f>
        <v>0</v>
      </c>
      <c r="P558">
        <f>IF($N558=0,0,IF(AND($F558&lt;=EOMONTH(DATE(PlanYear,2,1),0),IF(ISNUMBER($G558),$G558,$F558)&gt;=DATE(PlanYear,2,1)),1,0))</f>
        <v>0</v>
      </c>
      <c r="Q558">
        <f>IF($N558=0,0,IF(AND($F558&lt;=EOMONTH(DATE(PlanYear,3,1),0),IF(ISNUMBER($G558),$G558,$F558)&gt;=DATE(PlanYear,3,1)),1,0))</f>
        <v>0</v>
      </c>
      <c r="R558">
        <f>IF($N558=0,0,IF(AND($F558&lt;=EOMONTH(DATE(PlanYear,4,1),0),IF(ISNUMBER($G558),$G558,$F558)&gt;=DATE(PlanYear,4,1)),1,0))</f>
        <v>0</v>
      </c>
      <c r="S558">
        <f>IF($N558=0,0,IF(AND($F558&lt;=EOMONTH(DATE(PlanYear,5,1),0),IF(ISNUMBER($G558),$G558,$F558)&gt;=DATE(PlanYear,5,1)),1,0))</f>
        <v>0</v>
      </c>
      <c r="T558">
        <f>IF($N558=0,0,IF(AND($F558&lt;=EOMONTH(DATE(PlanYear,6,1),0),IF(ISNUMBER($G558),$G558,$F558)&gt;=DATE(PlanYear,6,1)),1,0))</f>
        <v>0</v>
      </c>
      <c r="U558">
        <f>IF($N558=0,0,IF(AND($F558&lt;=EOMONTH(DATE(PlanYear,7,1),0),IF(ISNUMBER($G558),$G558,$F558)&gt;=DATE(PlanYear,7,1)),1,0))</f>
        <v>0</v>
      </c>
      <c r="V558">
        <f>IF($N558=0,0,IF(AND($F558&lt;=EOMONTH(DATE(PlanYear,8,1),0),IF(ISNUMBER($G558),$G558,$F558)&gt;=DATE(PlanYear,8,1)),1,0))</f>
        <v>0</v>
      </c>
      <c r="W558">
        <f>IF($N558=0,0,IF(AND($F558&lt;=EOMONTH(DATE(PlanYear,9,1),0),IF(ISNUMBER($G558),$G558,$F558)&gt;=DATE(PlanYear,9,1)),1,0))</f>
        <v>0</v>
      </c>
      <c r="X558">
        <f>IF($N558=0,0,IF(AND($F558&lt;=EOMONTH(DATE(PlanYear,10,1),0),IF(ISNUMBER($G558),$G558,$F558)&gt;=DATE(PlanYear,10,1)),1,0))</f>
        <v>0</v>
      </c>
      <c r="Y558">
        <f>IF($N558=0,0,IF(AND($F558&lt;=EOMONTH(DATE(PlanYear,11,1),0),IF(ISNUMBER($G558),$G558,$F558)&gt;=DATE(PlanYear,11,1)),1,0))</f>
        <v>0</v>
      </c>
      <c r="Z558">
        <f>IF($N558=0,0,IF(AND($F558&lt;=EOMONTH(DATE(PlanYear,12,1),0),IF(ISNUMBER($G558),$G558,$F558)&gt;=DATE(PlanYear,12,1)),1,0))</f>
        <v>0</v>
      </c>
      <c r="AA558">
        <f>SUM($O558:$Z558)</f>
        <v>0</v>
      </c>
    </row>
    <row r="559" spans="1:27">
      <c r="A559" s="42">
        <f>IF($B559="","","ACT-"&amp;TEXT(ROW()-4,"000"))</f>
        <v>0</v>
      </c>
      <c r="M559" s="43">
        <f>IF(COUNTA($B559:$K559)=0,"",IF($B559="","Missing activity name",IF($C559="","Missing practice",IF(COUNTIF(PracticeNames,$C559)=0,"Practice not in Lists",IF($D559="","Missing motion",IF(NOT(ISNUMBER($F559)),"Missing or invalid start date",IF(AND(ISNUMBER($G559),$G559&lt;$F559),"End date before start",IF(AND($N559=1,$AA559=0),"Outside planning year","OK"))))))))</f>
        <v>0</v>
      </c>
      <c r="N559">
        <f>IF(AND($B559&lt;&gt;"",$C559&lt;&gt;"",$D559&lt;&gt;"",ISNUMBER($F559),COUNTIF(PracticeNames,$C559)&gt;0,COUNTIF(MotionNames,$D559)&gt;0,NOT(AND(ISNUMBER($G559),$G559&lt;$F559))),IF(StatusFilter="All (excl. Cancelled)",IF($H559="Cancelled",0,1),IF(StatusFilter="All",1,IF($H559=StatusFilter,1,0))),0)</f>
        <v>0</v>
      </c>
      <c r="O559">
        <f>IF($N559=0,0,IF(AND($F559&lt;=EOMONTH(DATE(PlanYear,1,1),0),IF(ISNUMBER($G559),$G559,$F559)&gt;=DATE(PlanYear,1,1)),1,0))</f>
        <v>0</v>
      </c>
      <c r="P559">
        <f>IF($N559=0,0,IF(AND($F559&lt;=EOMONTH(DATE(PlanYear,2,1),0),IF(ISNUMBER($G559),$G559,$F559)&gt;=DATE(PlanYear,2,1)),1,0))</f>
        <v>0</v>
      </c>
      <c r="Q559">
        <f>IF($N559=0,0,IF(AND($F559&lt;=EOMONTH(DATE(PlanYear,3,1),0),IF(ISNUMBER($G559),$G559,$F559)&gt;=DATE(PlanYear,3,1)),1,0))</f>
        <v>0</v>
      </c>
      <c r="R559">
        <f>IF($N559=0,0,IF(AND($F559&lt;=EOMONTH(DATE(PlanYear,4,1),0),IF(ISNUMBER($G559),$G559,$F559)&gt;=DATE(PlanYear,4,1)),1,0))</f>
        <v>0</v>
      </c>
      <c r="S559">
        <f>IF($N559=0,0,IF(AND($F559&lt;=EOMONTH(DATE(PlanYear,5,1),0),IF(ISNUMBER($G559),$G559,$F559)&gt;=DATE(PlanYear,5,1)),1,0))</f>
        <v>0</v>
      </c>
      <c r="T559">
        <f>IF($N559=0,0,IF(AND($F559&lt;=EOMONTH(DATE(PlanYear,6,1),0),IF(ISNUMBER($G559),$G559,$F559)&gt;=DATE(PlanYear,6,1)),1,0))</f>
        <v>0</v>
      </c>
      <c r="U559">
        <f>IF($N559=0,0,IF(AND($F559&lt;=EOMONTH(DATE(PlanYear,7,1),0),IF(ISNUMBER($G559),$G559,$F559)&gt;=DATE(PlanYear,7,1)),1,0))</f>
        <v>0</v>
      </c>
      <c r="V559">
        <f>IF($N559=0,0,IF(AND($F559&lt;=EOMONTH(DATE(PlanYear,8,1),0),IF(ISNUMBER($G559),$G559,$F559)&gt;=DATE(PlanYear,8,1)),1,0))</f>
        <v>0</v>
      </c>
      <c r="W559">
        <f>IF($N559=0,0,IF(AND($F559&lt;=EOMONTH(DATE(PlanYear,9,1),0),IF(ISNUMBER($G559),$G559,$F559)&gt;=DATE(PlanYear,9,1)),1,0))</f>
        <v>0</v>
      </c>
      <c r="X559">
        <f>IF($N559=0,0,IF(AND($F559&lt;=EOMONTH(DATE(PlanYear,10,1),0),IF(ISNUMBER($G559),$G559,$F559)&gt;=DATE(PlanYear,10,1)),1,0))</f>
        <v>0</v>
      </c>
      <c r="Y559">
        <f>IF($N559=0,0,IF(AND($F559&lt;=EOMONTH(DATE(PlanYear,11,1),0),IF(ISNUMBER($G559),$G559,$F559)&gt;=DATE(PlanYear,11,1)),1,0))</f>
        <v>0</v>
      </c>
      <c r="Z559">
        <f>IF($N559=0,0,IF(AND($F559&lt;=EOMONTH(DATE(PlanYear,12,1),0),IF(ISNUMBER($G559),$G559,$F559)&gt;=DATE(PlanYear,12,1)),1,0))</f>
        <v>0</v>
      </c>
      <c r="AA559">
        <f>SUM($O559:$Z559)</f>
        <v>0</v>
      </c>
    </row>
    <row r="560" spans="1:27">
      <c r="A560" s="42">
        <f>IF($B560="","","ACT-"&amp;TEXT(ROW()-4,"000"))</f>
        <v>0</v>
      </c>
      <c r="M560" s="43">
        <f>IF(COUNTA($B560:$K560)=0,"",IF($B560="","Missing activity name",IF($C560="","Missing practice",IF(COUNTIF(PracticeNames,$C560)=0,"Practice not in Lists",IF($D560="","Missing motion",IF(NOT(ISNUMBER($F560)),"Missing or invalid start date",IF(AND(ISNUMBER($G560),$G560&lt;$F560),"End date before start",IF(AND($N560=1,$AA560=0),"Outside planning year","OK"))))))))</f>
        <v>0</v>
      </c>
      <c r="N560">
        <f>IF(AND($B560&lt;&gt;"",$C560&lt;&gt;"",$D560&lt;&gt;"",ISNUMBER($F560),COUNTIF(PracticeNames,$C560)&gt;0,COUNTIF(MotionNames,$D560)&gt;0,NOT(AND(ISNUMBER($G560),$G560&lt;$F560))),IF(StatusFilter="All (excl. Cancelled)",IF($H560="Cancelled",0,1),IF(StatusFilter="All",1,IF($H560=StatusFilter,1,0))),0)</f>
        <v>0</v>
      </c>
      <c r="O560">
        <f>IF($N560=0,0,IF(AND($F560&lt;=EOMONTH(DATE(PlanYear,1,1),0),IF(ISNUMBER($G560),$G560,$F560)&gt;=DATE(PlanYear,1,1)),1,0))</f>
        <v>0</v>
      </c>
      <c r="P560">
        <f>IF($N560=0,0,IF(AND($F560&lt;=EOMONTH(DATE(PlanYear,2,1),0),IF(ISNUMBER($G560),$G560,$F560)&gt;=DATE(PlanYear,2,1)),1,0))</f>
        <v>0</v>
      </c>
      <c r="Q560">
        <f>IF($N560=0,0,IF(AND($F560&lt;=EOMONTH(DATE(PlanYear,3,1),0),IF(ISNUMBER($G560),$G560,$F560)&gt;=DATE(PlanYear,3,1)),1,0))</f>
        <v>0</v>
      </c>
      <c r="R560">
        <f>IF($N560=0,0,IF(AND($F560&lt;=EOMONTH(DATE(PlanYear,4,1),0),IF(ISNUMBER($G560),$G560,$F560)&gt;=DATE(PlanYear,4,1)),1,0))</f>
        <v>0</v>
      </c>
      <c r="S560">
        <f>IF($N560=0,0,IF(AND($F560&lt;=EOMONTH(DATE(PlanYear,5,1),0),IF(ISNUMBER($G560),$G560,$F560)&gt;=DATE(PlanYear,5,1)),1,0))</f>
        <v>0</v>
      </c>
      <c r="T560">
        <f>IF($N560=0,0,IF(AND($F560&lt;=EOMONTH(DATE(PlanYear,6,1),0),IF(ISNUMBER($G560),$G560,$F560)&gt;=DATE(PlanYear,6,1)),1,0))</f>
        <v>0</v>
      </c>
      <c r="U560">
        <f>IF($N560=0,0,IF(AND($F560&lt;=EOMONTH(DATE(PlanYear,7,1),0),IF(ISNUMBER($G560),$G560,$F560)&gt;=DATE(PlanYear,7,1)),1,0))</f>
        <v>0</v>
      </c>
      <c r="V560">
        <f>IF($N560=0,0,IF(AND($F560&lt;=EOMONTH(DATE(PlanYear,8,1),0),IF(ISNUMBER($G560),$G560,$F560)&gt;=DATE(PlanYear,8,1)),1,0))</f>
        <v>0</v>
      </c>
      <c r="W560">
        <f>IF($N560=0,0,IF(AND($F560&lt;=EOMONTH(DATE(PlanYear,9,1),0),IF(ISNUMBER($G560),$G560,$F560)&gt;=DATE(PlanYear,9,1)),1,0))</f>
        <v>0</v>
      </c>
      <c r="X560">
        <f>IF($N560=0,0,IF(AND($F560&lt;=EOMONTH(DATE(PlanYear,10,1),0),IF(ISNUMBER($G560),$G560,$F560)&gt;=DATE(PlanYear,10,1)),1,0))</f>
        <v>0</v>
      </c>
      <c r="Y560">
        <f>IF($N560=0,0,IF(AND($F560&lt;=EOMONTH(DATE(PlanYear,11,1),0),IF(ISNUMBER($G560),$G560,$F560)&gt;=DATE(PlanYear,11,1)),1,0))</f>
        <v>0</v>
      </c>
      <c r="Z560">
        <f>IF($N560=0,0,IF(AND($F560&lt;=EOMONTH(DATE(PlanYear,12,1),0),IF(ISNUMBER($G560),$G560,$F560)&gt;=DATE(PlanYear,12,1)),1,0))</f>
        <v>0</v>
      </c>
      <c r="AA560">
        <f>SUM($O560:$Z560)</f>
        <v>0</v>
      </c>
    </row>
    <row r="561" spans="1:27">
      <c r="A561" s="42">
        <f>IF($B561="","","ACT-"&amp;TEXT(ROW()-4,"000"))</f>
        <v>0</v>
      </c>
      <c r="M561" s="43">
        <f>IF(COUNTA($B561:$K561)=0,"",IF($B561="","Missing activity name",IF($C561="","Missing practice",IF(COUNTIF(PracticeNames,$C561)=0,"Practice not in Lists",IF($D561="","Missing motion",IF(NOT(ISNUMBER($F561)),"Missing or invalid start date",IF(AND(ISNUMBER($G561),$G561&lt;$F561),"End date before start",IF(AND($N561=1,$AA561=0),"Outside planning year","OK"))))))))</f>
        <v>0</v>
      </c>
      <c r="N561">
        <f>IF(AND($B561&lt;&gt;"",$C561&lt;&gt;"",$D561&lt;&gt;"",ISNUMBER($F561),COUNTIF(PracticeNames,$C561)&gt;0,COUNTIF(MotionNames,$D561)&gt;0,NOT(AND(ISNUMBER($G561),$G561&lt;$F561))),IF(StatusFilter="All (excl. Cancelled)",IF($H561="Cancelled",0,1),IF(StatusFilter="All",1,IF($H561=StatusFilter,1,0))),0)</f>
        <v>0</v>
      </c>
      <c r="O561">
        <f>IF($N561=0,0,IF(AND($F561&lt;=EOMONTH(DATE(PlanYear,1,1),0),IF(ISNUMBER($G561),$G561,$F561)&gt;=DATE(PlanYear,1,1)),1,0))</f>
        <v>0</v>
      </c>
      <c r="P561">
        <f>IF($N561=0,0,IF(AND($F561&lt;=EOMONTH(DATE(PlanYear,2,1),0),IF(ISNUMBER($G561),$G561,$F561)&gt;=DATE(PlanYear,2,1)),1,0))</f>
        <v>0</v>
      </c>
      <c r="Q561">
        <f>IF($N561=0,0,IF(AND($F561&lt;=EOMONTH(DATE(PlanYear,3,1),0),IF(ISNUMBER($G561),$G561,$F561)&gt;=DATE(PlanYear,3,1)),1,0))</f>
        <v>0</v>
      </c>
      <c r="R561">
        <f>IF($N561=0,0,IF(AND($F561&lt;=EOMONTH(DATE(PlanYear,4,1),0),IF(ISNUMBER($G561),$G561,$F561)&gt;=DATE(PlanYear,4,1)),1,0))</f>
        <v>0</v>
      </c>
      <c r="S561">
        <f>IF($N561=0,0,IF(AND($F561&lt;=EOMONTH(DATE(PlanYear,5,1),0),IF(ISNUMBER($G561),$G561,$F561)&gt;=DATE(PlanYear,5,1)),1,0))</f>
        <v>0</v>
      </c>
      <c r="T561">
        <f>IF($N561=0,0,IF(AND($F561&lt;=EOMONTH(DATE(PlanYear,6,1),0),IF(ISNUMBER($G561),$G561,$F561)&gt;=DATE(PlanYear,6,1)),1,0))</f>
        <v>0</v>
      </c>
      <c r="U561">
        <f>IF($N561=0,0,IF(AND($F561&lt;=EOMONTH(DATE(PlanYear,7,1),0),IF(ISNUMBER($G561),$G561,$F561)&gt;=DATE(PlanYear,7,1)),1,0))</f>
        <v>0</v>
      </c>
      <c r="V561">
        <f>IF($N561=0,0,IF(AND($F561&lt;=EOMONTH(DATE(PlanYear,8,1),0),IF(ISNUMBER($G561),$G561,$F561)&gt;=DATE(PlanYear,8,1)),1,0))</f>
        <v>0</v>
      </c>
      <c r="W561">
        <f>IF($N561=0,0,IF(AND($F561&lt;=EOMONTH(DATE(PlanYear,9,1),0),IF(ISNUMBER($G561),$G561,$F561)&gt;=DATE(PlanYear,9,1)),1,0))</f>
        <v>0</v>
      </c>
      <c r="X561">
        <f>IF($N561=0,0,IF(AND($F561&lt;=EOMONTH(DATE(PlanYear,10,1),0),IF(ISNUMBER($G561),$G561,$F561)&gt;=DATE(PlanYear,10,1)),1,0))</f>
        <v>0</v>
      </c>
      <c r="Y561">
        <f>IF($N561=0,0,IF(AND($F561&lt;=EOMONTH(DATE(PlanYear,11,1),0),IF(ISNUMBER($G561),$G561,$F561)&gt;=DATE(PlanYear,11,1)),1,0))</f>
        <v>0</v>
      </c>
      <c r="Z561">
        <f>IF($N561=0,0,IF(AND($F561&lt;=EOMONTH(DATE(PlanYear,12,1),0),IF(ISNUMBER($G561),$G561,$F561)&gt;=DATE(PlanYear,12,1)),1,0))</f>
        <v>0</v>
      </c>
      <c r="AA561">
        <f>SUM($O561:$Z561)</f>
        <v>0</v>
      </c>
    </row>
    <row r="562" spans="1:27">
      <c r="A562" s="42">
        <f>IF($B562="","","ACT-"&amp;TEXT(ROW()-4,"000"))</f>
        <v>0</v>
      </c>
      <c r="M562" s="43">
        <f>IF(COUNTA($B562:$K562)=0,"",IF($B562="","Missing activity name",IF($C562="","Missing practice",IF(COUNTIF(PracticeNames,$C562)=0,"Practice not in Lists",IF($D562="","Missing motion",IF(NOT(ISNUMBER($F562)),"Missing or invalid start date",IF(AND(ISNUMBER($G562),$G562&lt;$F562),"End date before start",IF(AND($N562=1,$AA562=0),"Outside planning year","OK"))))))))</f>
        <v>0</v>
      </c>
      <c r="N562">
        <f>IF(AND($B562&lt;&gt;"",$C562&lt;&gt;"",$D562&lt;&gt;"",ISNUMBER($F562),COUNTIF(PracticeNames,$C562)&gt;0,COUNTIF(MotionNames,$D562)&gt;0,NOT(AND(ISNUMBER($G562),$G562&lt;$F562))),IF(StatusFilter="All (excl. Cancelled)",IF($H562="Cancelled",0,1),IF(StatusFilter="All",1,IF($H562=StatusFilter,1,0))),0)</f>
        <v>0</v>
      </c>
      <c r="O562">
        <f>IF($N562=0,0,IF(AND($F562&lt;=EOMONTH(DATE(PlanYear,1,1),0),IF(ISNUMBER($G562),$G562,$F562)&gt;=DATE(PlanYear,1,1)),1,0))</f>
        <v>0</v>
      </c>
      <c r="P562">
        <f>IF($N562=0,0,IF(AND($F562&lt;=EOMONTH(DATE(PlanYear,2,1),0),IF(ISNUMBER($G562),$G562,$F562)&gt;=DATE(PlanYear,2,1)),1,0))</f>
        <v>0</v>
      </c>
      <c r="Q562">
        <f>IF($N562=0,0,IF(AND($F562&lt;=EOMONTH(DATE(PlanYear,3,1),0),IF(ISNUMBER($G562),$G562,$F562)&gt;=DATE(PlanYear,3,1)),1,0))</f>
        <v>0</v>
      </c>
      <c r="R562">
        <f>IF($N562=0,0,IF(AND($F562&lt;=EOMONTH(DATE(PlanYear,4,1),0),IF(ISNUMBER($G562),$G562,$F562)&gt;=DATE(PlanYear,4,1)),1,0))</f>
        <v>0</v>
      </c>
      <c r="S562">
        <f>IF($N562=0,0,IF(AND($F562&lt;=EOMONTH(DATE(PlanYear,5,1),0),IF(ISNUMBER($G562),$G562,$F562)&gt;=DATE(PlanYear,5,1)),1,0))</f>
        <v>0</v>
      </c>
      <c r="T562">
        <f>IF($N562=0,0,IF(AND($F562&lt;=EOMONTH(DATE(PlanYear,6,1),0),IF(ISNUMBER($G562),$G562,$F562)&gt;=DATE(PlanYear,6,1)),1,0))</f>
        <v>0</v>
      </c>
      <c r="U562">
        <f>IF($N562=0,0,IF(AND($F562&lt;=EOMONTH(DATE(PlanYear,7,1),0),IF(ISNUMBER($G562),$G562,$F562)&gt;=DATE(PlanYear,7,1)),1,0))</f>
        <v>0</v>
      </c>
      <c r="V562">
        <f>IF($N562=0,0,IF(AND($F562&lt;=EOMONTH(DATE(PlanYear,8,1),0),IF(ISNUMBER($G562),$G562,$F562)&gt;=DATE(PlanYear,8,1)),1,0))</f>
        <v>0</v>
      </c>
      <c r="W562">
        <f>IF($N562=0,0,IF(AND($F562&lt;=EOMONTH(DATE(PlanYear,9,1),0),IF(ISNUMBER($G562),$G562,$F562)&gt;=DATE(PlanYear,9,1)),1,0))</f>
        <v>0</v>
      </c>
      <c r="X562">
        <f>IF($N562=0,0,IF(AND($F562&lt;=EOMONTH(DATE(PlanYear,10,1),0),IF(ISNUMBER($G562),$G562,$F562)&gt;=DATE(PlanYear,10,1)),1,0))</f>
        <v>0</v>
      </c>
      <c r="Y562">
        <f>IF($N562=0,0,IF(AND($F562&lt;=EOMONTH(DATE(PlanYear,11,1),0),IF(ISNUMBER($G562),$G562,$F562)&gt;=DATE(PlanYear,11,1)),1,0))</f>
        <v>0</v>
      </c>
      <c r="Z562">
        <f>IF($N562=0,0,IF(AND($F562&lt;=EOMONTH(DATE(PlanYear,12,1),0),IF(ISNUMBER($G562),$G562,$F562)&gt;=DATE(PlanYear,12,1)),1,0))</f>
        <v>0</v>
      </c>
      <c r="AA562">
        <f>SUM($O562:$Z562)</f>
        <v>0</v>
      </c>
    </row>
    <row r="563" spans="1:27">
      <c r="A563" s="42">
        <f>IF($B563="","","ACT-"&amp;TEXT(ROW()-4,"000"))</f>
        <v>0</v>
      </c>
      <c r="M563" s="43">
        <f>IF(COUNTA($B563:$K563)=0,"",IF($B563="","Missing activity name",IF($C563="","Missing practice",IF(COUNTIF(PracticeNames,$C563)=0,"Practice not in Lists",IF($D563="","Missing motion",IF(NOT(ISNUMBER($F563)),"Missing or invalid start date",IF(AND(ISNUMBER($G563),$G563&lt;$F563),"End date before start",IF(AND($N563=1,$AA563=0),"Outside planning year","OK"))))))))</f>
        <v>0</v>
      </c>
      <c r="N563">
        <f>IF(AND($B563&lt;&gt;"",$C563&lt;&gt;"",$D563&lt;&gt;"",ISNUMBER($F563),COUNTIF(PracticeNames,$C563)&gt;0,COUNTIF(MotionNames,$D563)&gt;0,NOT(AND(ISNUMBER($G563),$G563&lt;$F563))),IF(StatusFilter="All (excl. Cancelled)",IF($H563="Cancelled",0,1),IF(StatusFilter="All",1,IF($H563=StatusFilter,1,0))),0)</f>
        <v>0</v>
      </c>
      <c r="O563">
        <f>IF($N563=0,0,IF(AND($F563&lt;=EOMONTH(DATE(PlanYear,1,1),0),IF(ISNUMBER($G563),$G563,$F563)&gt;=DATE(PlanYear,1,1)),1,0))</f>
        <v>0</v>
      </c>
      <c r="P563">
        <f>IF($N563=0,0,IF(AND($F563&lt;=EOMONTH(DATE(PlanYear,2,1),0),IF(ISNUMBER($G563),$G563,$F563)&gt;=DATE(PlanYear,2,1)),1,0))</f>
        <v>0</v>
      </c>
      <c r="Q563">
        <f>IF($N563=0,0,IF(AND($F563&lt;=EOMONTH(DATE(PlanYear,3,1),0),IF(ISNUMBER($G563),$G563,$F563)&gt;=DATE(PlanYear,3,1)),1,0))</f>
        <v>0</v>
      </c>
      <c r="R563">
        <f>IF($N563=0,0,IF(AND($F563&lt;=EOMONTH(DATE(PlanYear,4,1),0),IF(ISNUMBER($G563),$G563,$F563)&gt;=DATE(PlanYear,4,1)),1,0))</f>
        <v>0</v>
      </c>
      <c r="S563">
        <f>IF($N563=0,0,IF(AND($F563&lt;=EOMONTH(DATE(PlanYear,5,1),0),IF(ISNUMBER($G563),$G563,$F563)&gt;=DATE(PlanYear,5,1)),1,0))</f>
        <v>0</v>
      </c>
      <c r="T563">
        <f>IF($N563=0,0,IF(AND($F563&lt;=EOMONTH(DATE(PlanYear,6,1),0),IF(ISNUMBER($G563),$G563,$F563)&gt;=DATE(PlanYear,6,1)),1,0))</f>
        <v>0</v>
      </c>
      <c r="U563">
        <f>IF($N563=0,0,IF(AND($F563&lt;=EOMONTH(DATE(PlanYear,7,1),0),IF(ISNUMBER($G563),$G563,$F563)&gt;=DATE(PlanYear,7,1)),1,0))</f>
        <v>0</v>
      </c>
      <c r="V563">
        <f>IF($N563=0,0,IF(AND($F563&lt;=EOMONTH(DATE(PlanYear,8,1),0),IF(ISNUMBER($G563),$G563,$F563)&gt;=DATE(PlanYear,8,1)),1,0))</f>
        <v>0</v>
      </c>
      <c r="W563">
        <f>IF($N563=0,0,IF(AND($F563&lt;=EOMONTH(DATE(PlanYear,9,1),0),IF(ISNUMBER($G563),$G563,$F563)&gt;=DATE(PlanYear,9,1)),1,0))</f>
        <v>0</v>
      </c>
      <c r="X563">
        <f>IF($N563=0,0,IF(AND($F563&lt;=EOMONTH(DATE(PlanYear,10,1),0),IF(ISNUMBER($G563),$G563,$F563)&gt;=DATE(PlanYear,10,1)),1,0))</f>
        <v>0</v>
      </c>
      <c r="Y563">
        <f>IF($N563=0,0,IF(AND($F563&lt;=EOMONTH(DATE(PlanYear,11,1),0),IF(ISNUMBER($G563),$G563,$F563)&gt;=DATE(PlanYear,11,1)),1,0))</f>
        <v>0</v>
      </c>
      <c r="Z563">
        <f>IF($N563=0,0,IF(AND($F563&lt;=EOMONTH(DATE(PlanYear,12,1),0),IF(ISNUMBER($G563),$G563,$F563)&gt;=DATE(PlanYear,12,1)),1,0))</f>
        <v>0</v>
      </c>
      <c r="AA563">
        <f>SUM($O563:$Z563)</f>
        <v>0</v>
      </c>
    </row>
    <row r="564" spans="1:27">
      <c r="A564" s="42">
        <f>IF($B564="","","ACT-"&amp;TEXT(ROW()-4,"000"))</f>
        <v>0</v>
      </c>
      <c r="M564" s="43">
        <f>IF(COUNTA($B564:$K564)=0,"",IF($B564="","Missing activity name",IF($C564="","Missing practice",IF(COUNTIF(PracticeNames,$C564)=0,"Practice not in Lists",IF($D564="","Missing motion",IF(NOT(ISNUMBER($F564)),"Missing or invalid start date",IF(AND(ISNUMBER($G564),$G564&lt;$F564),"End date before start",IF(AND($N564=1,$AA564=0),"Outside planning year","OK"))))))))</f>
        <v>0</v>
      </c>
      <c r="N564">
        <f>IF(AND($B564&lt;&gt;"",$C564&lt;&gt;"",$D564&lt;&gt;"",ISNUMBER($F564),COUNTIF(PracticeNames,$C564)&gt;0,COUNTIF(MotionNames,$D564)&gt;0,NOT(AND(ISNUMBER($G564),$G564&lt;$F564))),IF(StatusFilter="All (excl. Cancelled)",IF($H564="Cancelled",0,1),IF(StatusFilter="All",1,IF($H564=StatusFilter,1,0))),0)</f>
        <v>0</v>
      </c>
      <c r="O564">
        <f>IF($N564=0,0,IF(AND($F564&lt;=EOMONTH(DATE(PlanYear,1,1),0),IF(ISNUMBER($G564),$G564,$F564)&gt;=DATE(PlanYear,1,1)),1,0))</f>
        <v>0</v>
      </c>
      <c r="P564">
        <f>IF($N564=0,0,IF(AND($F564&lt;=EOMONTH(DATE(PlanYear,2,1),0),IF(ISNUMBER($G564),$G564,$F564)&gt;=DATE(PlanYear,2,1)),1,0))</f>
        <v>0</v>
      </c>
      <c r="Q564">
        <f>IF($N564=0,0,IF(AND($F564&lt;=EOMONTH(DATE(PlanYear,3,1),0),IF(ISNUMBER($G564),$G564,$F564)&gt;=DATE(PlanYear,3,1)),1,0))</f>
        <v>0</v>
      </c>
      <c r="R564">
        <f>IF($N564=0,0,IF(AND($F564&lt;=EOMONTH(DATE(PlanYear,4,1),0),IF(ISNUMBER($G564),$G564,$F564)&gt;=DATE(PlanYear,4,1)),1,0))</f>
        <v>0</v>
      </c>
      <c r="S564">
        <f>IF($N564=0,0,IF(AND($F564&lt;=EOMONTH(DATE(PlanYear,5,1),0),IF(ISNUMBER($G564),$G564,$F564)&gt;=DATE(PlanYear,5,1)),1,0))</f>
        <v>0</v>
      </c>
      <c r="T564">
        <f>IF($N564=0,0,IF(AND($F564&lt;=EOMONTH(DATE(PlanYear,6,1),0),IF(ISNUMBER($G564),$G564,$F564)&gt;=DATE(PlanYear,6,1)),1,0))</f>
        <v>0</v>
      </c>
      <c r="U564">
        <f>IF($N564=0,0,IF(AND($F564&lt;=EOMONTH(DATE(PlanYear,7,1),0),IF(ISNUMBER($G564),$G564,$F564)&gt;=DATE(PlanYear,7,1)),1,0))</f>
        <v>0</v>
      </c>
      <c r="V564">
        <f>IF($N564=0,0,IF(AND($F564&lt;=EOMONTH(DATE(PlanYear,8,1),0),IF(ISNUMBER($G564),$G564,$F564)&gt;=DATE(PlanYear,8,1)),1,0))</f>
        <v>0</v>
      </c>
      <c r="W564">
        <f>IF($N564=0,0,IF(AND($F564&lt;=EOMONTH(DATE(PlanYear,9,1),0),IF(ISNUMBER($G564),$G564,$F564)&gt;=DATE(PlanYear,9,1)),1,0))</f>
        <v>0</v>
      </c>
      <c r="X564">
        <f>IF($N564=0,0,IF(AND($F564&lt;=EOMONTH(DATE(PlanYear,10,1),0),IF(ISNUMBER($G564),$G564,$F564)&gt;=DATE(PlanYear,10,1)),1,0))</f>
        <v>0</v>
      </c>
      <c r="Y564">
        <f>IF($N564=0,0,IF(AND($F564&lt;=EOMONTH(DATE(PlanYear,11,1),0),IF(ISNUMBER($G564),$G564,$F564)&gt;=DATE(PlanYear,11,1)),1,0))</f>
        <v>0</v>
      </c>
      <c r="Z564">
        <f>IF($N564=0,0,IF(AND($F564&lt;=EOMONTH(DATE(PlanYear,12,1),0),IF(ISNUMBER($G564),$G564,$F564)&gt;=DATE(PlanYear,12,1)),1,0))</f>
        <v>0</v>
      </c>
      <c r="AA564">
        <f>SUM($O564:$Z564)</f>
        <v>0</v>
      </c>
    </row>
    <row r="565" spans="1:27">
      <c r="A565" s="42">
        <f>IF($B565="","","ACT-"&amp;TEXT(ROW()-4,"000"))</f>
        <v>0</v>
      </c>
      <c r="M565" s="43">
        <f>IF(COUNTA($B565:$K565)=0,"",IF($B565="","Missing activity name",IF($C565="","Missing practice",IF(COUNTIF(PracticeNames,$C565)=0,"Practice not in Lists",IF($D565="","Missing motion",IF(NOT(ISNUMBER($F565)),"Missing or invalid start date",IF(AND(ISNUMBER($G565),$G565&lt;$F565),"End date before start",IF(AND($N565=1,$AA565=0),"Outside planning year","OK"))))))))</f>
        <v>0</v>
      </c>
      <c r="N565">
        <f>IF(AND($B565&lt;&gt;"",$C565&lt;&gt;"",$D565&lt;&gt;"",ISNUMBER($F565),COUNTIF(PracticeNames,$C565)&gt;0,COUNTIF(MotionNames,$D565)&gt;0,NOT(AND(ISNUMBER($G565),$G565&lt;$F565))),IF(StatusFilter="All (excl. Cancelled)",IF($H565="Cancelled",0,1),IF(StatusFilter="All",1,IF($H565=StatusFilter,1,0))),0)</f>
        <v>0</v>
      </c>
      <c r="O565">
        <f>IF($N565=0,0,IF(AND($F565&lt;=EOMONTH(DATE(PlanYear,1,1),0),IF(ISNUMBER($G565),$G565,$F565)&gt;=DATE(PlanYear,1,1)),1,0))</f>
        <v>0</v>
      </c>
      <c r="P565">
        <f>IF($N565=0,0,IF(AND($F565&lt;=EOMONTH(DATE(PlanYear,2,1),0),IF(ISNUMBER($G565),$G565,$F565)&gt;=DATE(PlanYear,2,1)),1,0))</f>
        <v>0</v>
      </c>
      <c r="Q565">
        <f>IF($N565=0,0,IF(AND($F565&lt;=EOMONTH(DATE(PlanYear,3,1),0),IF(ISNUMBER($G565),$G565,$F565)&gt;=DATE(PlanYear,3,1)),1,0))</f>
        <v>0</v>
      </c>
      <c r="R565">
        <f>IF($N565=0,0,IF(AND($F565&lt;=EOMONTH(DATE(PlanYear,4,1),0),IF(ISNUMBER($G565),$G565,$F565)&gt;=DATE(PlanYear,4,1)),1,0))</f>
        <v>0</v>
      </c>
      <c r="S565">
        <f>IF($N565=0,0,IF(AND($F565&lt;=EOMONTH(DATE(PlanYear,5,1),0),IF(ISNUMBER($G565),$G565,$F565)&gt;=DATE(PlanYear,5,1)),1,0))</f>
        <v>0</v>
      </c>
      <c r="T565">
        <f>IF($N565=0,0,IF(AND($F565&lt;=EOMONTH(DATE(PlanYear,6,1),0),IF(ISNUMBER($G565),$G565,$F565)&gt;=DATE(PlanYear,6,1)),1,0))</f>
        <v>0</v>
      </c>
      <c r="U565">
        <f>IF($N565=0,0,IF(AND($F565&lt;=EOMONTH(DATE(PlanYear,7,1),0),IF(ISNUMBER($G565),$G565,$F565)&gt;=DATE(PlanYear,7,1)),1,0))</f>
        <v>0</v>
      </c>
      <c r="V565">
        <f>IF($N565=0,0,IF(AND($F565&lt;=EOMONTH(DATE(PlanYear,8,1),0),IF(ISNUMBER($G565),$G565,$F565)&gt;=DATE(PlanYear,8,1)),1,0))</f>
        <v>0</v>
      </c>
      <c r="W565">
        <f>IF($N565=0,0,IF(AND($F565&lt;=EOMONTH(DATE(PlanYear,9,1),0),IF(ISNUMBER($G565),$G565,$F565)&gt;=DATE(PlanYear,9,1)),1,0))</f>
        <v>0</v>
      </c>
      <c r="X565">
        <f>IF($N565=0,0,IF(AND($F565&lt;=EOMONTH(DATE(PlanYear,10,1),0),IF(ISNUMBER($G565),$G565,$F565)&gt;=DATE(PlanYear,10,1)),1,0))</f>
        <v>0</v>
      </c>
      <c r="Y565">
        <f>IF($N565=0,0,IF(AND($F565&lt;=EOMONTH(DATE(PlanYear,11,1),0),IF(ISNUMBER($G565),$G565,$F565)&gt;=DATE(PlanYear,11,1)),1,0))</f>
        <v>0</v>
      </c>
      <c r="Z565">
        <f>IF($N565=0,0,IF(AND($F565&lt;=EOMONTH(DATE(PlanYear,12,1),0),IF(ISNUMBER($G565),$G565,$F565)&gt;=DATE(PlanYear,12,1)),1,0))</f>
        <v>0</v>
      </c>
      <c r="AA565">
        <f>SUM($O565:$Z565)</f>
        <v>0</v>
      </c>
    </row>
    <row r="566" spans="1:27">
      <c r="A566" s="42">
        <f>IF($B566="","","ACT-"&amp;TEXT(ROW()-4,"000"))</f>
        <v>0</v>
      </c>
      <c r="M566" s="43">
        <f>IF(COUNTA($B566:$K566)=0,"",IF($B566="","Missing activity name",IF($C566="","Missing practice",IF(COUNTIF(PracticeNames,$C566)=0,"Practice not in Lists",IF($D566="","Missing motion",IF(NOT(ISNUMBER($F566)),"Missing or invalid start date",IF(AND(ISNUMBER($G566),$G566&lt;$F566),"End date before start",IF(AND($N566=1,$AA566=0),"Outside planning year","OK"))))))))</f>
        <v>0</v>
      </c>
      <c r="N566">
        <f>IF(AND($B566&lt;&gt;"",$C566&lt;&gt;"",$D566&lt;&gt;"",ISNUMBER($F566),COUNTIF(PracticeNames,$C566)&gt;0,COUNTIF(MotionNames,$D566)&gt;0,NOT(AND(ISNUMBER($G566),$G566&lt;$F566))),IF(StatusFilter="All (excl. Cancelled)",IF($H566="Cancelled",0,1),IF(StatusFilter="All",1,IF($H566=StatusFilter,1,0))),0)</f>
        <v>0</v>
      </c>
      <c r="O566">
        <f>IF($N566=0,0,IF(AND($F566&lt;=EOMONTH(DATE(PlanYear,1,1),0),IF(ISNUMBER($G566),$G566,$F566)&gt;=DATE(PlanYear,1,1)),1,0))</f>
        <v>0</v>
      </c>
      <c r="P566">
        <f>IF($N566=0,0,IF(AND($F566&lt;=EOMONTH(DATE(PlanYear,2,1),0),IF(ISNUMBER($G566),$G566,$F566)&gt;=DATE(PlanYear,2,1)),1,0))</f>
        <v>0</v>
      </c>
      <c r="Q566">
        <f>IF($N566=0,0,IF(AND($F566&lt;=EOMONTH(DATE(PlanYear,3,1),0),IF(ISNUMBER($G566),$G566,$F566)&gt;=DATE(PlanYear,3,1)),1,0))</f>
        <v>0</v>
      </c>
      <c r="R566">
        <f>IF($N566=0,0,IF(AND($F566&lt;=EOMONTH(DATE(PlanYear,4,1),0),IF(ISNUMBER($G566),$G566,$F566)&gt;=DATE(PlanYear,4,1)),1,0))</f>
        <v>0</v>
      </c>
      <c r="S566">
        <f>IF($N566=0,0,IF(AND($F566&lt;=EOMONTH(DATE(PlanYear,5,1),0),IF(ISNUMBER($G566),$G566,$F566)&gt;=DATE(PlanYear,5,1)),1,0))</f>
        <v>0</v>
      </c>
      <c r="T566">
        <f>IF($N566=0,0,IF(AND($F566&lt;=EOMONTH(DATE(PlanYear,6,1),0),IF(ISNUMBER($G566),$G566,$F566)&gt;=DATE(PlanYear,6,1)),1,0))</f>
        <v>0</v>
      </c>
      <c r="U566">
        <f>IF($N566=0,0,IF(AND($F566&lt;=EOMONTH(DATE(PlanYear,7,1),0),IF(ISNUMBER($G566),$G566,$F566)&gt;=DATE(PlanYear,7,1)),1,0))</f>
        <v>0</v>
      </c>
      <c r="V566">
        <f>IF($N566=0,0,IF(AND($F566&lt;=EOMONTH(DATE(PlanYear,8,1),0),IF(ISNUMBER($G566),$G566,$F566)&gt;=DATE(PlanYear,8,1)),1,0))</f>
        <v>0</v>
      </c>
      <c r="W566">
        <f>IF($N566=0,0,IF(AND($F566&lt;=EOMONTH(DATE(PlanYear,9,1),0),IF(ISNUMBER($G566),$G566,$F566)&gt;=DATE(PlanYear,9,1)),1,0))</f>
        <v>0</v>
      </c>
      <c r="X566">
        <f>IF($N566=0,0,IF(AND($F566&lt;=EOMONTH(DATE(PlanYear,10,1),0),IF(ISNUMBER($G566),$G566,$F566)&gt;=DATE(PlanYear,10,1)),1,0))</f>
        <v>0</v>
      </c>
      <c r="Y566">
        <f>IF($N566=0,0,IF(AND($F566&lt;=EOMONTH(DATE(PlanYear,11,1),0),IF(ISNUMBER($G566),$G566,$F566)&gt;=DATE(PlanYear,11,1)),1,0))</f>
        <v>0</v>
      </c>
      <c r="Z566">
        <f>IF($N566=0,0,IF(AND($F566&lt;=EOMONTH(DATE(PlanYear,12,1),0),IF(ISNUMBER($G566),$G566,$F566)&gt;=DATE(PlanYear,12,1)),1,0))</f>
        <v>0</v>
      </c>
      <c r="AA566">
        <f>SUM($O566:$Z566)</f>
        <v>0</v>
      </c>
    </row>
    <row r="567" spans="1:27">
      <c r="A567" s="42">
        <f>IF($B567="","","ACT-"&amp;TEXT(ROW()-4,"000"))</f>
        <v>0</v>
      </c>
      <c r="M567" s="43">
        <f>IF(COUNTA($B567:$K567)=0,"",IF($B567="","Missing activity name",IF($C567="","Missing practice",IF(COUNTIF(PracticeNames,$C567)=0,"Practice not in Lists",IF($D567="","Missing motion",IF(NOT(ISNUMBER($F567)),"Missing or invalid start date",IF(AND(ISNUMBER($G567),$G567&lt;$F567),"End date before start",IF(AND($N567=1,$AA567=0),"Outside planning year","OK"))))))))</f>
        <v>0</v>
      </c>
      <c r="N567">
        <f>IF(AND($B567&lt;&gt;"",$C567&lt;&gt;"",$D567&lt;&gt;"",ISNUMBER($F567),COUNTIF(PracticeNames,$C567)&gt;0,COUNTIF(MotionNames,$D567)&gt;0,NOT(AND(ISNUMBER($G567),$G567&lt;$F567))),IF(StatusFilter="All (excl. Cancelled)",IF($H567="Cancelled",0,1),IF(StatusFilter="All",1,IF($H567=StatusFilter,1,0))),0)</f>
        <v>0</v>
      </c>
      <c r="O567">
        <f>IF($N567=0,0,IF(AND($F567&lt;=EOMONTH(DATE(PlanYear,1,1),0),IF(ISNUMBER($G567),$G567,$F567)&gt;=DATE(PlanYear,1,1)),1,0))</f>
        <v>0</v>
      </c>
      <c r="P567">
        <f>IF($N567=0,0,IF(AND($F567&lt;=EOMONTH(DATE(PlanYear,2,1),0),IF(ISNUMBER($G567),$G567,$F567)&gt;=DATE(PlanYear,2,1)),1,0))</f>
        <v>0</v>
      </c>
      <c r="Q567">
        <f>IF($N567=0,0,IF(AND($F567&lt;=EOMONTH(DATE(PlanYear,3,1),0),IF(ISNUMBER($G567),$G567,$F567)&gt;=DATE(PlanYear,3,1)),1,0))</f>
        <v>0</v>
      </c>
      <c r="R567">
        <f>IF($N567=0,0,IF(AND($F567&lt;=EOMONTH(DATE(PlanYear,4,1),0),IF(ISNUMBER($G567),$G567,$F567)&gt;=DATE(PlanYear,4,1)),1,0))</f>
        <v>0</v>
      </c>
      <c r="S567">
        <f>IF($N567=0,0,IF(AND($F567&lt;=EOMONTH(DATE(PlanYear,5,1),0),IF(ISNUMBER($G567),$G567,$F567)&gt;=DATE(PlanYear,5,1)),1,0))</f>
        <v>0</v>
      </c>
      <c r="T567">
        <f>IF($N567=0,0,IF(AND($F567&lt;=EOMONTH(DATE(PlanYear,6,1),0),IF(ISNUMBER($G567),$G567,$F567)&gt;=DATE(PlanYear,6,1)),1,0))</f>
        <v>0</v>
      </c>
      <c r="U567">
        <f>IF($N567=0,0,IF(AND($F567&lt;=EOMONTH(DATE(PlanYear,7,1),0),IF(ISNUMBER($G567),$G567,$F567)&gt;=DATE(PlanYear,7,1)),1,0))</f>
        <v>0</v>
      </c>
      <c r="V567">
        <f>IF($N567=0,0,IF(AND($F567&lt;=EOMONTH(DATE(PlanYear,8,1),0),IF(ISNUMBER($G567),$G567,$F567)&gt;=DATE(PlanYear,8,1)),1,0))</f>
        <v>0</v>
      </c>
      <c r="W567">
        <f>IF($N567=0,0,IF(AND($F567&lt;=EOMONTH(DATE(PlanYear,9,1),0),IF(ISNUMBER($G567),$G567,$F567)&gt;=DATE(PlanYear,9,1)),1,0))</f>
        <v>0</v>
      </c>
      <c r="X567">
        <f>IF($N567=0,0,IF(AND($F567&lt;=EOMONTH(DATE(PlanYear,10,1),0),IF(ISNUMBER($G567),$G567,$F567)&gt;=DATE(PlanYear,10,1)),1,0))</f>
        <v>0</v>
      </c>
      <c r="Y567">
        <f>IF($N567=0,0,IF(AND($F567&lt;=EOMONTH(DATE(PlanYear,11,1),0),IF(ISNUMBER($G567),$G567,$F567)&gt;=DATE(PlanYear,11,1)),1,0))</f>
        <v>0</v>
      </c>
      <c r="Z567">
        <f>IF($N567=0,0,IF(AND($F567&lt;=EOMONTH(DATE(PlanYear,12,1),0),IF(ISNUMBER($G567),$G567,$F567)&gt;=DATE(PlanYear,12,1)),1,0))</f>
        <v>0</v>
      </c>
      <c r="AA567">
        <f>SUM($O567:$Z567)</f>
        <v>0</v>
      </c>
    </row>
    <row r="568" spans="1:27">
      <c r="A568" s="42">
        <f>IF($B568="","","ACT-"&amp;TEXT(ROW()-4,"000"))</f>
        <v>0</v>
      </c>
      <c r="M568" s="43">
        <f>IF(COUNTA($B568:$K568)=0,"",IF($B568="","Missing activity name",IF($C568="","Missing practice",IF(COUNTIF(PracticeNames,$C568)=0,"Practice not in Lists",IF($D568="","Missing motion",IF(NOT(ISNUMBER($F568)),"Missing or invalid start date",IF(AND(ISNUMBER($G568),$G568&lt;$F568),"End date before start",IF(AND($N568=1,$AA568=0),"Outside planning year","OK"))))))))</f>
        <v>0</v>
      </c>
      <c r="N568">
        <f>IF(AND($B568&lt;&gt;"",$C568&lt;&gt;"",$D568&lt;&gt;"",ISNUMBER($F568),COUNTIF(PracticeNames,$C568)&gt;0,COUNTIF(MotionNames,$D568)&gt;0,NOT(AND(ISNUMBER($G568),$G568&lt;$F568))),IF(StatusFilter="All (excl. Cancelled)",IF($H568="Cancelled",0,1),IF(StatusFilter="All",1,IF($H568=StatusFilter,1,0))),0)</f>
        <v>0</v>
      </c>
      <c r="O568">
        <f>IF($N568=0,0,IF(AND($F568&lt;=EOMONTH(DATE(PlanYear,1,1),0),IF(ISNUMBER($G568),$G568,$F568)&gt;=DATE(PlanYear,1,1)),1,0))</f>
        <v>0</v>
      </c>
      <c r="P568">
        <f>IF($N568=0,0,IF(AND($F568&lt;=EOMONTH(DATE(PlanYear,2,1),0),IF(ISNUMBER($G568),$G568,$F568)&gt;=DATE(PlanYear,2,1)),1,0))</f>
        <v>0</v>
      </c>
      <c r="Q568">
        <f>IF($N568=0,0,IF(AND($F568&lt;=EOMONTH(DATE(PlanYear,3,1),0),IF(ISNUMBER($G568),$G568,$F568)&gt;=DATE(PlanYear,3,1)),1,0))</f>
        <v>0</v>
      </c>
      <c r="R568">
        <f>IF($N568=0,0,IF(AND($F568&lt;=EOMONTH(DATE(PlanYear,4,1),0),IF(ISNUMBER($G568),$G568,$F568)&gt;=DATE(PlanYear,4,1)),1,0))</f>
        <v>0</v>
      </c>
      <c r="S568">
        <f>IF($N568=0,0,IF(AND($F568&lt;=EOMONTH(DATE(PlanYear,5,1),0),IF(ISNUMBER($G568),$G568,$F568)&gt;=DATE(PlanYear,5,1)),1,0))</f>
        <v>0</v>
      </c>
      <c r="T568">
        <f>IF($N568=0,0,IF(AND($F568&lt;=EOMONTH(DATE(PlanYear,6,1),0),IF(ISNUMBER($G568),$G568,$F568)&gt;=DATE(PlanYear,6,1)),1,0))</f>
        <v>0</v>
      </c>
      <c r="U568">
        <f>IF($N568=0,0,IF(AND($F568&lt;=EOMONTH(DATE(PlanYear,7,1),0),IF(ISNUMBER($G568),$G568,$F568)&gt;=DATE(PlanYear,7,1)),1,0))</f>
        <v>0</v>
      </c>
      <c r="V568">
        <f>IF($N568=0,0,IF(AND($F568&lt;=EOMONTH(DATE(PlanYear,8,1),0),IF(ISNUMBER($G568),$G568,$F568)&gt;=DATE(PlanYear,8,1)),1,0))</f>
        <v>0</v>
      </c>
      <c r="W568">
        <f>IF($N568=0,0,IF(AND($F568&lt;=EOMONTH(DATE(PlanYear,9,1),0),IF(ISNUMBER($G568),$G568,$F568)&gt;=DATE(PlanYear,9,1)),1,0))</f>
        <v>0</v>
      </c>
      <c r="X568">
        <f>IF($N568=0,0,IF(AND($F568&lt;=EOMONTH(DATE(PlanYear,10,1),0),IF(ISNUMBER($G568),$G568,$F568)&gt;=DATE(PlanYear,10,1)),1,0))</f>
        <v>0</v>
      </c>
      <c r="Y568">
        <f>IF($N568=0,0,IF(AND($F568&lt;=EOMONTH(DATE(PlanYear,11,1),0),IF(ISNUMBER($G568),$G568,$F568)&gt;=DATE(PlanYear,11,1)),1,0))</f>
        <v>0</v>
      </c>
      <c r="Z568">
        <f>IF($N568=0,0,IF(AND($F568&lt;=EOMONTH(DATE(PlanYear,12,1),0),IF(ISNUMBER($G568),$G568,$F568)&gt;=DATE(PlanYear,12,1)),1,0))</f>
        <v>0</v>
      </c>
      <c r="AA568">
        <f>SUM($O568:$Z568)</f>
        <v>0</v>
      </c>
    </row>
    <row r="569" spans="1:27">
      <c r="A569" s="42">
        <f>IF($B569="","","ACT-"&amp;TEXT(ROW()-4,"000"))</f>
        <v>0</v>
      </c>
      <c r="M569" s="43">
        <f>IF(COUNTA($B569:$K569)=0,"",IF($B569="","Missing activity name",IF($C569="","Missing practice",IF(COUNTIF(PracticeNames,$C569)=0,"Practice not in Lists",IF($D569="","Missing motion",IF(NOT(ISNUMBER($F569)),"Missing or invalid start date",IF(AND(ISNUMBER($G569),$G569&lt;$F569),"End date before start",IF(AND($N569=1,$AA569=0),"Outside planning year","OK"))))))))</f>
        <v>0</v>
      </c>
      <c r="N569">
        <f>IF(AND($B569&lt;&gt;"",$C569&lt;&gt;"",$D569&lt;&gt;"",ISNUMBER($F569),COUNTIF(PracticeNames,$C569)&gt;0,COUNTIF(MotionNames,$D569)&gt;0,NOT(AND(ISNUMBER($G569),$G569&lt;$F569))),IF(StatusFilter="All (excl. Cancelled)",IF($H569="Cancelled",0,1),IF(StatusFilter="All",1,IF($H569=StatusFilter,1,0))),0)</f>
        <v>0</v>
      </c>
      <c r="O569">
        <f>IF($N569=0,0,IF(AND($F569&lt;=EOMONTH(DATE(PlanYear,1,1),0),IF(ISNUMBER($G569),$G569,$F569)&gt;=DATE(PlanYear,1,1)),1,0))</f>
        <v>0</v>
      </c>
      <c r="P569">
        <f>IF($N569=0,0,IF(AND($F569&lt;=EOMONTH(DATE(PlanYear,2,1),0),IF(ISNUMBER($G569),$G569,$F569)&gt;=DATE(PlanYear,2,1)),1,0))</f>
        <v>0</v>
      </c>
      <c r="Q569">
        <f>IF($N569=0,0,IF(AND($F569&lt;=EOMONTH(DATE(PlanYear,3,1),0),IF(ISNUMBER($G569),$G569,$F569)&gt;=DATE(PlanYear,3,1)),1,0))</f>
        <v>0</v>
      </c>
      <c r="R569">
        <f>IF($N569=0,0,IF(AND($F569&lt;=EOMONTH(DATE(PlanYear,4,1),0),IF(ISNUMBER($G569),$G569,$F569)&gt;=DATE(PlanYear,4,1)),1,0))</f>
        <v>0</v>
      </c>
      <c r="S569">
        <f>IF($N569=0,0,IF(AND($F569&lt;=EOMONTH(DATE(PlanYear,5,1),0),IF(ISNUMBER($G569),$G569,$F569)&gt;=DATE(PlanYear,5,1)),1,0))</f>
        <v>0</v>
      </c>
      <c r="T569">
        <f>IF($N569=0,0,IF(AND($F569&lt;=EOMONTH(DATE(PlanYear,6,1),0),IF(ISNUMBER($G569),$G569,$F569)&gt;=DATE(PlanYear,6,1)),1,0))</f>
        <v>0</v>
      </c>
      <c r="U569">
        <f>IF($N569=0,0,IF(AND($F569&lt;=EOMONTH(DATE(PlanYear,7,1),0),IF(ISNUMBER($G569),$G569,$F569)&gt;=DATE(PlanYear,7,1)),1,0))</f>
        <v>0</v>
      </c>
      <c r="V569">
        <f>IF($N569=0,0,IF(AND($F569&lt;=EOMONTH(DATE(PlanYear,8,1),0),IF(ISNUMBER($G569),$G569,$F569)&gt;=DATE(PlanYear,8,1)),1,0))</f>
        <v>0</v>
      </c>
      <c r="W569">
        <f>IF($N569=0,0,IF(AND($F569&lt;=EOMONTH(DATE(PlanYear,9,1),0),IF(ISNUMBER($G569),$G569,$F569)&gt;=DATE(PlanYear,9,1)),1,0))</f>
        <v>0</v>
      </c>
      <c r="X569">
        <f>IF($N569=0,0,IF(AND($F569&lt;=EOMONTH(DATE(PlanYear,10,1),0),IF(ISNUMBER($G569),$G569,$F569)&gt;=DATE(PlanYear,10,1)),1,0))</f>
        <v>0</v>
      </c>
      <c r="Y569">
        <f>IF($N569=0,0,IF(AND($F569&lt;=EOMONTH(DATE(PlanYear,11,1),0),IF(ISNUMBER($G569),$G569,$F569)&gt;=DATE(PlanYear,11,1)),1,0))</f>
        <v>0</v>
      </c>
      <c r="Z569">
        <f>IF($N569=0,0,IF(AND($F569&lt;=EOMONTH(DATE(PlanYear,12,1),0),IF(ISNUMBER($G569),$G569,$F569)&gt;=DATE(PlanYear,12,1)),1,0))</f>
        <v>0</v>
      </c>
      <c r="AA569">
        <f>SUM($O569:$Z569)</f>
        <v>0</v>
      </c>
    </row>
    <row r="570" spans="1:27">
      <c r="A570" s="42">
        <f>IF($B570="","","ACT-"&amp;TEXT(ROW()-4,"000"))</f>
        <v>0</v>
      </c>
      <c r="M570" s="43">
        <f>IF(COUNTA($B570:$K570)=0,"",IF($B570="","Missing activity name",IF($C570="","Missing practice",IF(COUNTIF(PracticeNames,$C570)=0,"Practice not in Lists",IF($D570="","Missing motion",IF(NOT(ISNUMBER($F570)),"Missing or invalid start date",IF(AND(ISNUMBER($G570),$G570&lt;$F570),"End date before start",IF(AND($N570=1,$AA570=0),"Outside planning year","OK"))))))))</f>
        <v>0</v>
      </c>
      <c r="N570">
        <f>IF(AND($B570&lt;&gt;"",$C570&lt;&gt;"",$D570&lt;&gt;"",ISNUMBER($F570),COUNTIF(PracticeNames,$C570)&gt;0,COUNTIF(MotionNames,$D570)&gt;0,NOT(AND(ISNUMBER($G570),$G570&lt;$F570))),IF(StatusFilter="All (excl. Cancelled)",IF($H570="Cancelled",0,1),IF(StatusFilter="All",1,IF($H570=StatusFilter,1,0))),0)</f>
        <v>0</v>
      </c>
      <c r="O570">
        <f>IF($N570=0,0,IF(AND($F570&lt;=EOMONTH(DATE(PlanYear,1,1),0),IF(ISNUMBER($G570),$G570,$F570)&gt;=DATE(PlanYear,1,1)),1,0))</f>
        <v>0</v>
      </c>
      <c r="P570">
        <f>IF($N570=0,0,IF(AND($F570&lt;=EOMONTH(DATE(PlanYear,2,1),0),IF(ISNUMBER($G570),$G570,$F570)&gt;=DATE(PlanYear,2,1)),1,0))</f>
        <v>0</v>
      </c>
      <c r="Q570">
        <f>IF($N570=0,0,IF(AND($F570&lt;=EOMONTH(DATE(PlanYear,3,1),0),IF(ISNUMBER($G570),$G570,$F570)&gt;=DATE(PlanYear,3,1)),1,0))</f>
        <v>0</v>
      </c>
      <c r="R570">
        <f>IF($N570=0,0,IF(AND($F570&lt;=EOMONTH(DATE(PlanYear,4,1),0),IF(ISNUMBER($G570),$G570,$F570)&gt;=DATE(PlanYear,4,1)),1,0))</f>
        <v>0</v>
      </c>
      <c r="S570">
        <f>IF($N570=0,0,IF(AND($F570&lt;=EOMONTH(DATE(PlanYear,5,1),0),IF(ISNUMBER($G570),$G570,$F570)&gt;=DATE(PlanYear,5,1)),1,0))</f>
        <v>0</v>
      </c>
      <c r="T570">
        <f>IF($N570=0,0,IF(AND($F570&lt;=EOMONTH(DATE(PlanYear,6,1),0),IF(ISNUMBER($G570),$G570,$F570)&gt;=DATE(PlanYear,6,1)),1,0))</f>
        <v>0</v>
      </c>
      <c r="U570">
        <f>IF($N570=0,0,IF(AND($F570&lt;=EOMONTH(DATE(PlanYear,7,1),0),IF(ISNUMBER($G570),$G570,$F570)&gt;=DATE(PlanYear,7,1)),1,0))</f>
        <v>0</v>
      </c>
      <c r="V570">
        <f>IF($N570=0,0,IF(AND($F570&lt;=EOMONTH(DATE(PlanYear,8,1),0),IF(ISNUMBER($G570),$G570,$F570)&gt;=DATE(PlanYear,8,1)),1,0))</f>
        <v>0</v>
      </c>
      <c r="W570">
        <f>IF($N570=0,0,IF(AND($F570&lt;=EOMONTH(DATE(PlanYear,9,1),0),IF(ISNUMBER($G570),$G570,$F570)&gt;=DATE(PlanYear,9,1)),1,0))</f>
        <v>0</v>
      </c>
      <c r="X570">
        <f>IF($N570=0,0,IF(AND($F570&lt;=EOMONTH(DATE(PlanYear,10,1),0),IF(ISNUMBER($G570),$G570,$F570)&gt;=DATE(PlanYear,10,1)),1,0))</f>
        <v>0</v>
      </c>
      <c r="Y570">
        <f>IF($N570=0,0,IF(AND($F570&lt;=EOMONTH(DATE(PlanYear,11,1),0),IF(ISNUMBER($G570),$G570,$F570)&gt;=DATE(PlanYear,11,1)),1,0))</f>
        <v>0</v>
      </c>
      <c r="Z570">
        <f>IF($N570=0,0,IF(AND($F570&lt;=EOMONTH(DATE(PlanYear,12,1),0),IF(ISNUMBER($G570),$G570,$F570)&gt;=DATE(PlanYear,12,1)),1,0))</f>
        <v>0</v>
      </c>
      <c r="AA570">
        <f>SUM($O570:$Z570)</f>
        <v>0</v>
      </c>
    </row>
    <row r="571" spans="1:27">
      <c r="A571" s="42">
        <f>IF($B571="","","ACT-"&amp;TEXT(ROW()-4,"000"))</f>
        <v>0</v>
      </c>
      <c r="M571" s="43">
        <f>IF(COUNTA($B571:$K571)=0,"",IF($B571="","Missing activity name",IF($C571="","Missing practice",IF(COUNTIF(PracticeNames,$C571)=0,"Practice not in Lists",IF($D571="","Missing motion",IF(NOT(ISNUMBER($F571)),"Missing or invalid start date",IF(AND(ISNUMBER($G571),$G571&lt;$F571),"End date before start",IF(AND($N571=1,$AA571=0),"Outside planning year","OK"))))))))</f>
        <v>0</v>
      </c>
      <c r="N571">
        <f>IF(AND($B571&lt;&gt;"",$C571&lt;&gt;"",$D571&lt;&gt;"",ISNUMBER($F571),COUNTIF(PracticeNames,$C571)&gt;0,COUNTIF(MotionNames,$D571)&gt;0,NOT(AND(ISNUMBER($G571),$G571&lt;$F571))),IF(StatusFilter="All (excl. Cancelled)",IF($H571="Cancelled",0,1),IF(StatusFilter="All",1,IF($H571=StatusFilter,1,0))),0)</f>
        <v>0</v>
      </c>
      <c r="O571">
        <f>IF($N571=0,0,IF(AND($F571&lt;=EOMONTH(DATE(PlanYear,1,1),0),IF(ISNUMBER($G571),$G571,$F571)&gt;=DATE(PlanYear,1,1)),1,0))</f>
        <v>0</v>
      </c>
      <c r="P571">
        <f>IF($N571=0,0,IF(AND($F571&lt;=EOMONTH(DATE(PlanYear,2,1),0),IF(ISNUMBER($G571),$G571,$F571)&gt;=DATE(PlanYear,2,1)),1,0))</f>
        <v>0</v>
      </c>
      <c r="Q571">
        <f>IF($N571=0,0,IF(AND($F571&lt;=EOMONTH(DATE(PlanYear,3,1),0),IF(ISNUMBER($G571),$G571,$F571)&gt;=DATE(PlanYear,3,1)),1,0))</f>
        <v>0</v>
      </c>
      <c r="R571">
        <f>IF($N571=0,0,IF(AND($F571&lt;=EOMONTH(DATE(PlanYear,4,1),0),IF(ISNUMBER($G571),$G571,$F571)&gt;=DATE(PlanYear,4,1)),1,0))</f>
        <v>0</v>
      </c>
      <c r="S571">
        <f>IF($N571=0,0,IF(AND($F571&lt;=EOMONTH(DATE(PlanYear,5,1),0),IF(ISNUMBER($G571),$G571,$F571)&gt;=DATE(PlanYear,5,1)),1,0))</f>
        <v>0</v>
      </c>
      <c r="T571">
        <f>IF($N571=0,0,IF(AND($F571&lt;=EOMONTH(DATE(PlanYear,6,1),0),IF(ISNUMBER($G571),$G571,$F571)&gt;=DATE(PlanYear,6,1)),1,0))</f>
        <v>0</v>
      </c>
      <c r="U571">
        <f>IF($N571=0,0,IF(AND($F571&lt;=EOMONTH(DATE(PlanYear,7,1),0),IF(ISNUMBER($G571),$G571,$F571)&gt;=DATE(PlanYear,7,1)),1,0))</f>
        <v>0</v>
      </c>
      <c r="V571">
        <f>IF($N571=0,0,IF(AND($F571&lt;=EOMONTH(DATE(PlanYear,8,1),0),IF(ISNUMBER($G571),$G571,$F571)&gt;=DATE(PlanYear,8,1)),1,0))</f>
        <v>0</v>
      </c>
      <c r="W571">
        <f>IF($N571=0,0,IF(AND($F571&lt;=EOMONTH(DATE(PlanYear,9,1),0),IF(ISNUMBER($G571),$G571,$F571)&gt;=DATE(PlanYear,9,1)),1,0))</f>
        <v>0</v>
      </c>
      <c r="X571">
        <f>IF($N571=0,0,IF(AND($F571&lt;=EOMONTH(DATE(PlanYear,10,1),0),IF(ISNUMBER($G571),$G571,$F571)&gt;=DATE(PlanYear,10,1)),1,0))</f>
        <v>0</v>
      </c>
      <c r="Y571">
        <f>IF($N571=0,0,IF(AND($F571&lt;=EOMONTH(DATE(PlanYear,11,1),0),IF(ISNUMBER($G571),$G571,$F571)&gt;=DATE(PlanYear,11,1)),1,0))</f>
        <v>0</v>
      </c>
      <c r="Z571">
        <f>IF($N571=0,0,IF(AND($F571&lt;=EOMONTH(DATE(PlanYear,12,1),0),IF(ISNUMBER($G571),$G571,$F571)&gt;=DATE(PlanYear,12,1)),1,0))</f>
        <v>0</v>
      </c>
      <c r="AA571">
        <f>SUM($O571:$Z571)</f>
        <v>0</v>
      </c>
    </row>
    <row r="572" spans="1:27">
      <c r="A572" s="42">
        <f>IF($B572="","","ACT-"&amp;TEXT(ROW()-4,"000"))</f>
        <v>0</v>
      </c>
      <c r="M572" s="43">
        <f>IF(COUNTA($B572:$K572)=0,"",IF($B572="","Missing activity name",IF($C572="","Missing practice",IF(COUNTIF(PracticeNames,$C572)=0,"Practice not in Lists",IF($D572="","Missing motion",IF(NOT(ISNUMBER($F572)),"Missing or invalid start date",IF(AND(ISNUMBER($G572),$G572&lt;$F572),"End date before start",IF(AND($N572=1,$AA572=0),"Outside planning year","OK"))))))))</f>
        <v>0</v>
      </c>
      <c r="N572">
        <f>IF(AND($B572&lt;&gt;"",$C572&lt;&gt;"",$D572&lt;&gt;"",ISNUMBER($F572),COUNTIF(PracticeNames,$C572)&gt;0,COUNTIF(MotionNames,$D572)&gt;0,NOT(AND(ISNUMBER($G572),$G572&lt;$F572))),IF(StatusFilter="All (excl. Cancelled)",IF($H572="Cancelled",0,1),IF(StatusFilter="All",1,IF($H572=StatusFilter,1,0))),0)</f>
        <v>0</v>
      </c>
      <c r="O572">
        <f>IF($N572=0,0,IF(AND($F572&lt;=EOMONTH(DATE(PlanYear,1,1),0),IF(ISNUMBER($G572),$G572,$F572)&gt;=DATE(PlanYear,1,1)),1,0))</f>
        <v>0</v>
      </c>
      <c r="P572">
        <f>IF($N572=0,0,IF(AND($F572&lt;=EOMONTH(DATE(PlanYear,2,1),0),IF(ISNUMBER($G572),$G572,$F572)&gt;=DATE(PlanYear,2,1)),1,0))</f>
        <v>0</v>
      </c>
      <c r="Q572">
        <f>IF($N572=0,0,IF(AND($F572&lt;=EOMONTH(DATE(PlanYear,3,1),0),IF(ISNUMBER($G572),$G572,$F572)&gt;=DATE(PlanYear,3,1)),1,0))</f>
        <v>0</v>
      </c>
      <c r="R572">
        <f>IF($N572=0,0,IF(AND($F572&lt;=EOMONTH(DATE(PlanYear,4,1),0),IF(ISNUMBER($G572),$G572,$F572)&gt;=DATE(PlanYear,4,1)),1,0))</f>
        <v>0</v>
      </c>
      <c r="S572">
        <f>IF($N572=0,0,IF(AND($F572&lt;=EOMONTH(DATE(PlanYear,5,1),0),IF(ISNUMBER($G572),$G572,$F572)&gt;=DATE(PlanYear,5,1)),1,0))</f>
        <v>0</v>
      </c>
      <c r="T572">
        <f>IF($N572=0,0,IF(AND($F572&lt;=EOMONTH(DATE(PlanYear,6,1),0),IF(ISNUMBER($G572),$G572,$F572)&gt;=DATE(PlanYear,6,1)),1,0))</f>
        <v>0</v>
      </c>
      <c r="U572">
        <f>IF($N572=0,0,IF(AND($F572&lt;=EOMONTH(DATE(PlanYear,7,1),0),IF(ISNUMBER($G572),$G572,$F572)&gt;=DATE(PlanYear,7,1)),1,0))</f>
        <v>0</v>
      </c>
      <c r="V572">
        <f>IF($N572=0,0,IF(AND($F572&lt;=EOMONTH(DATE(PlanYear,8,1),0),IF(ISNUMBER($G572),$G572,$F572)&gt;=DATE(PlanYear,8,1)),1,0))</f>
        <v>0</v>
      </c>
      <c r="W572">
        <f>IF($N572=0,0,IF(AND($F572&lt;=EOMONTH(DATE(PlanYear,9,1),0),IF(ISNUMBER($G572),$G572,$F572)&gt;=DATE(PlanYear,9,1)),1,0))</f>
        <v>0</v>
      </c>
      <c r="X572">
        <f>IF($N572=0,0,IF(AND($F572&lt;=EOMONTH(DATE(PlanYear,10,1),0),IF(ISNUMBER($G572),$G572,$F572)&gt;=DATE(PlanYear,10,1)),1,0))</f>
        <v>0</v>
      </c>
      <c r="Y572">
        <f>IF($N572=0,0,IF(AND($F572&lt;=EOMONTH(DATE(PlanYear,11,1),0),IF(ISNUMBER($G572),$G572,$F572)&gt;=DATE(PlanYear,11,1)),1,0))</f>
        <v>0</v>
      </c>
      <c r="Z572">
        <f>IF($N572=0,0,IF(AND($F572&lt;=EOMONTH(DATE(PlanYear,12,1),0),IF(ISNUMBER($G572),$G572,$F572)&gt;=DATE(PlanYear,12,1)),1,0))</f>
        <v>0</v>
      </c>
      <c r="AA572">
        <f>SUM($O572:$Z572)</f>
        <v>0</v>
      </c>
    </row>
    <row r="573" spans="1:27">
      <c r="A573" s="42">
        <f>IF($B573="","","ACT-"&amp;TEXT(ROW()-4,"000"))</f>
        <v>0</v>
      </c>
      <c r="M573" s="43">
        <f>IF(COUNTA($B573:$K573)=0,"",IF($B573="","Missing activity name",IF($C573="","Missing practice",IF(COUNTIF(PracticeNames,$C573)=0,"Practice not in Lists",IF($D573="","Missing motion",IF(NOT(ISNUMBER($F573)),"Missing or invalid start date",IF(AND(ISNUMBER($G573),$G573&lt;$F573),"End date before start",IF(AND($N573=1,$AA573=0),"Outside planning year","OK"))))))))</f>
        <v>0</v>
      </c>
      <c r="N573">
        <f>IF(AND($B573&lt;&gt;"",$C573&lt;&gt;"",$D573&lt;&gt;"",ISNUMBER($F573),COUNTIF(PracticeNames,$C573)&gt;0,COUNTIF(MotionNames,$D573)&gt;0,NOT(AND(ISNUMBER($G573),$G573&lt;$F573))),IF(StatusFilter="All (excl. Cancelled)",IF($H573="Cancelled",0,1),IF(StatusFilter="All",1,IF($H573=StatusFilter,1,0))),0)</f>
        <v>0</v>
      </c>
      <c r="O573">
        <f>IF($N573=0,0,IF(AND($F573&lt;=EOMONTH(DATE(PlanYear,1,1),0),IF(ISNUMBER($G573),$G573,$F573)&gt;=DATE(PlanYear,1,1)),1,0))</f>
        <v>0</v>
      </c>
      <c r="P573">
        <f>IF($N573=0,0,IF(AND($F573&lt;=EOMONTH(DATE(PlanYear,2,1),0),IF(ISNUMBER($G573),$G573,$F573)&gt;=DATE(PlanYear,2,1)),1,0))</f>
        <v>0</v>
      </c>
      <c r="Q573">
        <f>IF($N573=0,0,IF(AND($F573&lt;=EOMONTH(DATE(PlanYear,3,1),0),IF(ISNUMBER($G573),$G573,$F573)&gt;=DATE(PlanYear,3,1)),1,0))</f>
        <v>0</v>
      </c>
      <c r="R573">
        <f>IF($N573=0,0,IF(AND($F573&lt;=EOMONTH(DATE(PlanYear,4,1),0),IF(ISNUMBER($G573),$G573,$F573)&gt;=DATE(PlanYear,4,1)),1,0))</f>
        <v>0</v>
      </c>
      <c r="S573">
        <f>IF($N573=0,0,IF(AND($F573&lt;=EOMONTH(DATE(PlanYear,5,1),0),IF(ISNUMBER($G573),$G573,$F573)&gt;=DATE(PlanYear,5,1)),1,0))</f>
        <v>0</v>
      </c>
      <c r="T573">
        <f>IF($N573=0,0,IF(AND($F573&lt;=EOMONTH(DATE(PlanYear,6,1),0),IF(ISNUMBER($G573),$G573,$F573)&gt;=DATE(PlanYear,6,1)),1,0))</f>
        <v>0</v>
      </c>
      <c r="U573">
        <f>IF($N573=0,0,IF(AND($F573&lt;=EOMONTH(DATE(PlanYear,7,1),0),IF(ISNUMBER($G573),$G573,$F573)&gt;=DATE(PlanYear,7,1)),1,0))</f>
        <v>0</v>
      </c>
      <c r="V573">
        <f>IF($N573=0,0,IF(AND($F573&lt;=EOMONTH(DATE(PlanYear,8,1),0),IF(ISNUMBER($G573),$G573,$F573)&gt;=DATE(PlanYear,8,1)),1,0))</f>
        <v>0</v>
      </c>
      <c r="W573">
        <f>IF($N573=0,0,IF(AND($F573&lt;=EOMONTH(DATE(PlanYear,9,1),0),IF(ISNUMBER($G573),$G573,$F573)&gt;=DATE(PlanYear,9,1)),1,0))</f>
        <v>0</v>
      </c>
      <c r="X573">
        <f>IF($N573=0,0,IF(AND($F573&lt;=EOMONTH(DATE(PlanYear,10,1),0),IF(ISNUMBER($G573),$G573,$F573)&gt;=DATE(PlanYear,10,1)),1,0))</f>
        <v>0</v>
      </c>
      <c r="Y573">
        <f>IF($N573=0,0,IF(AND($F573&lt;=EOMONTH(DATE(PlanYear,11,1),0),IF(ISNUMBER($G573),$G573,$F573)&gt;=DATE(PlanYear,11,1)),1,0))</f>
        <v>0</v>
      </c>
      <c r="Z573">
        <f>IF($N573=0,0,IF(AND($F573&lt;=EOMONTH(DATE(PlanYear,12,1),0),IF(ISNUMBER($G573),$G573,$F573)&gt;=DATE(PlanYear,12,1)),1,0))</f>
        <v>0</v>
      </c>
      <c r="AA573">
        <f>SUM($O573:$Z573)</f>
        <v>0</v>
      </c>
    </row>
    <row r="574" spans="1:27">
      <c r="A574" s="42">
        <f>IF($B574="","","ACT-"&amp;TEXT(ROW()-4,"000"))</f>
        <v>0</v>
      </c>
      <c r="M574" s="43">
        <f>IF(COUNTA($B574:$K574)=0,"",IF($B574="","Missing activity name",IF($C574="","Missing practice",IF(COUNTIF(PracticeNames,$C574)=0,"Practice not in Lists",IF($D574="","Missing motion",IF(NOT(ISNUMBER($F574)),"Missing or invalid start date",IF(AND(ISNUMBER($G574),$G574&lt;$F574),"End date before start",IF(AND($N574=1,$AA574=0),"Outside planning year","OK"))))))))</f>
        <v>0</v>
      </c>
      <c r="N574">
        <f>IF(AND($B574&lt;&gt;"",$C574&lt;&gt;"",$D574&lt;&gt;"",ISNUMBER($F574),COUNTIF(PracticeNames,$C574)&gt;0,COUNTIF(MotionNames,$D574)&gt;0,NOT(AND(ISNUMBER($G574),$G574&lt;$F574))),IF(StatusFilter="All (excl. Cancelled)",IF($H574="Cancelled",0,1),IF(StatusFilter="All",1,IF($H574=StatusFilter,1,0))),0)</f>
        <v>0</v>
      </c>
      <c r="O574">
        <f>IF($N574=0,0,IF(AND($F574&lt;=EOMONTH(DATE(PlanYear,1,1),0),IF(ISNUMBER($G574),$G574,$F574)&gt;=DATE(PlanYear,1,1)),1,0))</f>
        <v>0</v>
      </c>
      <c r="P574">
        <f>IF($N574=0,0,IF(AND($F574&lt;=EOMONTH(DATE(PlanYear,2,1),0),IF(ISNUMBER($G574),$G574,$F574)&gt;=DATE(PlanYear,2,1)),1,0))</f>
        <v>0</v>
      </c>
      <c r="Q574">
        <f>IF($N574=0,0,IF(AND($F574&lt;=EOMONTH(DATE(PlanYear,3,1),0),IF(ISNUMBER($G574),$G574,$F574)&gt;=DATE(PlanYear,3,1)),1,0))</f>
        <v>0</v>
      </c>
      <c r="R574">
        <f>IF($N574=0,0,IF(AND($F574&lt;=EOMONTH(DATE(PlanYear,4,1),0),IF(ISNUMBER($G574),$G574,$F574)&gt;=DATE(PlanYear,4,1)),1,0))</f>
        <v>0</v>
      </c>
      <c r="S574">
        <f>IF($N574=0,0,IF(AND($F574&lt;=EOMONTH(DATE(PlanYear,5,1),0),IF(ISNUMBER($G574),$G574,$F574)&gt;=DATE(PlanYear,5,1)),1,0))</f>
        <v>0</v>
      </c>
      <c r="T574">
        <f>IF($N574=0,0,IF(AND($F574&lt;=EOMONTH(DATE(PlanYear,6,1),0),IF(ISNUMBER($G574),$G574,$F574)&gt;=DATE(PlanYear,6,1)),1,0))</f>
        <v>0</v>
      </c>
      <c r="U574">
        <f>IF($N574=0,0,IF(AND($F574&lt;=EOMONTH(DATE(PlanYear,7,1),0),IF(ISNUMBER($G574),$G574,$F574)&gt;=DATE(PlanYear,7,1)),1,0))</f>
        <v>0</v>
      </c>
      <c r="V574">
        <f>IF($N574=0,0,IF(AND($F574&lt;=EOMONTH(DATE(PlanYear,8,1),0),IF(ISNUMBER($G574),$G574,$F574)&gt;=DATE(PlanYear,8,1)),1,0))</f>
        <v>0</v>
      </c>
      <c r="W574">
        <f>IF($N574=0,0,IF(AND($F574&lt;=EOMONTH(DATE(PlanYear,9,1),0),IF(ISNUMBER($G574),$G574,$F574)&gt;=DATE(PlanYear,9,1)),1,0))</f>
        <v>0</v>
      </c>
      <c r="X574">
        <f>IF($N574=0,0,IF(AND($F574&lt;=EOMONTH(DATE(PlanYear,10,1),0),IF(ISNUMBER($G574),$G574,$F574)&gt;=DATE(PlanYear,10,1)),1,0))</f>
        <v>0</v>
      </c>
      <c r="Y574">
        <f>IF($N574=0,0,IF(AND($F574&lt;=EOMONTH(DATE(PlanYear,11,1),0),IF(ISNUMBER($G574),$G574,$F574)&gt;=DATE(PlanYear,11,1)),1,0))</f>
        <v>0</v>
      </c>
      <c r="Z574">
        <f>IF($N574=0,0,IF(AND($F574&lt;=EOMONTH(DATE(PlanYear,12,1),0),IF(ISNUMBER($G574),$G574,$F574)&gt;=DATE(PlanYear,12,1)),1,0))</f>
        <v>0</v>
      </c>
      <c r="AA574">
        <f>SUM($O574:$Z574)</f>
        <v>0</v>
      </c>
    </row>
    <row r="575" spans="1:27">
      <c r="A575" s="42">
        <f>IF($B575="","","ACT-"&amp;TEXT(ROW()-4,"000"))</f>
        <v>0</v>
      </c>
      <c r="M575" s="43">
        <f>IF(COUNTA($B575:$K575)=0,"",IF($B575="","Missing activity name",IF($C575="","Missing practice",IF(COUNTIF(PracticeNames,$C575)=0,"Practice not in Lists",IF($D575="","Missing motion",IF(NOT(ISNUMBER($F575)),"Missing or invalid start date",IF(AND(ISNUMBER($G575),$G575&lt;$F575),"End date before start",IF(AND($N575=1,$AA575=0),"Outside planning year","OK"))))))))</f>
        <v>0</v>
      </c>
      <c r="N575">
        <f>IF(AND($B575&lt;&gt;"",$C575&lt;&gt;"",$D575&lt;&gt;"",ISNUMBER($F575),COUNTIF(PracticeNames,$C575)&gt;0,COUNTIF(MotionNames,$D575)&gt;0,NOT(AND(ISNUMBER($G575),$G575&lt;$F575))),IF(StatusFilter="All (excl. Cancelled)",IF($H575="Cancelled",0,1),IF(StatusFilter="All",1,IF($H575=StatusFilter,1,0))),0)</f>
        <v>0</v>
      </c>
      <c r="O575">
        <f>IF($N575=0,0,IF(AND($F575&lt;=EOMONTH(DATE(PlanYear,1,1),0),IF(ISNUMBER($G575),$G575,$F575)&gt;=DATE(PlanYear,1,1)),1,0))</f>
        <v>0</v>
      </c>
      <c r="P575">
        <f>IF($N575=0,0,IF(AND($F575&lt;=EOMONTH(DATE(PlanYear,2,1),0),IF(ISNUMBER($G575),$G575,$F575)&gt;=DATE(PlanYear,2,1)),1,0))</f>
        <v>0</v>
      </c>
      <c r="Q575">
        <f>IF($N575=0,0,IF(AND($F575&lt;=EOMONTH(DATE(PlanYear,3,1),0),IF(ISNUMBER($G575),$G575,$F575)&gt;=DATE(PlanYear,3,1)),1,0))</f>
        <v>0</v>
      </c>
      <c r="R575">
        <f>IF($N575=0,0,IF(AND($F575&lt;=EOMONTH(DATE(PlanYear,4,1),0),IF(ISNUMBER($G575),$G575,$F575)&gt;=DATE(PlanYear,4,1)),1,0))</f>
        <v>0</v>
      </c>
      <c r="S575">
        <f>IF($N575=0,0,IF(AND($F575&lt;=EOMONTH(DATE(PlanYear,5,1),0),IF(ISNUMBER($G575),$G575,$F575)&gt;=DATE(PlanYear,5,1)),1,0))</f>
        <v>0</v>
      </c>
      <c r="T575">
        <f>IF($N575=0,0,IF(AND($F575&lt;=EOMONTH(DATE(PlanYear,6,1),0),IF(ISNUMBER($G575),$G575,$F575)&gt;=DATE(PlanYear,6,1)),1,0))</f>
        <v>0</v>
      </c>
      <c r="U575">
        <f>IF($N575=0,0,IF(AND($F575&lt;=EOMONTH(DATE(PlanYear,7,1),0),IF(ISNUMBER($G575),$G575,$F575)&gt;=DATE(PlanYear,7,1)),1,0))</f>
        <v>0</v>
      </c>
      <c r="V575">
        <f>IF($N575=0,0,IF(AND($F575&lt;=EOMONTH(DATE(PlanYear,8,1),0),IF(ISNUMBER($G575),$G575,$F575)&gt;=DATE(PlanYear,8,1)),1,0))</f>
        <v>0</v>
      </c>
      <c r="W575">
        <f>IF($N575=0,0,IF(AND($F575&lt;=EOMONTH(DATE(PlanYear,9,1),0),IF(ISNUMBER($G575),$G575,$F575)&gt;=DATE(PlanYear,9,1)),1,0))</f>
        <v>0</v>
      </c>
      <c r="X575">
        <f>IF($N575=0,0,IF(AND($F575&lt;=EOMONTH(DATE(PlanYear,10,1),0),IF(ISNUMBER($G575),$G575,$F575)&gt;=DATE(PlanYear,10,1)),1,0))</f>
        <v>0</v>
      </c>
      <c r="Y575">
        <f>IF($N575=0,0,IF(AND($F575&lt;=EOMONTH(DATE(PlanYear,11,1),0),IF(ISNUMBER($G575),$G575,$F575)&gt;=DATE(PlanYear,11,1)),1,0))</f>
        <v>0</v>
      </c>
      <c r="Z575">
        <f>IF($N575=0,0,IF(AND($F575&lt;=EOMONTH(DATE(PlanYear,12,1),0),IF(ISNUMBER($G575),$G575,$F575)&gt;=DATE(PlanYear,12,1)),1,0))</f>
        <v>0</v>
      </c>
      <c r="AA575">
        <f>SUM($O575:$Z575)</f>
        <v>0</v>
      </c>
    </row>
    <row r="576" spans="1:27">
      <c r="A576" s="42">
        <f>IF($B576="","","ACT-"&amp;TEXT(ROW()-4,"000"))</f>
        <v>0</v>
      </c>
      <c r="M576" s="43">
        <f>IF(COUNTA($B576:$K576)=0,"",IF($B576="","Missing activity name",IF($C576="","Missing practice",IF(COUNTIF(PracticeNames,$C576)=0,"Practice not in Lists",IF($D576="","Missing motion",IF(NOT(ISNUMBER($F576)),"Missing or invalid start date",IF(AND(ISNUMBER($G576),$G576&lt;$F576),"End date before start",IF(AND($N576=1,$AA576=0),"Outside planning year","OK"))))))))</f>
        <v>0</v>
      </c>
      <c r="N576">
        <f>IF(AND($B576&lt;&gt;"",$C576&lt;&gt;"",$D576&lt;&gt;"",ISNUMBER($F576),COUNTIF(PracticeNames,$C576)&gt;0,COUNTIF(MotionNames,$D576)&gt;0,NOT(AND(ISNUMBER($G576),$G576&lt;$F576))),IF(StatusFilter="All (excl. Cancelled)",IF($H576="Cancelled",0,1),IF(StatusFilter="All",1,IF($H576=StatusFilter,1,0))),0)</f>
        <v>0</v>
      </c>
      <c r="O576">
        <f>IF($N576=0,0,IF(AND($F576&lt;=EOMONTH(DATE(PlanYear,1,1),0),IF(ISNUMBER($G576),$G576,$F576)&gt;=DATE(PlanYear,1,1)),1,0))</f>
        <v>0</v>
      </c>
      <c r="P576">
        <f>IF($N576=0,0,IF(AND($F576&lt;=EOMONTH(DATE(PlanYear,2,1),0),IF(ISNUMBER($G576),$G576,$F576)&gt;=DATE(PlanYear,2,1)),1,0))</f>
        <v>0</v>
      </c>
      <c r="Q576">
        <f>IF($N576=0,0,IF(AND($F576&lt;=EOMONTH(DATE(PlanYear,3,1),0),IF(ISNUMBER($G576),$G576,$F576)&gt;=DATE(PlanYear,3,1)),1,0))</f>
        <v>0</v>
      </c>
      <c r="R576">
        <f>IF($N576=0,0,IF(AND($F576&lt;=EOMONTH(DATE(PlanYear,4,1),0),IF(ISNUMBER($G576),$G576,$F576)&gt;=DATE(PlanYear,4,1)),1,0))</f>
        <v>0</v>
      </c>
      <c r="S576">
        <f>IF($N576=0,0,IF(AND($F576&lt;=EOMONTH(DATE(PlanYear,5,1),0),IF(ISNUMBER($G576),$G576,$F576)&gt;=DATE(PlanYear,5,1)),1,0))</f>
        <v>0</v>
      </c>
      <c r="T576">
        <f>IF($N576=0,0,IF(AND($F576&lt;=EOMONTH(DATE(PlanYear,6,1),0),IF(ISNUMBER($G576),$G576,$F576)&gt;=DATE(PlanYear,6,1)),1,0))</f>
        <v>0</v>
      </c>
      <c r="U576">
        <f>IF($N576=0,0,IF(AND($F576&lt;=EOMONTH(DATE(PlanYear,7,1),0),IF(ISNUMBER($G576),$G576,$F576)&gt;=DATE(PlanYear,7,1)),1,0))</f>
        <v>0</v>
      </c>
      <c r="V576">
        <f>IF($N576=0,0,IF(AND($F576&lt;=EOMONTH(DATE(PlanYear,8,1),0),IF(ISNUMBER($G576),$G576,$F576)&gt;=DATE(PlanYear,8,1)),1,0))</f>
        <v>0</v>
      </c>
      <c r="W576">
        <f>IF($N576=0,0,IF(AND($F576&lt;=EOMONTH(DATE(PlanYear,9,1),0),IF(ISNUMBER($G576),$G576,$F576)&gt;=DATE(PlanYear,9,1)),1,0))</f>
        <v>0</v>
      </c>
      <c r="X576">
        <f>IF($N576=0,0,IF(AND($F576&lt;=EOMONTH(DATE(PlanYear,10,1),0),IF(ISNUMBER($G576),$G576,$F576)&gt;=DATE(PlanYear,10,1)),1,0))</f>
        <v>0</v>
      </c>
      <c r="Y576">
        <f>IF($N576=0,0,IF(AND($F576&lt;=EOMONTH(DATE(PlanYear,11,1),0),IF(ISNUMBER($G576),$G576,$F576)&gt;=DATE(PlanYear,11,1)),1,0))</f>
        <v>0</v>
      </c>
      <c r="Z576">
        <f>IF($N576=0,0,IF(AND($F576&lt;=EOMONTH(DATE(PlanYear,12,1),0),IF(ISNUMBER($G576),$G576,$F576)&gt;=DATE(PlanYear,12,1)),1,0))</f>
        <v>0</v>
      </c>
      <c r="AA576">
        <f>SUM($O576:$Z576)</f>
        <v>0</v>
      </c>
    </row>
    <row r="577" spans="1:27">
      <c r="A577" s="42">
        <f>IF($B577="","","ACT-"&amp;TEXT(ROW()-4,"000"))</f>
        <v>0</v>
      </c>
      <c r="M577" s="43">
        <f>IF(COUNTA($B577:$K577)=0,"",IF($B577="","Missing activity name",IF($C577="","Missing practice",IF(COUNTIF(PracticeNames,$C577)=0,"Practice not in Lists",IF($D577="","Missing motion",IF(NOT(ISNUMBER($F577)),"Missing or invalid start date",IF(AND(ISNUMBER($G577),$G577&lt;$F577),"End date before start",IF(AND($N577=1,$AA577=0),"Outside planning year","OK"))))))))</f>
        <v>0</v>
      </c>
      <c r="N577">
        <f>IF(AND($B577&lt;&gt;"",$C577&lt;&gt;"",$D577&lt;&gt;"",ISNUMBER($F577),COUNTIF(PracticeNames,$C577)&gt;0,COUNTIF(MotionNames,$D577)&gt;0,NOT(AND(ISNUMBER($G577),$G577&lt;$F577))),IF(StatusFilter="All (excl. Cancelled)",IF($H577="Cancelled",0,1),IF(StatusFilter="All",1,IF($H577=StatusFilter,1,0))),0)</f>
        <v>0</v>
      </c>
      <c r="O577">
        <f>IF($N577=0,0,IF(AND($F577&lt;=EOMONTH(DATE(PlanYear,1,1),0),IF(ISNUMBER($G577),$G577,$F577)&gt;=DATE(PlanYear,1,1)),1,0))</f>
        <v>0</v>
      </c>
      <c r="P577">
        <f>IF($N577=0,0,IF(AND($F577&lt;=EOMONTH(DATE(PlanYear,2,1),0),IF(ISNUMBER($G577),$G577,$F577)&gt;=DATE(PlanYear,2,1)),1,0))</f>
        <v>0</v>
      </c>
      <c r="Q577">
        <f>IF($N577=0,0,IF(AND($F577&lt;=EOMONTH(DATE(PlanYear,3,1),0),IF(ISNUMBER($G577),$G577,$F577)&gt;=DATE(PlanYear,3,1)),1,0))</f>
        <v>0</v>
      </c>
      <c r="R577">
        <f>IF($N577=0,0,IF(AND($F577&lt;=EOMONTH(DATE(PlanYear,4,1),0),IF(ISNUMBER($G577),$G577,$F577)&gt;=DATE(PlanYear,4,1)),1,0))</f>
        <v>0</v>
      </c>
      <c r="S577">
        <f>IF($N577=0,0,IF(AND($F577&lt;=EOMONTH(DATE(PlanYear,5,1),0),IF(ISNUMBER($G577),$G577,$F577)&gt;=DATE(PlanYear,5,1)),1,0))</f>
        <v>0</v>
      </c>
      <c r="T577">
        <f>IF($N577=0,0,IF(AND($F577&lt;=EOMONTH(DATE(PlanYear,6,1),0),IF(ISNUMBER($G577),$G577,$F577)&gt;=DATE(PlanYear,6,1)),1,0))</f>
        <v>0</v>
      </c>
      <c r="U577">
        <f>IF($N577=0,0,IF(AND($F577&lt;=EOMONTH(DATE(PlanYear,7,1),0),IF(ISNUMBER($G577),$G577,$F577)&gt;=DATE(PlanYear,7,1)),1,0))</f>
        <v>0</v>
      </c>
      <c r="V577">
        <f>IF($N577=0,0,IF(AND($F577&lt;=EOMONTH(DATE(PlanYear,8,1),0),IF(ISNUMBER($G577),$G577,$F577)&gt;=DATE(PlanYear,8,1)),1,0))</f>
        <v>0</v>
      </c>
      <c r="W577">
        <f>IF($N577=0,0,IF(AND($F577&lt;=EOMONTH(DATE(PlanYear,9,1),0),IF(ISNUMBER($G577),$G577,$F577)&gt;=DATE(PlanYear,9,1)),1,0))</f>
        <v>0</v>
      </c>
      <c r="X577">
        <f>IF($N577=0,0,IF(AND($F577&lt;=EOMONTH(DATE(PlanYear,10,1),0),IF(ISNUMBER($G577),$G577,$F577)&gt;=DATE(PlanYear,10,1)),1,0))</f>
        <v>0</v>
      </c>
      <c r="Y577">
        <f>IF($N577=0,0,IF(AND($F577&lt;=EOMONTH(DATE(PlanYear,11,1),0),IF(ISNUMBER($G577),$G577,$F577)&gt;=DATE(PlanYear,11,1)),1,0))</f>
        <v>0</v>
      </c>
      <c r="Z577">
        <f>IF($N577=0,0,IF(AND($F577&lt;=EOMONTH(DATE(PlanYear,12,1),0),IF(ISNUMBER($G577),$G577,$F577)&gt;=DATE(PlanYear,12,1)),1,0))</f>
        <v>0</v>
      </c>
      <c r="AA577">
        <f>SUM($O577:$Z577)</f>
        <v>0</v>
      </c>
    </row>
    <row r="578" spans="1:27">
      <c r="A578" s="42">
        <f>IF($B578="","","ACT-"&amp;TEXT(ROW()-4,"000"))</f>
        <v>0</v>
      </c>
      <c r="M578" s="43">
        <f>IF(COUNTA($B578:$K578)=0,"",IF($B578="","Missing activity name",IF($C578="","Missing practice",IF(COUNTIF(PracticeNames,$C578)=0,"Practice not in Lists",IF($D578="","Missing motion",IF(NOT(ISNUMBER($F578)),"Missing or invalid start date",IF(AND(ISNUMBER($G578),$G578&lt;$F578),"End date before start",IF(AND($N578=1,$AA578=0),"Outside planning year","OK"))))))))</f>
        <v>0</v>
      </c>
      <c r="N578">
        <f>IF(AND($B578&lt;&gt;"",$C578&lt;&gt;"",$D578&lt;&gt;"",ISNUMBER($F578),COUNTIF(PracticeNames,$C578)&gt;0,COUNTIF(MotionNames,$D578)&gt;0,NOT(AND(ISNUMBER($G578),$G578&lt;$F578))),IF(StatusFilter="All (excl. Cancelled)",IF($H578="Cancelled",0,1),IF(StatusFilter="All",1,IF($H578=StatusFilter,1,0))),0)</f>
        <v>0</v>
      </c>
      <c r="O578">
        <f>IF($N578=0,0,IF(AND($F578&lt;=EOMONTH(DATE(PlanYear,1,1),0),IF(ISNUMBER($G578),$G578,$F578)&gt;=DATE(PlanYear,1,1)),1,0))</f>
        <v>0</v>
      </c>
      <c r="P578">
        <f>IF($N578=0,0,IF(AND($F578&lt;=EOMONTH(DATE(PlanYear,2,1),0),IF(ISNUMBER($G578),$G578,$F578)&gt;=DATE(PlanYear,2,1)),1,0))</f>
        <v>0</v>
      </c>
      <c r="Q578">
        <f>IF($N578=0,0,IF(AND($F578&lt;=EOMONTH(DATE(PlanYear,3,1),0),IF(ISNUMBER($G578),$G578,$F578)&gt;=DATE(PlanYear,3,1)),1,0))</f>
        <v>0</v>
      </c>
      <c r="R578">
        <f>IF($N578=0,0,IF(AND($F578&lt;=EOMONTH(DATE(PlanYear,4,1),0),IF(ISNUMBER($G578),$G578,$F578)&gt;=DATE(PlanYear,4,1)),1,0))</f>
        <v>0</v>
      </c>
      <c r="S578">
        <f>IF($N578=0,0,IF(AND($F578&lt;=EOMONTH(DATE(PlanYear,5,1),0),IF(ISNUMBER($G578),$G578,$F578)&gt;=DATE(PlanYear,5,1)),1,0))</f>
        <v>0</v>
      </c>
      <c r="T578">
        <f>IF($N578=0,0,IF(AND($F578&lt;=EOMONTH(DATE(PlanYear,6,1),0),IF(ISNUMBER($G578),$G578,$F578)&gt;=DATE(PlanYear,6,1)),1,0))</f>
        <v>0</v>
      </c>
      <c r="U578">
        <f>IF($N578=0,0,IF(AND($F578&lt;=EOMONTH(DATE(PlanYear,7,1),0),IF(ISNUMBER($G578),$G578,$F578)&gt;=DATE(PlanYear,7,1)),1,0))</f>
        <v>0</v>
      </c>
      <c r="V578">
        <f>IF($N578=0,0,IF(AND($F578&lt;=EOMONTH(DATE(PlanYear,8,1),0),IF(ISNUMBER($G578),$G578,$F578)&gt;=DATE(PlanYear,8,1)),1,0))</f>
        <v>0</v>
      </c>
      <c r="W578">
        <f>IF($N578=0,0,IF(AND($F578&lt;=EOMONTH(DATE(PlanYear,9,1),0),IF(ISNUMBER($G578),$G578,$F578)&gt;=DATE(PlanYear,9,1)),1,0))</f>
        <v>0</v>
      </c>
      <c r="X578">
        <f>IF($N578=0,0,IF(AND($F578&lt;=EOMONTH(DATE(PlanYear,10,1),0),IF(ISNUMBER($G578),$G578,$F578)&gt;=DATE(PlanYear,10,1)),1,0))</f>
        <v>0</v>
      </c>
      <c r="Y578">
        <f>IF($N578=0,0,IF(AND($F578&lt;=EOMONTH(DATE(PlanYear,11,1),0),IF(ISNUMBER($G578),$G578,$F578)&gt;=DATE(PlanYear,11,1)),1,0))</f>
        <v>0</v>
      </c>
      <c r="Z578">
        <f>IF($N578=0,0,IF(AND($F578&lt;=EOMONTH(DATE(PlanYear,12,1),0),IF(ISNUMBER($G578),$G578,$F578)&gt;=DATE(PlanYear,12,1)),1,0))</f>
        <v>0</v>
      </c>
      <c r="AA578">
        <f>SUM($O578:$Z578)</f>
        <v>0</v>
      </c>
    </row>
    <row r="579" spans="1:27">
      <c r="A579" s="42">
        <f>IF($B579="","","ACT-"&amp;TEXT(ROW()-4,"000"))</f>
        <v>0</v>
      </c>
      <c r="M579" s="43">
        <f>IF(COUNTA($B579:$K579)=0,"",IF($B579="","Missing activity name",IF($C579="","Missing practice",IF(COUNTIF(PracticeNames,$C579)=0,"Practice not in Lists",IF($D579="","Missing motion",IF(NOT(ISNUMBER($F579)),"Missing or invalid start date",IF(AND(ISNUMBER($G579),$G579&lt;$F579),"End date before start",IF(AND($N579=1,$AA579=0),"Outside planning year","OK"))))))))</f>
        <v>0</v>
      </c>
      <c r="N579">
        <f>IF(AND($B579&lt;&gt;"",$C579&lt;&gt;"",$D579&lt;&gt;"",ISNUMBER($F579),COUNTIF(PracticeNames,$C579)&gt;0,COUNTIF(MotionNames,$D579)&gt;0,NOT(AND(ISNUMBER($G579),$G579&lt;$F579))),IF(StatusFilter="All (excl. Cancelled)",IF($H579="Cancelled",0,1),IF(StatusFilter="All",1,IF($H579=StatusFilter,1,0))),0)</f>
        <v>0</v>
      </c>
      <c r="O579">
        <f>IF($N579=0,0,IF(AND($F579&lt;=EOMONTH(DATE(PlanYear,1,1),0),IF(ISNUMBER($G579),$G579,$F579)&gt;=DATE(PlanYear,1,1)),1,0))</f>
        <v>0</v>
      </c>
      <c r="P579">
        <f>IF($N579=0,0,IF(AND($F579&lt;=EOMONTH(DATE(PlanYear,2,1),0),IF(ISNUMBER($G579),$G579,$F579)&gt;=DATE(PlanYear,2,1)),1,0))</f>
        <v>0</v>
      </c>
      <c r="Q579">
        <f>IF($N579=0,0,IF(AND($F579&lt;=EOMONTH(DATE(PlanYear,3,1),0),IF(ISNUMBER($G579),$G579,$F579)&gt;=DATE(PlanYear,3,1)),1,0))</f>
        <v>0</v>
      </c>
      <c r="R579">
        <f>IF($N579=0,0,IF(AND($F579&lt;=EOMONTH(DATE(PlanYear,4,1),0),IF(ISNUMBER($G579),$G579,$F579)&gt;=DATE(PlanYear,4,1)),1,0))</f>
        <v>0</v>
      </c>
      <c r="S579">
        <f>IF($N579=0,0,IF(AND($F579&lt;=EOMONTH(DATE(PlanYear,5,1),0),IF(ISNUMBER($G579),$G579,$F579)&gt;=DATE(PlanYear,5,1)),1,0))</f>
        <v>0</v>
      </c>
      <c r="T579">
        <f>IF($N579=0,0,IF(AND($F579&lt;=EOMONTH(DATE(PlanYear,6,1),0),IF(ISNUMBER($G579),$G579,$F579)&gt;=DATE(PlanYear,6,1)),1,0))</f>
        <v>0</v>
      </c>
      <c r="U579">
        <f>IF($N579=0,0,IF(AND($F579&lt;=EOMONTH(DATE(PlanYear,7,1),0),IF(ISNUMBER($G579),$G579,$F579)&gt;=DATE(PlanYear,7,1)),1,0))</f>
        <v>0</v>
      </c>
      <c r="V579">
        <f>IF($N579=0,0,IF(AND($F579&lt;=EOMONTH(DATE(PlanYear,8,1),0),IF(ISNUMBER($G579),$G579,$F579)&gt;=DATE(PlanYear,8,1)),1,0))</f>
        <v>0</v>
      </c>
      <c r="W579">
        <f>IF($N579=0,0,IF(AND($F579&lt;=EOMONTH(DATE(PlanYear,9,1),0),IF(ISNUMBER($G579),$G579,$F579)&gt;=DATE(PlanYear,9,1)),1,0))</f>
        <v>0</v>
      </c>
      <c r="X579">
        <f>IF($N579=0,0,IF(AND($F579&lt;=EOMONTH(DATE(PlanYear,10,1),0),IF(ISNUMBER($G579),$G579,$F579)&gt;=DATE(PlanYear,10,1)),1,0))</f>
        <v>0</v>
      </c>
      <c r="Y579">
        <f>IF($N579=0,0,IF(AND($F579&lt;=EOMONTH(DATE(PlanYear,11,1),0),IF(ISNUMBER($G579),$G579,$F579)&gt;=DATE(PlanYear,11,1)),1,0))</f>
        <v>0</v>
      </c>
      <c r="Z579">
        <f>IF($N579=0,0,IF(AND($F579&lt;=EOMONTH(DATE(PlanYear,12,1),0),IF(ISNUMBER($G579),$G579,$F579)&gt;=DATE(PlanYear,12,1)),1,0))</f>
        <v>0</v>
      </c>
      <c r="AA579">
        <f>SUM($O579:$Z579)</f>
        <v>0</v>
      </c>
    </row>
    <row r="580" spans="1:27">
      <c r="A580" s="42">
        <f>IF($B580="","","ACT-"&amp;TEXT(ROW()-4,"000"))</f>
        <v>0</v>
      </c>
      <c r="M580" s="43">
        <f>IF(COUNTA($B580:$K580)=0,"",IF($B580="","Missing activity name",IF($C580="","Missing practice",IF(COUNTIF(PracticeNames,$C580)=0,"Practice not in Lists",IF($D580="","Missing motion",IF(NOT(ISNUMBER($F580)),"Missing or invalid start date",IF(AND(ISNUMBER($G580),$G580&lt;$F580),"End date before start",IF(AND($N580=1,$AA580=0),"Outside planning year","OK"))))))))</f>
        <v>0</v>
      </c>
      <c r="N580">
        <f>IF(AND($B580&lt;&gt;"",$C580&lt;&gt;"",$D580&lt;&gt;"",ISNUMBER($F580),COUNTIF(PracticeNames,$C580)&gt;0,COUNTIF(MotionNames,$D580)&gt;0,NOT(AND(ISNUMBER($G580),$G580&lt;$F580))),IF(StatusFilter="All (excl. Cancelled)",IF($H580="Cancelled",0,1),IF(StatusFilter="All",1,IF($H580=StatusFilter,1,0))),0)</f>
        <v>0</v>
      </c>
      <c r="O580">
        <f>IF($N580=0,0,IF(AND($F580&lt;=EOMONTH(DATE(PlanYear,1,1),0),IF(ISNUMBER($G580),$G580,$F580)&gt;=DATE(PlanYear,1,1)),1,0))</f>
        <v>0</v>
      </c>
      <c r="P580">
        <f>IF($N580=0,0,IF(AND($F580&lt;=EOMONTH(DATE(PlanYear,2,1),0),IF(ISNUMBER($G580),$G580,$F580)&gt;=DATE(PlanYear,2,1)),1,0))</f>
        <v>0</v>
      </c>
      <c r="Q580">
        <f>IF($N580=0,0,IF(AND($F580&lt;=EOMONTH(DATE(PlanYear,3,1),0),IF(ISNUMBER($G580),$G580,$F580)&gt;=DATE(PlanYear,3,1)),1,0))</f>
        <v>0</v>
      </c>
      <c r="R580">
        <f>IF($N580=0,0,IF(AND($F580&lt;=EOMONTH(DATE(PlanYear,4,1),0),IF(ISNUMBER($G580),$G580,$F580)&gt;=DATE(PlanYear,4,1)),1,0))</f>
        <v>0</v>
      </c>
      <c r="S580">
        <f>IF($N580=0,0,IF(AND($F580&lt;=EOMONTH(DATE(PlanYear,5,1),0),IF(ISNUMBER($G580),$G580,$F580)&gt;=DATE(PlanYear,5,1)),1,0))</f>
        <v>0</v>
      </c>
      <c r="T580">
        <f>IF($N580=0,0,IF(AND($F580&lt;=EOMONTH(DATE(PlanYear,6,1),0),IF(ISNUMBER($G580),$G580,$F580)&gt;=DATE(PlanYear,6,1)),1,0))</f>
        <v>0</v>
      </c>
      <c r="U580">
        <f>IF($N580=0,0,IF(AND($F580&lt;=EOMONTH(DATE(PlanYear,7,1),0),IF(ISNUMBER($G580),$G580,$F580)&gt;=DATE(PlanYear,7,1)),1,0))</f>
        <v>0</v>
      </c>
      <c r="V580">
        <f>IF($N580=0,0,IF(AND($F580&lt;=EOMONTH(DATE(PlanYear,8,1),0),IF(ISNUMBER($G580),$G580,$F580)&gt;=DATE(PlanYear,8,1)),1,0))</f>
        <v>0</v>
      </c>
      <c r="W580">
        <f>IF($N580=0,0,IF(AND($F580&lt;=EOMONTH(DATE(PlanYear,9,1),0),IF(ISNUMBER($G580),$G580,$F580)&gt;=DATE(PlanYear,9,1)),1,0))</f>
        <v>0</v>
      </c>
      <c r="X580">
        <f>IF($N580=0,0,IF(AND($F580&lt;=EOMONTH(DATE(PlanYear,10,1),0),IF(ISNUMBER($G580),$G580,$F580)&gt;=DATE(PlanYear,10,1)),1,0))</f>
        <v>0</v>
      </c>
      <c r="Y580">
        <f>IF($N580=0,0,IF(AND($F580&lt;=EOMONTH(DATE(PlanYear,11,1),0),IF(ISNUMBER($G580),$G580,$F580)&gt;=DATE(PlanYear,11,1)),1,0))</f>
        <v>0</v>
      </c>
      <c r="Z580">
        <f>IF($N580=0,0,IF(AND($F580&lt;=EOMONTH(DATE(PlanYear,12,1),0),IF(ISNUMBER($G580),$G580,$F580)&gt;=DATE(PlanYear,12,1)),1,0))</f>
        <v>0</v>
      </c>
      <c r="AA580">
        <f>SUM($O580:$Z580)</f>
        <v>0</v>
      </c>
    </row>
    <row r="581" spans="1:27">
      <c r="A581" s="42">
        <f>IF($B581="","","ACT-"&amp;TEXT(ROW()-4,"000"))</f>
        <v>0</v>
      </c>
      <c r="M581" s="43">
        <f>IF(COUNTA($B581:$K581)=0,"",IF($B581="","Missing activity name",IF($C581="","Missing practice",IF(COUNTIF(PracticeNames,$C581)=0,"Practice not in Lists",IF($D581="","Missing motion",IF(NOT(ISNUMBER($F581)),"Missing or invalid start date",IF(AND(ISNUMBER($G581),$G581&lt;$F581),"End date before start",IF(AND($N581=1,$AA581=0),"Outside planning year","OK"))))))))</f>
        <v>0</v>
      </c>
      <c r="N581">
        <f>IF(AND($B581&lt;&gt;"",$C581&lt;&gt;"",$D581&lt;&gt;"",ISNUMBER($F581),COUNTIF(PracticeNames,$C581)&gt;0,COUNTIF(MotionNames,$D581)&gt;0,NOT(AND(ISNUMBER($G581),$G581&lt;$F581))),IF(StatusFilter="All (excl. Cancelled)",IF($H581="Cancelled",0,1),IF(StatusFilter="All",1,IF($H581=StatusFilter,1,0))),0)</f>
        <v>0</v>
      </c>
      <c r="O581">
        <f>IF($N581=0,0,IF(AND($F581&lt;=EOMONTH(DATE(PlanYear,1,1),0),IF(ISNUMBER($G581),$G581,$F581)&gt;=DATE(PlanYear,1,1)),1,0))</f>
        <v>0</v>
      </c>
      <c r="P581">
        <f>IF($N581=0,0,IF(AND($F581&lt;=EOMONTH(DATE(PlanYear,2,1),0),IF(ISNUMBER($G581),$G581,$F581)&gt;=DATE(PlanYear,2,1)),1,0))</f>
        <v>0</v>
      </c>
      <c r="Q581">
        <f>IF($N581=0,0,IF(AND($F581&lt;=EOMONTH(DATE(PlanYear,3,1),0),IF(ISNUMBER($G581),$G581,$F581)&gt;=DATE(PlanYear,3,1)),1,0))</f>
        <v>0</v>
      </c>
      <c r="R581">
        <f>IF($N581=0,0,IF(AND($F581&lt;=EOMONTH(DATE(PlanYear,4,1),0),IF(ISNUMBER($G581),$G581,$F581)&gt;=DATE(PlanYear,4,1)),1,0))</f>
        <v>0</v>
      </c>
      <c r="S581">
        <f>IF($N581=0,0,IF(AND($F581&lt;=EOMONTH(DATE(PlanYear,5,1),0),IF(ISNUMBER($G581),$G581,$F581)&gt;=DATE(PlanYear,5,1)),1,0))</f>
        <v>0</v>
      </c>
      <c r="T581">
        <f>IF($N581=0,0,IF(AND($F581&lt;=EOMONTH(DATE(PlanYear,6,1),0),IF(ISNUMBER($G581),$G581,$F581)&gt;=DATE(PlanYear,6,1)),1,0))</f>
        <v>0</v>
      </c>
      <c r="U581">
        <f>IF($N581=0,0,IF(AND($F581&lt;=EOMONTH(DATE(PlanYear,7,1),0),IF(ISNUMBER($G581),$G581,$F581)&gt;=DATE(PlanYear,7,1)),1,0))</f>
        <v>0</v>
      </c>
      <c r="V581">
        <f>IF($N581=0,0,IF(AND($F581&lt;=EOMONTH(DATE(PlanYear,8,1),0),IF(ISNUMBER($G581),$G581,$F581)&gt;=DATE(PlanYear,8,1)),1,0))</f>
        <v>0</v>
      </c>
      <c r="W581">
        <f>IF($N581=0,0,IF(AND($F581&lt;=EOMONTH(DATE(PlanYear,9,1),0),IF(ISNUMBER($G581),$G581,$F581)&gt;=DATE(PlanYear,9,1)),1,0))</f>
        <v>0</v>
      </c>
      <c r="X581">
        <f>IF($N581=0,0,IF(AND($F581&lt;=EOMONTH(DATE(PlanYear,10,1),0),IF(ISNUMBER($G581),$G581,$F581)&gt;=DATE(PlanYear,10,1)),1,0))</f>
        <v>0</v>
      </c>
      <c r="Y581">
        <f>IF($N581=0,0,IF(AND($F581&lt;=EOMONTH(DATE(PlanYear,11,1),0),IF(ISNUMBER($G581),$G581,$F581)&gt;=DATE(PlanYear,11,1)),1,0))</f>
        <v>0</v>
      </c>
      <c r="Z581">
        <f>IF($N581=0,0,IF(AND($F581&lt;=EOMONTH(DATE(PlanYear,12,1),0),IF(ISNUMBER($G581),$G581,$F581)&gt;=DATE(PlanYear,12,1)),1,0))</f>
        <v>0</v>
      </c>
      <c r="AA581">
        <f>SUM($O581:$Z581)</f>
        <v>0</v>
      </c>
    </row>
    <row r="582" spans="1:27">
      <c r="A582" s="42">
        <f>IF($B582="","","ACT-"&amp;TEXT(ROW()-4,"000"))</f>
        <v>0</v>
      </c>
      <c r="M582" s="43">
        <f>IF(COUNTA($B582:$K582)=0,"",IF($B582="","Missing activity name",IF($C582="","Missing practice",IF(COUNTIF(PracticeNames,$C582)=0,"Practice not in Lists",IF($D582="","Missing motion",IF(NOT(ISNUMBER($F582)),"Missing or invalid start date",IF(AND(ISNUMBER($G582),$G582&lt;$F582),"End date before start",IF(AND($N582=1,$AA582=0),"Outside planning year","OK"))))))))</f>
        <v>0</v>
      </c>
      <c r="N582">
        <f>IF(AND($B582&lt;&gt;"",$C582&lt;&gt;"",$D582&lt;&gt;"",ISNUMBER($F582),COUNTIF(PracticeNames,$C582)&gt;0,COUNTIF(MotionNames,$D582)&gt;0,NOT(AND(ISNUMBER($G582),$G582&lt;$F582))),IF(StatusFilter="All (excl. Cancelled)",IF($H582="Cancelled",0,1),IF(StatusFilter="All",1,IF($H582=StatusFilter,1,0))),0)</f>
        <v>0</v>
      </c>
      <c r="O582">
        <f>IF($N582=0,0,IF(AND($F582&lt;=EOMONTH(DATE(PlanYear,1,1),0),IF(ISNUMBER($G582),$G582,$F582)&gt;=DATE(PlanYear,1,1)),1,0))</f>
        <v>0</v>
      </c>
      <c r="P582">
        <f>IF($N582=0,0,IF(AND($F582&lt;=EOMONTH(DATE(PlanYear,2,1),0),IF(ISNUMBER($G582),$G582,$F582)&gt;=DATE(PlanYear,2,1)),1,0))</f>
        <v>0</v>
      </c>
      <c r="Q582">
        <f>IF($N582=0,0,IF(AND($F582&lt;=EOMONTH(DATE(PlanYear,3,1),0),IF(ISNUMBER($G582),$G582,$F582)&gt;=DATE(PlanYear,3,1)),1,0))</f>
        <v>0</v>
      </c>
      <c r="R582">
        <f>IF($N582=0,0,IF(AND($F582&lt;=EOMONTH(DATE(PlanYear,4,1),0),IF(ISNUMBER($G582),$G582,$F582)&gt;=DATE(PlanYear,4,1)),1,0))</f>
        <v>0</v>
      </c>
      <c r="S582">
        <f>IF($N582=0,0,IF(AND($F582&lt;=EOMONTH(DATE(PlanYear,5,1),0),IF(ISNUMBER($G582),$G582,$F582)&gt;=DATE(PlanYear,5,1)),1,0))</f>
        <v>0</v>
      </c>
      <c r="T582">
        <f>IF($N582=0,0,IF(AND($F582&lt;=EOMONTH(DATE(PlanYear,6,1),0),IF(ISNUMBER($G582),$G582,$F582)&gt;=DATE(PlanYear,6,1)),1,0))</f>
        <v>0</v>
      </c>
      <c r="U582">
        <f>IF($N582=0,0,IF(AND($F582&lt;=EOMONTH(DATE(PlanYear,7,1),0),IF(ISNUMBER($G582),$G582,$F582)&gt;=DATE(PlanYear,7,1)),1,0))</f>
        <v>0</v>
      </c>
      <c r="V582">
        <f>IF($N582=0,0,IF(AND($F582&lt;=EOMONTH(DATE(PlanYear,8,1),0),IF(ISNUMBER($G582),$G582,$F582)&gt;=DATE(PlanYear,8,1)),1,0))</f>
        <v>0</v>
      </c>
      <c r="W582">
        <f>IF($N582=0,0,IF(AND($F582&lt;=EOMONTH(DATE(PlanYear,9,1),0),IF(ISNUMBER($G582),$G582,$F582)&gt;=DATE(PlanYear,9,1)),1,0))</f>
        <v>0</v>
      </c>
      <c r="X582">
        <f>IF($N582=0,0,IF(AND($F582&lt;=EOMONTH(DATE(PlanYear,10,1),0),IF(ISNUMBER($G582),$G582,$F582)&gt;=DATE(PlanYear,10,1)),1,0))</f>
        <v>0</v>
      </c>
      <c r="Y582">
        <f>IF($N582=0,0,IF(AND($F582&lt;=EOMONTH(DATE(PlanYear,11,1),0),IF(ISNUMBER($G582),$G582,$F582)&gt;=DATE(PlanYear,11,1)),1,0))</f>
        <v>0</v>
      </c>
      <c r="Z582">
        <f>IF($N582=0,0,IF(AND($F582&lt;=EOMONTH(DATE(PlanYear,12,1),0),IF(ISNUMBER($G582),$G582,$F582)&gt;=DATE(PlanYear,12,1)),1,0))</f>
        <v>0</v>
      </c>
      <c r="AA582">
        <f>SUM($O582:$Z582)</f>
        <v>0</v>
      </c>
    </row>
    <row r="583" spans="1:27">
      <c r="A583" s="42">
        <f>IF($B583="","","ACT-"&amp;TEXT(ROW()-4,"000"))</f>
        <v>0</v>
      </c>
      <c r="M583" s="43">
        <f>IF(COUNTA($B583:$K583)=0,"",IF($B583="","Missing activity name",IF($C583="","Missing practice",IF(COUNTIF(PracticeNames,$C583)=0,"Practice not in Lists",IF($D583="","Missing motion",IF(NOT(ISNUMBER($F583)),"Missing or invalid start date",IF(AND(ISNUMBER($G583),$G583&lt;$F583),"End date before start",IF(AND($N583=1,$AA583=0),"Outside planning year","OK"))))))))</f>
        <v>0</v>
      </c>
      <c r="N583">
        <f>IF(AND($B583&lt;&gt;"",$C583&lt;&gt;"",$D583&lt;&gt;"",ISNUMBER($F583),COUNTIF(PracticeNames,$C583)&gt;0,COUNTIF(MotionNames,$D583)&gt;0,NOT(AND(ISNUMBER($G583),$G583&lt;$F583))),IF(StatusFilter="All (excl. Cancelled)",IF($H583="Cancelled",0,1),IF(StatusFilter="All",1,IF($H583=StatusFilter,1,0))),0)</f>
        <v>0</v>
      </c>
      <c r="O583">
        <f>IF($N583=0,0,IF(AND($F583&lt;=EOMONTH(DATE(PlanYear,1,1),0),IF(ISNUMBER($G583),$G583,$F583)&gt;=DATE(PlanYear,1,1)),1,0))</f>
        <v>0</v>
      </c>
      <c r="P583">
        <f>IF($N583=0,0,IF(AND($F583&lt;=EOMONTH(DATE(PlanYear,2,1),0),IF(ISNUMBER($G583),$G583,$F583)&gt;=DATE(PlanYear,2,1)),1,0))</f>
        <v>0</v>
      </c>
      <c r="Q583">
        <f>IF($N583=0,0,IF(AND($F583&lt;=EOMONTH(DATE(PlanYear,3,1),0),IF(ISNUMBER($G583),$G583,$F583)&gt;=DATE(PlanYear,3,1)),1,0))</f>
        <v>0</v>
      </c>
      <c r="R583">
        <f>IF($N583=0,0,IF(AND($F583&lt;=EOMONTH(DATE(PlanYear,4,1),0),IF(ISNUMBER($G583),$G583,$F583)&gt;=DATE(PlanYear,4,1)),1,0))</f>
        <v>0</v>
      </c>
      <c r="S583">
        <f>IF($N583=0,0,IF(AND($F583&lt;=EOMONTH(DATE(PlanYear,5,1),0),IF(ISNUMBER($G583),$G583,$F583)&gt;=DATE(PlanYear,5,1)),1,0))</f>
        <v>0</v>
      </c>
      <c r="T583">
        <f>IF($N583=0,0,IF(AND($F583&lt;=EOMONTH(DATE(PlanYear,6,1),0),IF(ISNUMBER($G583),$G583,$F583)&gt;=DATE(PlanYear,6,1)),1,0))</f>
        <v>0</v>
      </c>
      <c r="U583">
        <f>IF($N583=0,0,IF(AND($F583&lt;=EOMONTH(DATE(PlanYear,7,1),0),IF(ISNUMBER($G583),$G583,$F583)&gt;=DATE(PlanYear,7,1)),1,0))</f>
        <v>0</v>
      </c>
      <c r="V583">
        <f>IF($N583=0,0,IF(AND($F583&lt;=EOMONTH(DATE(PlanYear,8,1),0),IF(ISNUMBER($G583),$G583,$F583)&gt;=DATE(PlanYear,8,1)),1,0))</f>
        <v>0</v>
      </c>
      <c r="W583">
        <f>IF($N583=0,0,IF(AND($F583&lt;=EOMONTH(DATE(PlanYear,9,1),0),IF(ISNUMBER($G583),$G583,$F583)&gt;=DATE(PlanYear,9,1)),1,0))</f>
        <v>0</v>
      </c>
      <c r="X583">
        <f>IF($N583=0,0,IF(AND($F583&lt;=EOMONTH(DATE(PlanYear,10,1),0),IF(ISNUMBER($G583),$G583,$F583)&gt;=DATE(PlanYear,10,1)),1,0))</f>
        <v>0</v>
      </c>
      <c r="Y583">
        <f>IF($N583=0,0,IF(AND($F583&lt;=EOMONTH(DATE(PlanYear,11,1),0),IF(ISNUMBER($G583),$G583,$F583)&gt;=DATE(PlanYear,11,1)),1,0))</f>
        <v>0</v>
      </c>
      <c r="Z583">
        <f>IF($N583=0,0,IF(AND($F583&lt;=EOMONTH(DATE(PlanYear,12,1),0),IF(ISNUMBER($G583),$G583,$F583)&gt;=DATE(PlanYear,12,1)),1,0))</f>
        <v>0</v>
      </c>
      <c r="AA583">
        <f>SUM($O583:$Z583)</f>
        <v>0</v>
      </c>
    </row>
    <row r="584" spans="1:27">
      <c r="A584" s="42">
        <f>IF($B584="","","ACT-"&amp;TEXT(ROW()-4,"000"))</f>
        <v>0</v>
      </c>
      <c r="M584" s="43">
        <f>IF(COUNTA($B584:$K584)=0,"",IF($B584="","Missing activity name",IF($C584="","Missing practice",IF(COUNTIF(PracticeNames,$C584)=0,"Practice not in Lists",IF($D584="","Missing motion",IF(NOT(ISNUMBER($F584)),"Missing or invalid start date",IF(AND(ISNUMBER($G584),$G584&lt;$F584),"End date before start",IF(AND($N584=1,$AA584=0),"Outside planning year","OK"))))))))</f>
        <v>0</v>
      </c>
      <c r="N584">
        <f>IF(AND($B584&lt;&gt;"",$C584&lt;&gt;"",$D584&lt;&gt;"",ISNUMBER($F584),COUNTIF(PracticeNames,$C584)&gt;0,COUNTIF(MotionNames,$D584)&gt;0,NOT(AND(ISNUMBER($G584),$G584&lt;$F584))),IF(StatusFilter="All (excl. Cancelled)",IF($H584="Cancelled",0,1),IF(StatusFilter="All",1,IF($H584=StatusFilter,1,0))),0)</f>
        <v>0</v>
      </c>
      <c r="O584">
        <f>IF($N584=0,0,IF(AND($F584&lt;=EOMONTH(DATE(PlanYear,1,1),0),IF(ISNUMBER($G584),$G584,$F584)&gt;=DATE(PlanYear,1,1)),1,0))</f>
        <v>0</v>
      </c>
      <c r="P584">
        <f>IF($N584=0,0,IF(AND($F584&lt;=EOMONTH(DATE(PlanYear,2,1),0),IF(ISNUMBER($G584),$G584,$F584)&gt;=DATE(PlanYear,2,1)),1,0))</f>
        <v>0</v>
      </c>
      <c r="Q584">
        <f>IF($N584=0,0,IF(AND($F584&lt;=EOMONTH(DATE(PlanYear,3,1),0),IF(ISNUMBER($G584),$G584,$F584)&gt;=DATE(PlanYear,3,1)),1,0))</f>
        <v>0</v>
      </c>
      <c r="R584">
        <f>IF($N584=0,0,IF(AND($F584&lt;=EOMONTH(DATE(PlanYear,4,1),0),IF(ISNUMBER($G584),$G584,$F584)&gt;=DATE(PlanYear,4,1)),1,0))</f>
        <v>0</v>
      </c>
      <c r="S584">
        <f>IF($N584=0,0,IF(AND($F584&lt;=EOMONTH(DATE(PlanYear,5,1),0),IF(ISNUMBER($G584),$G584,$F584)&gt;=DATE(PlanYear,5,1)),1,0))</f>
        <v>0</v>
      </c>
      <c r="T584">
        <f>IF($N584=0,0,IF(AND($F584&lt;=EOMONTH(DATE(PlanYear,6,1),0),IF(ISNUMBER($G584),$G584,$F584)&gt;=DATE(PlanYear,6,1)),1,0))</f>
        <v>0</v>
      </c>
      <c r="U584">
        <f>IF($N584=0,0,IF(AND($F584&lt;=EOMONTH(DATE(PlanYear,7,1),0),IF(ISNUMBER($G584),$G584,$F584)&gt;=DATE(PlanYear,7,1)),1,0))</f>
        <v>0</v>
      </c>
      <c r="V584">
        <f>IF($N584=0,0,IF(AND($F584&lt;=EOMONTH(DATE(PlanYear,8,1),0),IF(ISNUMBER($G584),$G584,$F584)&gt;=DATE(PlanYear,8,1)),1,0))</f>
        <v>0</v>
      </c>
      <c r="W584">
        <f>IF($N584=0,0,IF(AND($F584&lt;=EOMONTH(DATE(PlanYear,9,1),0),IF(ISNUMBER($G584),$G584,$F584)&gt;=DATE(PlanYear,9,1)),1,0))</f>
        <v>0</v>
      </c>
      <c r="X584">
        <f>IF($N584=0,0,IF(AND($F584&lt;=EOMONTH(DATE(PlanYear,10,1),0),IF(ISNUMBER($G584),$G584,$F584)&gt;=DATE(PlanYear,10,1)),1,0))</f>
        <v>0</v>
      </c>
      <c r="Y584">
        <f>IF($N584=0,0,IF(AND($F584&lt;=EOMONTH(DATE(PlanYear,11,1),0),IF(ISNUMBER($G584),$G584,$F584)&gt;=DATE(PlanYear,11,1)),1,0))</f>
        <v>0</v>
      </c>
      <c r="Z584">
        <f>IF($N584=0,0,IF(AND($F584&lt;=EOMONTH(DATE(PlanYear,12,1),0),IF(ISNUMBER($G584),$G584,$F584)&gt;=DATE(PlanYear,12,1)),1,0))</f>
        <v>0</v>
      </c>
      <c r="AA584">
        <f>SUM($O584:$Z584)</f>
        <v>0</v>
      </c>
    </row>
    <row r="585" spans="1:27">
      <c r="A585" s="42">
        <f>IF($B585="","","ACT-"&amp;TEXT(ROW()-4,"000"))</f>
        <v>0</v>
      </c>
      <c r="M585" s="43">
        <f>IF(COUNTA($B585:$K585)=0,"",IF($B585="","Missing activity name",IF($C585="","Missing practice",IF(COUNTIF(PracticeNames,$C585)=0,"Practice not in Lists",IF($D585="","Missing motion",IF(NOT(ISNUMBER($F585)),"Missing or invalid start date",IF(AND(ISNUMBER($G585),$G585&lt;$F585),"End date before start",IF(AND($N585=1,$AA585=0),"Outside planning year","OK"))))))))</f>
        <v>0</v>
      </c>
      <c r="N585">
        <f>IF(AND($B585&lt;&gt;"",$C585&lt;&gt;"",$D585&lt;&gt;"",ISNUMBER($F585),COUNTIF(PracticeNames,$C585)&gt;0,COUNTIF(MotionNames,$D585)&gt;0,NOT(AND(ISNUMBER($G585),$G585&lt;$F585))),IF(StatusFilter="All (excl. Cancelled)",IF($H585="Cancelled",0,1),IF(StatusFilter="All",1,IF($H585=StatusFilter,1,0))),0)</f>
        <v>0</v>
      </c>
      <c r="O585">
        <f>IF($N585=0,0,IF(AND($F585&lt;=EOMONTH(DATE(PlanYear,1,1),0),IF(ISNUMBER($G585),$G585,$F585)&gt;=DATE(PlanYear,1,1)),1,0))</f>
        <v>0</v>
      </c>
      <c r="P585">
        <f>IF($N585=0,0,IF(AND($F585&lt;=EOMONTH(DATE(PlanYear,2,1),0),IF(ISNUMBER($G585),$G585,$F585)&gt;=DATE(PlanYear,2,1)),1,0))</f>
        <v>0</v>
      </c>
      <c r="Q585">
        <f>IF($N585=0,0,IF(AND($F585&lt;=EOMONTH(DATE(PlanYear,3,1),0),IF(ISNUMBER($G585),$G585,$F585)&gt;=DATE(PlanYear,3,1)),1,0))</f>
        <v>0</v>
      </c>
      <c r="R585">
        <f>IF($N585=0,0,IF(AND($F585&lt;=EOMONTH(DATE(PlanYear,4,1),0),IF(ISNUMBER($G585),$G585,$F585)&gt;=DATE(PlanYear,4,1)),1,0))</f>
        <v>0</v>
      </c>
      <c r="S585">
        <f>IF($N585=0,0,IF(AND($F585&lt;=EOMONTH(DATE(PlanYear,5,1),0),IF(ISNUMBER($G585),$G585,$F585)&gt;=DATE(PlanYear,5,1)),1,0))</f>
        <v>0</v>
      </c>
      <c r="T585">
        <f>IF($N585=0,0,IF(AND($F585&lt;=EOMONTH(DATE(PlanYear,6,1),0),IF(ISNUMBER($G585),$G585,$F585)&gt;=DATE(PlanYear,6,1)),1,0))</f>
        <v>0</v>
      </c>
      <c r="U585">
        <f>IF($N585=0,0,IF(AND($F585&lt;=EOMONTH(DATE(PlanYear,7,1),0),IF(ISNUMBER($G585),$G585,$F585)&gt;=DATE(PlanYear,7,1)),1,0))</f>
        <v>0</v>
      </c>
      <c r="V585">
        <f>IF($N585=0,0,IF(AND($F585&lt;=EOMONTH(DATE(PlanYear,8,1),0),IF(ISNUMBER($G585),$G585,$F585)&gt;=DATE(PlanYear,8,1)),1,0))</f>
        <v>0</v>
      </c>
      <c r="W585">
        <f>IF($N585=0,0,IF(AND($F585&lt;=EOMONTH(DATE(PlanYear,9,1),0),IF(ISNUMBER($G585),$G585,$F585)&gt;=DATE(PlanYear,9,1)),1,0))</f>
        <v>0</v>
      </c>
      <c r="X585">
        <f>IF($N585=0,0,IF(AND($F585&lt;=EOMONTH(DATE(PlanYear,10,1),0),IF(ISNUMBER($G585),$G585,$F585)&gt;=DATE(PlanYear,10,1)),1,0))</f>
        <v>0</v>
      </c>
      <c r="Y585">
        <f>IF($N585=0,0,IF(AND($F585&lt;=EOMONTH(DATE(PlanYear,11,1),0),IF(ISNUMBER($G585),$G585,$F585)&gt;=DATE(PlanYear,11,1)),1,0))</f>
        <v>0</v>
      </c>
      <c r="Z585">
        <f>IF($N585=0,0,IF(AND($F585&lt;=EOMONTH(DATE(PlanYear,12,1),0),IF(ISNUMBER($G585),$G585,$F585)&gt;=DATE(PlanYear,12,1)),1,0))</f>
        <v>0</v>
      </c>
      <c r="AA585">
        <f>SUM($O585:$Z585)</f>
        <v>0</v>
      </c>
    </row>
    <row r="586" spans="1:27">
      <c r="A586" s="42">
        <f>IF($B586="","","ACT-"&amp;TEXT(ROW()-4,"000"))</f>
        <v>0</v>
      </c>
      <c r="M586" s="43">
        <f>IF(COUNTA($B586:$K586)=0,"",IF($B586="","Missing activity name",IF($C586="","Missing practice",IF(COUNTIF(PracticeNames,$C586)=0,"Practice not in Lists",IF($D586="","Missing motion",IF(NOT(ISNUMBER($F586)),"Missing or invalid start date",IF(AND(ISNUMBER($G586),$G586&lt;$F586),"End date before start",IF(AND($N586=1,$AA586=0),"Outside planning year","OK"))))))))</f>
        <v>0</v>
      </c>
      <c r="N586">
        <f>IF(AND($B586&lt;&gt;"",$C586&lt;&gt;"",$D586&lt;&gt;"",ISNUMBER($F586),COUNTIF(PracticeNames,$C586)&gt;0,COUNTIF(MotionNames,$D586)&gt;0,NOT(AND(ISNUMBER($G586),$G586&lt;$F586))),IF(StatusFilter="All (excl. Cancelled)",IF($H586="Cancelled",0,1),IF(StatusFilter="All",1,IF($H586=StatusFilter,1,0))),0)</f>
        <v>0</v>
      </c>
      <c r="O586">
        <f>IF($N586=0,0,IF(AND($F586&lt;=EOMONTH(DATE(PlanYear,1,1),0),IF(ISNUMBER($G586),$G586,$F586)&gt;=DATE(PlanYear,1,1)),1,0))</f>
        <v>0</v>
      </c>
      <c r="P586">
        <f>IF($N586=0,0,IF(AND($F586&lt;=EOMONTH(DATE(PlanYear,2,1),0),IF(ISNUMBER($G586),$G586,$F586)&gt;=DATE(PlanYear,2,1)),1,0))</f>
        <v>0</v>
      </c>
      <c r="Q586">
        <f>IF($N586=0,0,IF(AND($F586&lt;=EOMONTH(DATE(PlanYear,3,1),0),IF(ISNUMBER($G586),$G586,$F586)&gt;=DATE(PlanYear,3,1)),1,0))</f>
        <v>0</v>
      </c>
      <c r="R586">
        <f>IF($N586=0,0,IF(AND($F586&lt;=EOMONTH(DATE(PlanYear,4,1),0),IF(ISNUMBER($G586),$G586,$F586)&gt;=DATE(PlanYear,4,1)),1,0))</f>
        <v>0</v>
      </c>
      <c r="S586">
        <f>IF($N586=0,0,IF(AND($F586&lt;=EOMONTH(DATE(PlanYear,5,1),0),IF(ISNUMBER($G586),$G586,$F586)&gt;=DATE(PlanYear,5,1)),1,0))</f>
        <v>0</v>
      </c>
      <c r="T586">
        <f>IF($N586=0,0,IF(AND($F586&lt;=EOMONTH(DATE(PlanYear,6,1),0),IF(ISNUMBER($G586),$G586,$F586)&gt;=DATE(PlanYear,6,1)),1,0))</f>
        <v>0</v>
      </c>
      <c r="U586">
        <f>IF($N586=0,0,IF(AND($F586&lt;=EOMONTH(DATE(PlanYear,7,1),0),IF(ISNUMBER($G586),$G586,$F586)&gt;=DATE(PlanYear,7,1)),1,0))</f>
        <v>0</v>
      </c>
      <c r="V586">
        <f>IF($N586=0,0,IF(AND($F586&lt;=EOMONTH(DATE(PlanYear,8,1),0),IF(ISNUMBER($G586),$G586,$F586)&gt;=DATE(PlanYear,8,1)),1,0))</f>
        <v>0</v>
      </c>
      <c r="W586">
        <f>IF($N586=0,0,IF(AND($F586&lt;=EOMONTH(DATE(PlanYear,9,1),0),IF(ISNUMBER($G586),$G586,$F586)&gt;=DATE(PlanYear,9,1)),1,0))</f>
        <v>0</v>
      </c>
      <c r="X586">
        <f>IF($N586=0,0,IF(AND($F586&lt;=EOMONTH(DATE(PlanYear,10,1),0),IF(ISNUMBER($G586),$G586,$F586)&gt;=DATE(PlanYear,10,1)),1,0))</f>
        <v>0</v>
      </c>
      <c r="Y586">
        <f>IF($N586=0,0,IF(AND($F586&lt;=EOMONTH(DATE(PlanYear,11,1),0),IF(ISNUMBER($G586),$G586,$F586)&gt;=DATE(PlanYear,11,1)),1,0))</f>
        <v>0</v>
      </c>
      <c r="Z586">
        <f>IF($N586=0,0,IF(AND($F586&lt;=EOMONTH(DATE(PlanYear,12,1),0),IF(ISNUMBER($G586),$G586,$F586)&gt;=DATE(PlanYear,12,1)),1,0))</f>
        <v>0</v>
      </c>
      <c r="AA586">
        <f>SUM($O586:$Z586)</f>
        <v>0</v>
      </c>
    </row>
    <row r="587" spans="1:27">
      <c r="A587" s="42">
        <f>IF($B587="","","ACT-"&amp;TEXT(ROW()-4,"000"))</f>
        <v>0</v>
      </c>
      <c r="M587" s="43">
        <f>IF(COUNTA($B587:$K587)=0,"",IF($B587="","Missing activity name",IF($C587="","Missing practice",IF(COUNTIF(PracticeNames,$C587)=0,"Practice not in Lists",IF($D587="","Missing motion",IF(NOT(ISNUMBER($F587)),"Missing or invalid start date",IF(AND(ISNUMBER($G587),$G587&lt;$F587),"End date before start",IF(AND($N587=1,$AA587=0),"Outside planning year","OK"))))))))</f>
        <v>0</v>
      </c>
      <c r="N587">
        <f>IF(AND($B587&lt;&gt;"",$C587&lt;&gt;"",$D587&lt;&gt;"",ISNUMBER($F587),COUNTIF(PracticeNames,$C587)&gt;0,COUNTIF(MotionNames,$D587)&gt;0,NOT(AND(ISNUMBER($G587),$G587&lt;$F587))),IF(StatusFilter="All (excl. Cancelled)",IF($H587="Cancelled",0,1),IF(StatusFilter="All",1,IF($H587=StatusFilter,1,0))),0)</f>
        <v>0</v>
      </c>
      <c r="O587">
        <f>IF($N587=0,0,IF(AND($F587&lt;=EOMONTH(DATE(PlanYear,1,1),0),IF(ISNUMBER($G587),$G587,$F587)&gt;=DATE(PlanYear,1,1)),1,0))</f>
        <v>0</v>
      </c>
      <c r="P587">
        <f>IF($N587=0,0,IF(AND($F587&lt;=EOMONTH(DATE(PlanYear,2,1),0),IF(ISNUMBER($G587),$G587,$F587)&gt;=DATE(PlanYear,2,1)),1,0))</f>
        <v>0</v>
      </c>
      <c r="Q587">
        <f>IF($N587=0,0,IF(AND($F587&lt;=EOMONTH(DATE(PlanYear,3,1),0),IF(ISNUMBER($G587),$G587,$F587)&gt;=DATE(PlanYear,3,1)),1,0))</f>
        <v>0</v>
      </c>
      <c r="R587">
        <f>IF($N587=0,0,IF(AND($F587&lt;=EOMONTH(DATE(PlanYear,4,1),0),IF(ISNUMBER($G587),$G587,$F587)&gt;=DATE(PlanYear,4,1)),1,0))</f>
        <v>0</v>
      </c>
      <c r="S587">
        <f>IF($N587=0,0,IF(AND($F587&lt;=EOMONTH(DATE(PlanYear,5,1),0),IF(ISNUMBER($G587),$G587,$F587)&gt;=DATE(PlanYear,5,1)),1,0))</f>
        <v>0</v>
      </c>
      <c r="T587">
        <f>IF($N587=0,0,IF(AND($F587&lt;=EOMONTH(DATE(PlanYear,6,1),0),IF(ISNUMBER($G587),$G587,$F587)&gt;=DATE(PlanYear,6,1)),1,0))</f>
        <v>0</v>
      </c>
      <c r="U587">
        <f>IF($N587=0,0,IF(AND($F587&lt;=EOMONTH(DATE(PlanYear,7,1),0),IF(ISNUMBER($G587),$G587,$F587)&gt;=DATE(PlanYear,7,1)),1,0))</f>
        <v>0</v>
      </c>
      <c r="V587">
        <f>IF($N587=0,0,IF(AND($F587&lt;=EOMONTH(DATE(PlanYear,8,1),0),IF(ISNUMBER($G587),$G587,$F587)&gt;=DATE(PlanYear,8,1)),1,0))</f>
        <v>0</v>
      </c>
      <c r="W587">
        <f>IF($N587=0,0,IF(AND($F587&lt;=EOMONTH(DATE(PlanYear,9,1),0),IF(ISNUMBER($G587),$G587,$F587)&gt;=DATE(PlanYear,9,1)),1,0))</f>
        <v>0</v>
      </c>
      <c r="X587">
        <f>IF($N587=0,0,IF(AND($F587&lt;=EOMONTH(DATE(PlanYear,10,1),0),IF(ISNUMBER($G587),$G587,$F587)&gt;=DATE(PlanYear,10,1)),1,0))</f>
        <v>0</v>
      </c>
      <c r="Y587">
        <f>IF($N587=0,0,IF(AND($F587&lt;=EOMONTH(DATE(PlanYear,11,1),0),IF(ISNUMBER($G587),$G587,$F587)&gt;=DATE(PlanYear,11,1)),1,0))</f>
        <v>0</v>
      </c>
      <c r="Z587">
        <f>IF($N587=0,0,IF(AND($F587&lt;=EOMONTH(DATE(PlanYear,12,1),0),IF(ISNUMBER($G587),$G587,$F587)&gt;=DATE(PlanYear,12,1)),1,0))</f>
        <v>0</v>
      </c>
      <c r="AA587">
        <f>SUM($O587:$Z587)</f>
        <v>0</v>
      </c>
    </row>
    <row r="588" spans="1:27">
      <c r="A588" s="42">
        <f>IF($B588="","","ACT-"&amp;TEXT(ROW()-4,"000"))</f>
        <v>0</v>
      </c>
      <c r="M588" s="43">
        <f>IF(COUNTA($B588:$K588)=0,"",IF($B588="","Missing activity name",IF($C588="","Missing practice",IF(COUNTIF(PracticeNames,$C588)=0,"Practice not in Lists",IF($D588="","Missing motion",IF(NOT(ISNUMBER($F588)),"Missing or invalid start date",IF(AND(ISNUMBER($G588),$G588&lt;$F588),"End date before start",IF(AND($N588=1,$AA588=0),"Outside planning year","OK"))))))))</f>
        <v>0</v>
      </c>
      <c r="N588">
        <f>IF(AND($B588&lt;&gt;"",$C588&lt;&gt;"",$D588&lt;&gt;"",ISNUMBER($F588),COUNTIF(PracticeNames,$C588)&gt;0,COUNTIF(MotionNames,$D588)&gt;0,NOT(AND(ISNUMBER($G588),$G588&lt;$F588))),IF(StatusFilter="All (excl. Cancelled)",IF($H588="Cancelled",0,1),IF(StatusFilter="All",1,IF($H588=StatusFilter,1,0))),0)</f>
        <v>0</v>
      </c>
      <c r="O588">
        <f>IF($N588=0,0,IF(AND($F588&lt;=EOMONTH(DATE(PlanYear,1,1),0),IF(ISNUMBER($G588),$G588,$F588)&gt;=DATE(PlanYear,1,1)),1,0))</f>
        <v>0</v>
      </c>
      <c r="P588">
        <f>IF($N588=0,0,IF(AND($F588&lt;=EOMONTH(DATE(PlanYear,2,1),0),IF(ISNUMBER($G588),$G588,$F588)&gt;=DATE(PlanYear,2,1)),1,0))</f>
        <v>0</v>
      </c>
      <c r="Q588">
        <f>IF($N588=0,0,IF(AND($F588&lt;=EOMONTH(DATE(PlanYear,3,1),0),IF(ISNUMBER($G588),$G588,$F588)&gt;=DATE(PlanYear,3,1)),1,0))</f>
        <v>0</v>
      </c>
      <c r="R588">
        <f>IF($N588=0,0,IF(AND($F588&lt;=EOMONTH(DATE(PlanYear,4,1),0),IF(ISNUMBER($G588),$G588,$F588)&gt;=DATE(PlanYear,4,1)),1,0))</f>
        <v>0</v>
      </c>
      <c r="S588">
        <f>IF($N588=0,0,IF(AND($F588&lt;=EOMONTH(DATE(PlanYear,5,1),0),IF(ISNUMBER($G588),$G588,$F588)&gt;=DATE(PlanYear,5,1)),1,0))</f>
        <v>0</v>
      </c>
      <c r="T588">
        <f>IF($N588=0,0,IF(AND($F588&lt;=EOMONTH(DATE(PlanYear,6,1),0),IF(ISNUMBER($G588),$G588,$F588)&gt;=DATE(PlanYear,6,1)),1,0))</f>
        <v>0</v>
      </c>
      <c r="U588">
        <f>IF($N588=0,0,IF(AND($F588&lt;=EOMONTH(DATE(PlanYear,7,1),0),IF(ISNUMBER($G588),$G588,$F588)&gt;=DATE(PlanYear,7,1)),1,0))</f>
        <v>0</v>
      </c>
      <c r="V588">
        <f>IF($N588=0,0,IF(AND($F588&lt;=EOMONTH(DATE(PlanYear,8,1),0),IF(ISNUMBER($G588),$G588,$F588)&gt;=DATE(PlanYear,8,1)),1,0))</f>
        <v>0</v>
      </c>
      <c r="W588">
        <f>IF($N588=0,0,IF(AND($F588&lt;=EOMONTH(DATE(PlanYear,9,1),0),IF(ISNUMBER($G588),$G588,$F588)&gt;=DATE(PlanYear,9,1)),1,0))</f>
        <v>0</v>
      </c>
      <c r="X588">
        <f>IF($N588=0,0,IF(AND($F588&lt;=EOMONTH(DATE(PlanYear,10,1),0),IF(ISNUMBER($G588),$G588,$F588)&gt;=DATE(PlanYear,10,1)),1,0))</f>
        <v>0</v>
      </c>
      <c r="Y588">
        <f>IF($N588=0,0,IF(AND($F588&lt;=EOMONTH(DATE(PlanYear,11,1),0),IF(ISNUMBER($G588),$G588,$F588)&gt;=DATE(PlanYear,11,1)),1,0))</f>
        <v>0</v>
      </c>
      <c r="Z588">
        <f>IF($N588=0,0,IF(AND($F588&lt;=EOMONTH(DATE(PlanYear,12,1),0),IF(ISNUMBER($G588),$G588,$F588)&gt;=DATE(PlanYear,12,1)),1,0))</f>
        <v>0</v>
      </c>
      <c r="AA588">
        <f>SUM($O588:$Z588)</f>
        <v>0</v>
      </c>
    </row>
    <row r="589" spans="1:27">
      <c r="A589" s="42">
        <f>IF($B589="","","ACT-"&amp;TEXT(ROW()-4,"000"))</f>
        <v>0</v>
      </c>
      <c r="M589" s="43">
        <f>IF(COUNTA($B589:$K589)=0,"",IF($B589="","Missing activity name",IF($C589="","Missing practice",IF(COUNTIF(PracticeNames,$C589)=0,"Practice not in Lists",IF($D589="","Missing motion",IF(NOT(ISNUMBER($F589)),"Missing or invalid start date",IF(AND(ISNUMBER($G589),$G589&lt;$F589),"End date before start",IF(AND($N589=1,$AA589=0),"Outside planning year","OK"))))))))</f>
        <v>0</v>
      </c>
      <c r="N589">
        <f>IF(AND($B589&lt;&gt;"",$C589&lt;&gt;"",$D589&lt;&gt;"",ISNUMBER($F589),COUNTIF(PracticeNames,$C589)&gt;0,COUNTIF(MotionNames,$D589)&gt;0,NOT(AND(ISNUMBER($G589),$G589&lt;$F589))),IF(StatusFilter="All (excl. Cancelled)",IF($H589="Cancelled",0,1),IF(StatusFilter="All",1,IF($H589=StatusFilter,1,0))),0)</f>
        <v>0</v>
      </c>
      <c r="O589">
        <f>IF($N589=0,0,IF(AND($F589&lt;=EOMONTH(DATE(PlanYear,1,1),0),IF(ISNUMBER($G589),$G589,$F589)&gt;=DATE(PlanYear,1,1)),1,0))</f>
        <v>0</v>
      </c>
      <c r="P589">
        <f>IF($N589=0,0,IF(AND($F589&lt;=EOMONTH(DATE(PlanYear,2,1),0),IF(ISNUMBER($G589),$G589,$F589)&gt;=DATE(PlanYear,2,1)),1,0))</f>
        <v>0</v>
      </c>
      <c r="Q589">
        <f>IF($N589=0,0,IF(AND($F589&lt;=EOMONTH(DATE(PlanYear,3,1),0),IF(ISNUMBER($G589),$G589,$F589)&gt;=DATE(PlanYear,3,1)),1,0))</f>
        <v>0</v>
      </c>
      <c r="R589">
        <f>IF($N589=0,0,IF(AND($F589&lt;=EOMONTH(DATE(PlanYear,4,1),0),IF(ISNUMBER($G589),$G589,$F589)&gt;=DATE(PlanYear,4,1)),1,0))</f>
        <v>0</v>
      </c>
      <c r="S589">
        <f>IF($N589=0,0,IF(AND($F589&lt;=EOMONTH(DATE(PlanYear,5,1),0),IF(ISNUMBER($G589),$G589,$F589)&gt;=DATE(PlanYear,5,1)),1,0))</f>
        <v>0</v>
      </c>
      <c r="T589">
        <f>IF($N589=0,0,IF(AND($F589&lt;=EOMONTH(DATE(PlanYear,6,1),0),IF(ISNUMBER($G589),$G589,$F589)&gt;=DATE(PlanYear,6,1)),1,0))</f>
        <v>0</v>
      </c>
      <c r="U589">
        <f>IF($N589=0,0,IF(AND($F589&lt;=EOMONTH(DATE(PlanYear,7,1),0),IF(ISNUMBER($G589),$G589,$F589)&gt;=DATE(PlanYear,7,1)),1,0))</f>
        <v>0</v>
      </c>
      <c r="V589">
        <f>IF($N589=0,0,IF(AND($F589&lt;=EOMONTH(DATE(PlanYear,8,1),0),IF(ISNUMBER($G589),$G589,$F589)&gt;=DATE(PlanYear,8,1)),1,0))</f>
        <v>0</v>
      </c>
      <c r="W589">
        <f>IF($N589=0,0,IF(AND($F589&lt;=EOMONTH(DATE(PlanYear,9,1),0),IF(ISNUMBER($G589),$G589,$F589)&gt;=DATE(PlanYear,9,1)),1,0))</f>
        <v>0</v>
      </c>
      <c r="X589">
        <f>IF($N589=0,0,IF(AND($F589&lt;=EOMONTH(DATE(PlanYear,10,1),0),IF(ISNUMBER($G589),$G589,$F589)&gt;=DATE(PlanYear,10,1)),1,0))</f>
        <v>0</v>
      </c>
      <c r="Y589">
        <f>IF($N589=0,0,IF(AND($F589&lt;=EOMONTH(DATE(PlanYear,11,1),0),IF(ISNUMBER($G589),$G589,$F589)&gt;=DATE(PlanYear,11,1)),1,0))</f>
        <v>0</v>
      </c>
      <c r="Z589">
        <f>IF($N589=0,0,IF(AND($F589&lt;=EOMONTH(DATE(PlanYear,12,1),0),IF(ISNUMBER($G589),$G589,$F589)&gt;=DATE(PlanYear,12,1)),1,0))</f>
        <v>0</v>
      </c>
      <c r="AA589">
        <f>SUM($O589:$Z589)</f>
        <v>0</v>
      </c>
    </row>
    <row r="590" spans="1:27">
      <c r="A590" s="42">
        <f>IF($B590="","","ACT-"&amp;TEXT(ROW()-4,"000"))</f>
        <v>0</v>
      </c>
      <c r="M590" s="43">
        <f>IF(COUNTA($B590:$K590)=0,"",IF($B590="","Missing activity name",IF($C590="","Missing practice",IF(COUNTIF(PracticeNames,$C590)=0,"Practice not in Lists",IF($D590="","Missing motion",IF(NOT(ISNUMBER($F590)),"Missing or invalid start date",IF(AND(ISNUMBER($G590),$G590&lt;$F590),"End date before start",IF(AND($N590=1,$AA590=0),"Outside planning year","OK"))))))))</f>
        <v>0</v>
      </c>
      <c r="N590">
        <f>IF(AND($B590&lt;&gt;"",$C590&lt;&gt;"",$D590&lt;&gt;"",ISNUMBER($F590),COUNTIF(PracticeNames,$C590)&gt;0,COUNTIF(MotionNames,$D590)&gt;0,NOT(AND(ISNUMBER($G590),$G590&lt;$F590))),IF(StatusFilter="All (excl. Cancelled)",IF($H590="Cancelled",0,1),IF(StatusFilter="All",1,IF($H590=StatusFilter,1,0))),0)</f>
        <v>0</v>
      </c>
      <c r="O590">
        <f>IF($N590=0,0,IF(AND($F590&lt;=EOMONTH(DATE(PlanYear,1,1),0),IF(ISNUMBER($G590),$G590,$F590)&gt;=DATE(PlanYear,1,1)),1,0))</f>
        <v>0</v>
      </c>
      <c r="P590">
        <f>IF($N590=0,0,IF(AND($F590&lt;=EOMONTH(DATE(PlanYear,2,1),0),IF(ISNUMBER($G590),$G590,$F590)&gt;=DATE(PlanYear,2,1)),1,0))</f>
        <v>0</v>
      </c>
      <c r="Q590">
        <f>IF($N590=0,0,IF(AND($F590&lt;=EOMONTH(DATE(PlanYear,3,1),0),IF(ISNUMBER($G590),$G590,$F590)&gt;=DATE(PlanYear,3,1)),1,0))</f>
        <v>0</v>
      </c>
      <c r="R590">
        <f>IF($N590=0,0,IF(AND($F590&lt;=EOMONTH(DATE(PlanYear,4,1),0),IF(ISNUMBER($G590),$G590,$F590)&gt;=DATE(PlanYear,4,1)),1,0))</f>
        <v>0</v>
      </c>
      <c r="S590">
        <f>IF($N590=0,0,IF(AND($F590&lt;=EOMONTH(DATE(PlanYear,5,1),0),IF(ISNUMBER($G590),$G590,$F590)&gt;=DATE(PlanYear,5,1)),1,0))</f>
        <v>0</v>
      </c>
      <c r="T590">
        <f>IF($N590=0,0,IF(AND($F590&lt;=EOMONTH(DATE(PlanYear,6,1),0),IF(ISNUMBER($G590),$G590,$F590)&gt;=DATE(PlanYear,6,1)),1,0))</f>
        <v>0</v>
      </c>
      <c r="U590">
        <f>IF($N590=0,0,IF(AND($F590&lt;=EOMONTH(DATE(PlanYear,7,1),0),IF(ISNUMBER($G590),$G590,$F590)&gt;=DATE(PlanYear,7,1)),1,0))</f>
        <v>0</v>
      </c>
      <c r="V590">
        <f>IF($N590=0,0,IF(AND($F590&lt;=EOMONTH(DATE(PlanYear,8,1),0),IF(ISNUMBER($G590),$G590,$F590)&gt;=DATE(PlanYear,8,1)),1,0))</f>
        <v>0</v>
      </c>
      <c r="W590">
        <f>IF($N590=0,0,IF(AND($F590&lt;=EOMONTH(DATE(PlanYear,9,1),0),IF(ISNUMBER($G590),$G590,$F590)&gt;=DATE(PlanYear,9,1)),1,0))</f>
        <v>0</v>
      </c>
      <c r="X590">
        <f>IF($N590=0,0,IF(AND($F590&lt;=EOMONTH(DATE(PlanYear,10,1),0),IF(ISNUMBER($G590),$G590,$F590)&gt;=DATE(PlanYear,10,1)),1,0))</f>
        <v>0</v>
      </c>
      <c r="Y590">
        <f>IF($N590=0,0,IF(AND($F590&lt;=EOMONTH(DATE(PlanYear,11,1),0),IF(ISNUMBER($G590),$G590,$F590)&gt;=DATE(PlanYear,11,1)),1,0))</f>
        <v>0</v>
      </c>
      <c r="Z590">
        <f>IF($N590=0,0,IF(AND($F590&lt;=EOMONTH(DATE(PlanYear,12,1),0),IF(ISNUMBER($G590),$G590,$F590)&gt;=DATE(PlanYear,12,1)),1,0))</f>
        <v>0</v>
      </c>
      <c r="AA590">
        <f>SUM($O590:$Z590)</f>
        <v>0</v>
      </c>
    </row>
    <row r="591" spans="1:27">
      <c r="A591" s="42">
        <f>IF($B591="","","ACT-"&amp;TEXT(ROW()-4,"000"))</f>
        <v>0</v>
      </c>
      <c r="M591" s="43">
        <f>IF(COUNTA($B591:$K591)=0,"",IF($B591="","Missing activity name",IF($C591="","Missing practice",IF(COUNTIF(PracticeNames,$C591)=0,"Practice not in Lists",IF($D591="","Missing motion",IF(NOT(ISNUMBER($F591)),"Missing or invalid start date",IF(AND(ISNUMBER($G591),$G591&lt;$F591),"End date before start",IF(AND($N591=1,$AA591=0),"Outside planning year","OK"))))))))</f>
        <v>0</v>
      </c>
      <c r="N591">
        <f>IF(AND($B591&lt;&gt;"",$C591&lt;&gt;"",$D591&lt;&gt;"",ISNUMBER($F591),COUNTIF(PracticeNames,$C591)&gt;0,COUNTIF(MotionNames,$D591)&gt;0,NOT(AND(ISNUMBER($G591),$G591&lt;$F591))),IF(StatusFilter="All (excl. Cancelled)",IF($H591="Cancelled",0,1),IF(StatusFilter="All",1,IF($H591=StatusFilter,1,0))),0)</f>
        <v>0</v>
      </c>
      <c r="O591">
        <f>IF($N591=0,0,IF(AND($F591&lt;=EOMONTH(DATE(PlanYear,1,1),0),IF(ISNUMBER($G591),$G591,$F591)&gt;=DATE(PlanYear,1,1)),1,0))</f>
        <v>0</v>
      </c>
      <c r="P591">
        <f>IF($N591=0,0,IF(AND($F591&lt;=EOMONTH(DATE(PlanYear,2,1),0),IF(ISNUMBER($G591),$G591,$F591)&gt;=DATE(PlanYear,2,1)),1,0))</f>
        <v>0</v>
      </c>
      <c r="Q591">
        <f>IF($N591=0,0,IF(AND($F591&lt;=EOMONTH(DATE(PlanYear,3,1),0),IF(ISNUMBER($G591),$G591,$F591)&gt;=DATE(PlanYear,3,1)),1,0))</f>
        <v>0</v>
      </c>
      <c r="R591">
        <f>IF($N591=0,0,IF(AND($F591&lt;=EOMONTH(DATE(PlanYear,4,1),0),IF(ISNUMBER($G591),$G591,$F591)&gt;=DATE(PlanYear,4,1)),1,0))</f>
        <v>0</v>
      </c>
      <c r="S591">
        <f>IF($N591=0,0,IF(AND($F591&lt;=EOMONTH(DATE(PlanYear,5,1),0),IF(ISNUMBER($G591),$G591,$F591)&gt;=DATE(PlanYear,5,1)),1,0))</f>
        <v>0</v>
      </c>
      <c r="T591">
        <f>IF($N591=0,0,IF(AND($F591&lt;=EOMONTH(DATE(PlanYear,6,1),0),IF(ISNUMBER($G591),$G591,$F591)&gt;=DATE(PlanYear,6,1)),1,0))</f>
        <v>0</v>
      </c>
      <c r="U591">
        <f>IF($N591=0,0,IF(AND($F591&lt;=EOMONTH(DATE(PlanYear,7,1),0),IF(ISNUMBER($G591),$G591,$F591)&gt;=DATE(PlanYear,7,1)),1,0))</f>
        <v>0</v>
      </c>
      <c r="V591">
        <f>IF($N591=0,0,IF(AND($F591&lt;=EOMONTH(DATE(PlanYear,8,1),0),IF(ISNUMBER($G591),$G591,$F591)&gt;=DATE(PlanYear,8,1)),1,0))</f>
        <v>0</v>
      </c>
      <c r="W591">
        <f>IF($N591=0,0,IF(AND($F591&lt;=EOMONTH(DATE(PlanYear,9,1),0),IF(ISNUMBER($G591),$G591,$F591)&gt;=DATE(PlanYear,9,1)),1,0))</f>
        <v>0</v>
      </c>
      <c r="X591">
        <f>IF($N591=0,0,IF(AND($F591&lt;=EOMONTH(DATE(PlanYear,10,1),0),IF(ISNUMBER($G591),$G591,$F591)&gt;=DATE(PlanYear,10,1)),1,0))</f>
        <v>0</v>
      </c>
      <c r="Y591">
        <f>IF($N591=0,0,IF(AND($F591&lt;=EOMONTH(DATE(PlanYear,11,1),0),IF(ISNUMBER($G591),$G591,$F591)&gt;=DATE(PlanYear,11,1)),1,0))</f>
        <v>0</v>
      </c>
      <c r="Z591">
        <f>IF($N591=0,0,IF(AND($F591&lt;=EOMONTH(DATE(PlanYear,12,1),0),IF(ISNUMBER($G591),$G591,$F591)&gt;=DATE(PlanYear,12,1)),1,0))</f>
        <v>0</v>
      </c>
      <c r="AA591">
        <f>SUM($O591:$Z591)</f>
        <v>0</v>
      </c>
    </row>
    <row r="592" spans="1:27">
      <c r="A592" s="42">
        <f>IF($B592="","","ACT-"&amp;TEXT(ROW()-4,"000"))</f>
        <v>0</v>
      </c>
      <c r="M592" s="43">
        <f>IF(COUNTA($B592:$K592)=0,"",IF($B592="","Missing activity name",IF($C592="","Missing practice",IF(COUNTIF(PracticeNames,$C592)=0,"Practice not in Lists",IF($D592="","Missing motion",IF(NOT(ISNUMBER($F592)),"Missing or invalid start date",IF(AND(ISNUMBER($G592),$G592&lt;$F592),"End date before start",IF(AND($N592=1,$AA592=0),"Outside planning year","OK"))))))))</f>
        <v>0</v>
      </c>
      <c r="N592">
        <f>IF(AND($B592&lt;&gt;"",$C592&lt;&gt;"",$D592&lt;&gt;"",ISNUMBER($F592),COUNTIF(PracticeNames,$C592)&gt;0,COUNTIF(MotionNames,$D592)&gt;0,NOT(AND(ISNUMBER($G592),$G592&lt;$F592))),IF(StatusFilter="All (excl. Cancelled)",IF($H592="Cancelled",0,1),IF(StatusFilter="All",1,IF($H592=StatusFilter,1,0))),0)</f>
        <v>0</v>
      </c>
      <c r="O592">
        <f>IF($N592=0,0,IF(AND($F592&lt;=EOMONTH(DATE(PlanYear,1,1),0),IF(ISNUMBER($G592),$G592,$F592)&gt;=DATE(PlanYear,1,1)),1,0))</f>
        <v>0</v>
      </c>
      <c r="P592">
        <f>IF($N592=0,0,IF(AND($F592&lt;=EOMONTH(DATE(PlanYear,2,1),0),IF(ISNUMBER($G592),$G592,$F592)&gt;=DATE(PlanYear,2,1)),1,0))</f>
        <v>0</v>
      </c>
      <c r="Q592">
        <f>IF($N592=0,0,IF(AND($F592&lt;=EOMONTH(DATE(PlanYear,3,1),0),IF(ISNUMBER($G592),$G592,$F592)&gt;=DATE(PlanYear,3,1)),1,0))</f>
        <v>0</v>
      </c>
      <c r="R592">
        <f>IF($N592=0,0,IF(AND($F592&lt;=EOMONTH(DATE(PlanYear,4,1),0),IF(ISNUMBER($G592),$G592,$F592)&gt;=DATE(PlanYear,4,1)),1,0))</f>
        <v>0</v>
      </c>
      <c r="S592">
        <f>IF($N592=0,0,IF(AND($F592&lt;=EOMONTH(DATE(PlanYear,5,1),0),IF(ISNUMBER($G592),$G592,$F592)&gt;=DATE(PlanYear,5,1)),1,0))</f>
        <v>0</v>
      </c>
      <c r="T592">
        <f>IF($N592=0,0,IF(AND($F592&lt;=EOMONTH(DATE(PlanYear,6,1),0),IF(ISNUMBER($G592),$G592,$F592)&gt;=DATE(PlanYear,6,1)),1,0))</f>
        <v>0</v>
      </c>
      <c r="U592">
        <f>IF($N592=0,0,IF(AND($F592&lt;=EOMONTH(DATE(PlanYear,7,1),0),IF(ISNUMBER($G592),$G592,$F592)&gt;=DATE(PlanYear,7,1)),1,0))</f>
        <v>0</v>
      </c>
      <c r="V592">
        <f>IF($N592=0,0,IF(AND($F592&lt;=EOMONTH(DATE(PlanYear,8,1),0),IF(ISNUMBER($G592),$G592,$F592)&gt;=DATE(PlanYear,8,1)),1,0))</f>
        <v>0</v>
      </c>
      <c r="W592">
        <f>IF($N592=0,0,IF(AND($F592&lt;=EOMONTH(DATE(PlanYear,9,1),0),IF(ISNUMBER($G592),$G592,$F592)&gt;=DATE(PlanYear,9,1)),1,0))</f>
        <v>0</v>
      </c>
      <c r="X592">
        <f>IF($N592=0,0,IF(AND($F592&lt;=EOMONTH(DATE(PlanYear,10,1),0),IF(ISNUMBER($G592),$G592,$F592)&gt;=DATE(PlanYear,10,1)),1,0))</f>
        <v>0</v>
      </c>
      <c r="Y592">
        <f>IF($N592=0,0,IF(AND($F592&lt;=EOMONTH(DATE(PlanYear,11,1),0),IF(ISNUMBER($G592),$G592,$F592)&gt;=DATE(PlanYear,11,1)),1,0))</f>
        <v>0</v>
      </c>
      <c r="Z592">
        <f>IF($N592=0,0,IF(AND($F592&lt;=EOMONTH(DATE(PlanYear,12,1),0),IF(ISNUMBER($G592),$G592,$F592)&gt;=DATE(PlanYear,12,1)),1,0))</f>
        <v>0</v>
      </c>
      <c r="AA592">
        <f>SUM($O592:$Z592)</f>
        <v>0</v>
      </c>
    </row>
    <row r="593" spans="1:27">
      <c r="A593" s="42">
        <f>IF($B593="","","ACT-"&amp;TEXT(ROW()-4,"000"))</f>
        <v>0</v>
      </c>
      <c r="M593" s="43">
        <f>IF(COUNTA($B593:$K593)=0,"",IF($B593="","Missing activity name",IF($C593="","Missing practice",IF(COUNTIF(PracticeNames,$C593)=0,"Practice not in Lists",IF($D593="","Missing motion",IF(NOT(ISNUMBER($F593)),"Missing or invalid start date",IF(AND(ISNUMBER($G593),$G593&lt;$F593),"End date before start",IF(AND($N593=1,$AA593=0),"Outside planning year","OK"))))))))</f>
        <v>0</v>
      </c>
      <c r="N593">
        <f>IF(AND($B593&lt;&gt;"",$C593&lt;&gt;"",$D593&lt;&gt;"",ISNUMBER($F593),COUNTIF(PracticeNames,$C593)&gt;0,COUNTIF(MotionNames,$D593)&gt;0,NOT(AND(ISNUMBER($G593),$G593&lt;$F593))),IF(StatusFilter="All (excl. Cancelled)",IF($H593="Cancelled",0,1),IF(StatusFilter="All",1,IF($H593=StatusFilter,1,0))),0)</f>
        <v>0</v>
      </c>
      <c r="O593">
        <f>IF($N593=0,0,IF(AND($F593&lt;=EOMONTH(DATE(PlanYear,1,1),0),IF(ISNUMBER($G593),$G593,$F593)&gt;=DATE(PlanYear,1,1)),1,0))</f>
        <v>0</v>
      </c>
      <c r="P593">
        <f>IF($N593=0,0,IF(AND($F593&lt;=EOMONTH(DATE(PlanYear,2,1),0),IF(ISNUMBER($G593),$G593,$F593)&gt;=DATE(PlanYear,2,1)),1,0))</f>
        <v>0</v>
      </c>
      <c r="Q593">
        <f>IF($N593=0,0,IF(AND($F593&lt;=EOMONTH(DATE(PlanYear,3,1),0),IF(ISNUMBER($G593),$G593,$F593)&gt;=DATE(PlanYear,3,1)),1,0))</f>
        <v>0</v>
      </c>
      <c r="R593">
        <f>IF($N593=0,0,IF(AND($F593&lt;=EOMONTH(DATE(PlanYear,4,1),0),IF(ISNUMBER($G593),$G593,$F593)&gt;=DATE(PlanYear,4,1)),1,0))</f>
        <v>0</v>
      </c>
      <c r="S593">
        <f>IF($N593=0,0,IF(AND($F593&lt;=EOMONTH(DATE(PlanYear,5,1),0),IF(ISNUMBER($G593),$G593,$F593)&gt;=DATE(PlanYear,5,1)),1,0))</f>
        <v>0</v>
      </c>
      <c r="T593">
        <f>IF($N593=0,0,IF(AND($F593&lt;=EOMONTH(DATE(PlanYear,6,1),0),IF(ISNUMBER($G593),$G593,$F593)&gt;=DATE(PlanYear,6,1)),1,0))</f>
        <v>0</v>
      </c>
      <c r="U593">
        <f>IF($N593=0,0,IF(AND($F593&lt;=EOMONTH(DATE(PlanYear,7,1),0),IF(ISNUMBER($G593),$G593,$F593)&gt;=DATE(PlanYear,7,1)),1,0))</f>
        <v>0</v>
      </c>
      <c r="V593">
        <f>IF($N593=0,0,IF(AND($F593&lt;=EOMONTH(DATE(PlanYear,8,1),0),IF(ISNUMBER($G593),$G593,$F593)&gt;=DATE(PlanYear,8,1)),1,0))</f>
        <v>0</v>
      </c>
      <c r="W593">
        <f>IF($N593=0,0,IF(AND($F593&lt;=EOMONTH(DATE(PlanYear,9,1),0),IF(ISNUMBER($G593),$G593,$F593)&gt;=DATE(PlanYear,9,1)),1,0))</f>
        <v>0</v>
      </c>
      <c r="X593">
        <f>IF($N593=0,0,IF(AND($F593&lt;=EOMONTH(DATE(PlanYear,10,1),0),IF(ISNUMBER($G593),$G593,$F593)&gt;=DATE(PlanYear,10,1)),1,0))</f>
        <v>0</v>
      </c>
      <c r="Y593">
        <f>IF($N593=0,0,IF(AND($F593&lt;=EOMONTH(DATE(PlanYear,11,1),0),IF(ISNUMBER($G593),$G593,$F593)&gt;=DATE(PlanYear,11,1)),1,0))</f>
        <v>0</v>
      </c>
      <c r="Z593">
        <f>IF($N593=0,0,IF(AND($F593&lt;=EOMONTH(DATE(PlanYear,12,1),0),IF(ISNUMBER($G593),$G593,$F593)&gt;=DATE(PlanYear,12,1)),1,0))</f>
        <v>0</v>
      </c>
      <c r="AA593">
        <f>SUM($O593:$Z593)</f>
        <v>0</v>
      </c>
    </row>
    <row r="594" spans="1:27">
      <c r="A594" s="42">
        <f>IF($B594="","","ACT-"&amp;TEXT(ROW()-4,"000"))</f>
        <v>0</v>
      </c>
      <c r="M594" s="43">
        <f>IF(COUNTA($B594:$K594)=0,"",IF($B594="","Missing activity name",IF($C594="","Missing practice",IF(COUNTIF(PracticeNames,$C594)=0,"Practice not in Lists",IF($D594="","Missing motion",IF(NOT(ISNUMBER($F594)),"Missing or invalid start date",IF(AND(ISNUMBER($G594),$G594&lt;$F594),"End date before start",IF(AND($N594=1,$AA594=0),"Outside planning year","OK"))))))))</f>
        <v>0</v>
      </c>
      <c r="N594">
        <f>IF(AND($B594&lt;&gt;"",$C594&lt;&gt;"",$D594&lt;&gt;"",ISNUMBER($F594),COUNTIF(PracticeNames,$C594)&gt;0,COUNTIF(MotionNames,$D594)&gt;0,NOT(AND(ISNUMBER($G594),$G594&lt;$F594))),IF(StatusFilter="All (excl. Cancelled)",IF($H594="Cancelled",0,1),IF(StatusFilter="All",1,IF($H594=StatusFilter,1,0))),0)</f>
        <v>0</v>
      </c>
      <c r="O594">
        <f>IF($N594=0,0,IF(AND($F594&lt;=EOMONTH(DATE(PlanYear,1,1),0),IF(ISNUMBER($G594),$G594,$F594)&gt;=DATE(PlanYear,1,1)),1,0))</f>
        <v>0</v>
      </c>
      <c r="P594">
        <f>IF($N594=0,0,IF(AND($F594&lt;=EOMONTH(DATE(PlanYear,2,1),0),IF(ISNUMBER($G594),$G594,$F594)&gt;=DATE(PlanYear,2,1)),1,0))</f>
        <v>0</v>
      </c>
      <c r="Q594">
        <f>IF($N594=0,0,IF(AND($F594&lt;=EOMONTH(DATE(PlanYear,3,1),0),IF(ISNUMBER($G594),$G594,$F594)&gt;=DATE(PlanYear,3,1)),1,0))</f>
        <v>0</v>
      </c>
      <c r="R594">
        <f>IF($N594=0,0,IF(AND($F594&lt;=EOMONTH(DATE(PlanYear,4,1),0),IF(ISNUMBER($G594),$G594,$F594)&gt;=DATE(PlanYear,4,1)),1,0))</f>
        <v>0</v>
      </c>
      <c r="S594">
        <f>IF($N594=0,0,IF(AND($F594&lt;=EOMONTH(DATE(PlanYear,5,1),0),IF(ISNUMBER($G594),$G594,$F594)&gt;=DATE(PlanYear,5,1)),1,0))</f>
        <v>0</v>
      </c>
      <c r="T594">
        <f>IF($N594=0,0,IF(AND($F594&lt;=EOMONTH(DATE(PlanYear,6,1),0),IF(ISNUMBER($G594),$G594,$F594)&gt;=DATE(PlanYear,6,1)),1,0))</f>
        <v>0</v>
      </c>
      <c r="U594">
        <f>IF($N594=0,0,IF(AND($F594&lt;=EOMONTH(DATE(PlanYear,7,1),0),IF(ISNUMBER($G594),$G594,$F594)&gt;=DATE(PlanYear,7,1)),1,0))</f>
        <v>0</v>
      </c>
      <c r="V594">
        <f>IF($N594=0,0,IF(AND($F594&lt;=EOMONTH(DATE(PlanYear,8,1),0),IF(ISNUMBER($G594),$G594,$F594)&gt;=DATE(PlanYear,8,1)),1,0))</f>
        <v>0</v>
      </c>
      <c r="W594">
        <f>IF($N594=0,0,IF(AND($F594&lt;=EOMONTH(DATE(PlanYear,9,1),0),IF(ISNUMBER($G594),$G594,$F594)&gt;=DATE(PlanYear,9,1)),1,0))</f>
        <v>0</v>
      </c>
      <c r="X594">
        <f>IF($N594=0,0,IF(AND($F594&lt;=EOMONTH(DATE(PlanYear,10,1),0),IF(ISNUMBER($G594),$G594,$F594)&gt;=DATE(PlanYear,10,1)),1,0))</f>
        <v>0</v>
      </c>
      <c r="Y594">
        <f>IF($N594=0,0,IF(AND($F594&lt;=EOMONTH(DATE(PlanYear,11,1),0),IF(ISNUMBER($G594),$G594,$F594)&gt;=DATE(PlanYear,11,1)),1,0))</f>
        <v>0</v>
      </c>
      <c r="Z594">
        <f>IF($N594=0,0,IF(AND($F594&lt;=EOMONTH(DATE(PlanYear,12,1),0),IF(ISNUMBER($G594),$G594,$F594)&gt;=DATE(PlanYear,12,1)),1,0))</f>
        <v>0</v>
      </c>
      <c r="AA594">
        <f>SUM($O594:$Z594)</f>
        <v>0</v>
      </c>
    </row>
    <row r="595" spans="1:27">
      <c r="A595" s="42">
        <f>IF($B595="","","ACT-"&amp;TEXT(ROW()-4,"000"))</f>
        <v>0</v>
      </c>
      <c r="M595" s="43">
        <f>IF(COUNTA($B595:$K595)=0,"",IF($B595="","Missing activity name",IF($C595="","Missing practice",IF(COUNTIF(PracticeNames,$C595)=0,"Practice not in Lists",IF($D595="","Missing motion",IF(NOT(ISNUMBER($F595)),"Missing or invalid start date",IF(AND(ISNUMBER($G595),$G595&lt;$F595),"End date before start",IF(AND($N595=1,$AA595=0),"Outside planning year","OK"))))))))</f>
        <v>0</v>
      </c>
      <c r="N595">
        <f>IF(AND($B595&lt;&gt;"",$C595&lt;&gt;"",$D595&lt;&gt;"",ISNUMBER($F595),COUNTIF(PracticeNames,$C595)&gt;0,COUNTIF(MotionNames,$D595)&gt;0,NOT(AND(ISNUMBER($G595),$G595&lt;$F595))),IF(StatusFilter="All (excl. Cancelled)",IF($H595="Cancelled",0,1),IF(StatusFilter="All",1,IF($H595=StatusFilter,1,0))),0)</f>
        <v>0</v>
      </c>
      <c r="O595">
        <f>IF($N595=0,0,IF(AND($F595&lt;=EOMONTH(DATE(PlanYear,1,1),0),IF(ISNUMBER($G595),$G595,$F595)&gt;=DATE(PlanYear,1,1)),1,0))</f>
        <v>0</v>
      </c>
      <c r="P595">
        <f>IF($N595=0,0,IF(AND($F595&lt;=EOMONTH(DATE(PlanYear,2,1),0),IF(ISNUMBER($G595),$G595,$F595)&gt;=DATE(PlanYear,2,1)),1,0))</f>
        <v>0</v>
      </c>
      <c r="Q595">
        <f>IF($N595=0,0,IF(AND($F595&lt;=EOMONTH(DATE(PlanYear,3,1),0),IF(ISNUMBER($G595),$G595,$F595)&gt;=DATE(PlanYear,3,1)),1,0))</f>
        <v>0</v>
      </c>
      <c r="R595">
        <f>IF($N595=0,0,IF(AND($F595&lt;=EOMONTH(DATE(PlanYear,4,1),0),IF(ISNUMBER($G595),$G595,$F595)&gt;=DATE(PlanYear,4,1)),1,0))</f>
        <v>0</v>
      </c>
      <c r="S595">
        <f>IF($N595=0,0,IF(AND($F595&lt;=EOMONTH(DATE(PlanYear,5,1),0),IF(ISNUMBER($G595),$G595,$F595)&gt;=DATE(PlanYear,5,1)),1,0))</f>
        <v>0</v>
      </c>
      <c r="T595">
        <f>IF($N595=0,0,IF(AND($F595&lt;=EOMONTH(DATE(PlanYear,6,1),0),IF(ISNUMBER($G595),$G595,$F595)&gt;=DATE(PlanYear,6,1)),1,0))</f>
        <v>0</v>
      </c>
      <c r="U595">
        <f>IF($N595=0,0,IF(AND($F595&lt;=EOMONTH(DATE(PlanYear,7,1),0),IF(ISNUMBER($G595),$G595,$F595)&gt;=DATE(PlanYear,7,1)),1,0))</f>
        <v>0</v>
      </c>
      <c r="V595">
        <f>IF($N595=0,0,IF(AND($F595&lt;=EOMONTH(DATE(PlanYear,8,1),0),IF(ISNUMBER($G595),$G595,$F595)&gt;=DATE(PlanYear,8,1)),1,0))</f>
        <v>0</v>
      </c>
      <c r="W595">
        <f>IF($N595=0,0,IF(AND($F595&lt;=EOMONTH(DATE(PlanYear,9,1),0),IF(ISNUMBER($G595),$G595,$F595)&gt;=DATE(PlanYear,9,1)),1,0))</f>
        <v>0</v>
      </c>
      <c r="X595">
        <f>IF($N595=0,0,IF(AND($F595&lt;=EOMONTH(DATE(PlanYear,10,1),0),IF(ISNUMBER($G595),$G595,$F595)&gt;=DATE(PlanYear,10,1)),1,0))</f>
        <v>0</v>
      </c>
      <c r="Y595">
        <f>IF($N595=0,0,IF(AND($F595&lt;=EOMONTH(DATE(PlanYear,11,1),0),IF(ISNUMBER($G595),$G595,$F595)&gt;=DATE(PlanYear,11,1)),1,0))</f>
        <v>0</v>
      </c>
      <c r="Z595">
        <f>IF($N595=0,0,IF(AND($F595&lt;=EOMONTH(DATE(PlanYear,12,1),0),IF(ISNUMBER($G595),$G595,$F595)&gt;=DATE(PlanYear,12,1)),1,0))</f>
        <v>0</v>
      </c>
      <c r="AA595">
        <f>SUM($O595:$Z595)</f>
        <v>0</v>
      </c>
    </row>
    <row r="596" spans="1:27">
      <c r="A596" s="42">
        <f>IF($B596="","","ACT-"&amp;TEXT(ROW()-4,"000"))</f>
        <v>0</v>
      </c>
      <c r="M596" s="43">
        <f>IF(COUNTA($B596:$K596)=0,"",IF($B596="","Missing activity name",IF($C596="","Missing practice",IF(COUNTIF(PracticeNames,$C596)=0,"Practice not in Lists",IF($D596="","Missing motion",IF(NOT(ISNUMBER($F596)),"Missing or invalid start date",IF(AND(ISNUMBER($G596),$G596&lt;$F596),"End date before start",IF(AND($N596=1,$AA596=0),"Outside planning year","OK"))))))))</f>
        <v>0</v>
      </c>
      <c r="N596">
        <f>IF(AND($B596&lt;&gt;"",$C596&lt;&gt;"",$D596&lt;&gt;"",ISNUMBER($F596),COUNTIF(PracticeNames,$C596)&gt;0,COUNTIF(MotionNames,$D596)&gt;0,NOT(AND(ISNUMBER($G596),$G596&lt;$F596))),IF(StatusFilter="All (excl. Cancelled)",IF($H596="Cancelled",0,1),IF(StatusFilter="All",1,IF($H596=StatusFilter,1,0))),0)</f>
        <v>0</v>
      </c>
      <c r="O596">
        <f>IF($N596=0,0,IF(AND($F596&lt;=EOMONTH(DATE(PlanYear,1,1),0),IF(ISNUMBER($G596),$G596,$F596)&gt;=DATE(PlanYear,1,1)),1,0))</f>
        <v>0</v>
      </c>
      <c r="P596">
        <f>IF($N596=0,0,IF(AND($F596&lt;=EOMONTH(DATE(PlanYear,2,1),0),IF(ISNUMBER($G596),$G596,$F596)&gt;=DATE(PlanYear,2,1)),1,0))</f>
        <v>0</v>
      </c>
      <c r="Q596">
        <f>IF($N596=0,0,IF(AND($F596&lt;=EOMONTH(DATE(PlanYear,3,1),0),IF(ISNUMBER($G596),$G596,$F596)&gt;=DATE(PlanYear,3,1)),1,0))</f>
        <v>0</v>
      </c>
      <c r="R596">
        <f>IF($N596=0,0,IF(AND($F596&lt;=EOMONTH(DATE(PlanYear,4,1),0),IF(ISNUMBER($G596),$G596,$F596)&gt;=DATE(PlanYear,4,1)),1,0))</f>
        <v>0</v>
      </c>
      <c r="S596">
        <f>IF($N596=0,0,IF(AND($F596&lt;=EOMONTH(DATE(PlanYear,5,1),0),IF(ISNUMBER($G596),$G596,$F596)&gt;=DATE(PlanYear,5,1)),1,0))</f>
        <v>0</v>
      </c>
      <c r="T596">
        <f>IF($N596=0,0,IF(AND($F596&lt;=EOMONTH(DATE(PlanYear,6,1),0),IF(ISNUMBER($G596),$G596,$F596)&gt;=DATE(PlanYear,6,1)),1,0))</f>
        <v>0</v>
      </c>
      <c r="U596">
        <f>IF($N596=0,0,IF(AND($F596&lt;=EOMONTH(DATE(PlanYear,7,1),0),IF(ISNUMBER($G596),$G596,$F596)&gt;=DATE(PlanYear,7,1)),1,0))</f>
        <v>0</v>
      </c>
      <c r="V596">
        <f>IF($N596=0,0,IF(AND($F596&lt;=EOMONTH(DATE(PlanYear,8,1),0),IF(ISNUMBER($G596),$G596,$F596)&gt;=DATE(PlanYear,8,1)),1,0))</f>
        <v>0</v>
      </c>
      <c r="W596">
        <f>IF($N596=0,0,IF(AND($F596&lt;=EOMONTH(DATE(PlanYear,9,1),0),IF(ISNUMBER($G596),$G596,$F596)&gt;=DATE(PlanYear,9,1)),1,0))</f>
        <v>0</v>
      </c>
      <c r="X596">
        <f>IF($N596=0,0,IF(AND($F596&lt;=EOMONTH(DATE(PlanYear,10,1),0),IF(ISNUMBER($G596),$G596,$F596)&gt;=DATE(PlanYear,10,1)),1,0))</f>
        <v>0</v>
      </c>
      <c r="Y596">
        <f>IF($N596=0,0,IF(AND($F596&lt;=EOMONTH(DATE(PlanYear,11,1),0),IF(ISNUMBER($G596),$G596,$F596)&gt;=DATE(PlanYear,11,1)),1,0))</f>
        <v>0</v>
      </c>
      <c r="Z596">
        <f>IF($N596=0,0,IF(AND($F596&lt;=EOMONTH(DATE(PlanYear,12,1),0),IF(ISNUMBER($G596),$G596,$F596)&gt;=DATE(PlanYear,12,1)),1,0))</f>
        <v>0</v>
      </c>
      <c r="AA596">
        <f>SUM($O596:$Z596)</f>
        <v>0</v>
      </c>
    </row>
    <row r="597" spans="1:27">
      <c r="A597" s="42">
        <f>IF($B597="","","ACT-"&amp;TEXT(ROW()-4,"000"))</f>
        <v>0</v>
      </c>
      <c r="M597" s="43">
        <f>IF(COUNTA($B597:$K597)=0,"",IF($B597="","Missing activity name",IF($C597="","Missing practice",IF(COUNTIF(PracticeNames,$C597)=0,"Practice not in Lists",IF($D597="","Missing motion",IF(NOT(ISNUMBER($F597)),"Missing or invalid start date",IF(AND(ISNUMBER($G597),$G597&lt;$F597),"End date before start",IF(AND($N597=1,$AA597=0),"Outside planning year","OK"))))))))</f>
        <v>0</v>
      </c>
      <c r="N597">
        <f>IF(AND($B597&lt;&gt;"",$C597&lt;&gt;"",$D597&lt;&gt;"",ISNUMBER($F597),COUNTIF(PracticeNames,$C597)&gt;0,COUNTIF(MotionNames,$D597)&gt;0,NOT(AND(ISNUMBER($G597),$G597&lt;$F597))),IF(StatusFilter="All (excl. Cancelled)",IF($H597="Cancelled",0,1),IF(StatusFilter="All",1,IF($H597=StatusFilter,1,0))),0)</f>
        <v>0</v>
      </c>
      <c r="O597">
        <f>IF($N597=0,0,IF(AND($F597&lt;=EOMONTH(DATE(PlanYear,1,1),0),IF(ISNUMBER($G597),$G597,$F597)&gt;=DATE(PlanYear,1,1)),1,0))</f>
        <v>0</v>
      </c>
      <c r="P597">
        <f>IF($N597=0,0,IF(AND($F597&lt;=EOMONTH(DATE(PlanYear,2,1),0),IF(ISNUMBER($G597),$G597,$F597)&gt;=DATE(PlanYear,2,1)),1,0))</f>
        <v>0</v>
      </c>
      <c r="Q597">
        <f>IF($N597=0,0,IF(AND($F597&lt;=EOMONTH(DATE(PlanYear,3,1),0),IF(ISNUMBER($G597),$G597,$F597)&gt;=DATE(PlanYear,3,1)),1,0))</f>
        <v>0</v>
      </c>
      <c r="R597">
        <f>IF($N597=0,0,IF(AND($F597&lt;=EOMONTH(DATE(PlanYear,4,1),0),IF(ISNUMBER($G597),$G597,$F597)&gt;=DATE(PlanYear,4,1)),1,0))</f>
        <v>0</v>
      </c>
      <c r="S597">
        <f>IF($N597=0,0,IF(AND($F597&lt;=EOMONTH(DATE(PlanYear,5,1),0),IF(ISNUMBER($G597),$G597,$F597)&gt;=DATE(PlanYear,5,1)),1,0))</f>
        <v>0</v>
      </c>
      <c r="T597">
        <f>IF($N597=0,0,IF(AND($F597&lt;=EOMONTH(DATE(PlanYear,6,1),0),IF(ISNUMBER($G597),$G597,$F597)&gt;=DATE(PlanYear,6,1)),1,0))</f>
        <v>0</v>
      </c>
      <c r="U597">
        <f>IF($N597=0,0,IF(AND($F597&lt;=EOMONTH(DATE(PlanYear,7,1),0),IF(ISNUMBER($G597),$G597,$F597)&gt;=DATE(PlanYear,7,1)),1,0))</f>
        <v>0</v>
      </c>
      <c r="V597">
        <f>IF($N597=0,0,IF(AND($F597&lt;=EOMONTH(DATE(PlanYear,8,1),0),IF(ISNUMBER($G597),$G597,$F597)&gt;=DATE(PlanYear,8,1)),1,0))</f>
        <v>0</v>
      </c>
      <c r="W597">
        <f>IF($N597=0,0,IF(AND($F597&lt;=EOMONTH(DATE(PlanYear,9,1),0),IF(ISNUMBER($G597),$G597,$F597)&gt;=DATE(PlanYear,9,1)),1,0))</f>
        <v>0</v>
      </c>
      <c r="X597">
        <f>IF($N597=0,0,IF(AND($F597&lt;=EOMONTH(DATE(PlanYear,10,1),0),IF(ISNUMBER($G597),$G597,$F597)&gt;=DATE(PlanYear,10,1)),1,0))</f>
        <v>0</v>
      </c>
      <c r="Y597">
        <f>IF($N597=0,0,IF(AND($F597&lt;=EOMONTH(DATE(PlanYear,11,1),0),IF(ISNUMBER($G597),$G597,$F597)&gt;=DATE(PlanYear,11,1)),1,0))</f>
        <v>0</v>
      </c>
      <c r="Z597">
        <f>IF($N597=0,0,IF(AND($F597&lt;=EOMONTH(DATE(PlanYear,12,1),0),IF(ISNUMBER($G597),$G597,$F597)&gt;=DATE(PlanYear,12,1)),1,0))</f>
        <v>0</v>
      </c>
      <c r="AA597">
        <f>SUM($O597:$Z597)</f>
        <v>0</v>
      </c>
    </row>
    <row r="598" spans="1:27">
      <c r="A598" s="42">
        <f>IF($B598="","","ACT-"&amp;TEXT(ROW()-4,"000"))</f>
        <v>0</v>
      </c>
      <c r="M598" s="43">
        <f>IF(COUNTA($B598:$K598)=0,"",IF($B598="","Missing activity name",IF($C598="","Missing practice",IF(COUNTIF(PracticeNames,$C598)=0,"Practice not in Lists",IF($D598="","Missing motion",IF(NOT(ISNUMBER($F598)),"Missing or invalid start date",IF(AND(ISNUMBER($G598),$G598&lt;$F598),"End date before start",IF(AND($N598=1,$AA598=0),"Outside planning year","OK"))))))))</f>
        <v>0</v>
      </c>
      <c r="N598">
        <f>IF(AND($B598&lt;&gt;"",$C598&lt;&gt;"",$D598&lt;&gt;"",ISNUMBER($F598),COUNTIF(PracticeNames,$C598)&gt;0,COUNTIF(MotionNames,$D598)&gt;0,NOT(AND(ISNUMBER($G598),$G598&lt;$F598))),IF(StatusFilter="All (excl. Cancelled)",IF($H598="Cancelled",0,1),IF(StatusFilter="All",1,IF($H598=StatusFilter,1,0))),0)</f>
        <v>0</v>
      </c>
      <c r="O598">
        <f>IF($N598=0,0,IF(AND($F598&lt;=EOMONTH(DATE(PlanYear,1,1),0),IF(ISNUMBER($G598),$G598,$F598)&gt;=DATE(PlanYear,1,1)),1,0))</f>
        <v>0</v>
      </c>
      <c r="P598">
        <f>IF($N598=0,0,IF(AND($F598&lt;=EOMONTH(DATE(PlanYear,2,1),0),IF(ISNUMBER($G598),$G598,$F598)&gt;=DATE(PlanYear,2,1)),1,0))</f>
        <v>0</v>
      </c>
      <c r="Q598">
        <f>IF($N598=0,0,IF(AND($F598&lt;=EOMONTH(DATE(PlanYear,3,1),0),IF(ISNUMBER($G598),$G598,$F598)&gt;=DATE(PlanYear,3,1)),1,0))</f>
        <v>0</v>
      </c>
      <c r="R598">
        <f>IF($N598=0,0,IF(AND($F598&lt;=EOMONTH(DATE(PlanYear,4,1),0),IF(ISNUMBER($G598),$G598,$F598)&gt;=DATE(PlanYear,4,1)),1,0))</f>
        <v>0</v>
      </c>
      <c r="S598">
        <f>IF($N598=0,0,IF(AND($F598&lt;=EOMONTH(DATE(PlanYear,5,1),0),IF(ISNUMBER($G598),$G598,$F598)&gt;=DATE(PlanYear,5,1)),1,0))</f>
        <v>0</v>
      </c>
      <c r="T598">
        <f>IF($N598=0,0,IF(AND($F598&lt;=EOMONTH(DATE(PlanYear,6,1),0),IF(ISNUMBER($G598),$G598,$F598)&gt;=DATE(PlanYear,6,1)),1,0))</f>
        <v>0</v>
      </c>
      <c r="U598">
        <f>IF($N598=0,0,IF(AND($F598&lt;=EOMONTH(DATE(PlanYear,7,1),0),IF(ISNUMBER($G598),$G598,$F598)&gt;=DATE(PlanYear,7,1)),1,0))</f>
        <v>0</v>
      </c>
      <c r="V598">
        <f>IF($N598=0,0,IF(AND($F598&lt;=EOMONTH(DATE(PlanYear,8,1),0),IF(ISNUMBER($G598),$G598,$F598)&gt;=DATE(PlanYear,8,1)),1,0))</f>
        <v>0</v>
      </c>
      <c r="W598">
        <f>IF($N598=0,0,IF(AND($F598&lt;=EOMONTH(DATE(PlanYear,9,1),0),IF(ISNUMBER($G598),$G598,$F598)&gt;=DATE(PlanYear,9,1)),1,0))</f>
        <v>0</v>
      </c>
      <c r="X598">
        <f>IF($N598=0,0,IF(AND($F598&lt;=EOMONTH(DATE(PlanYear,10,1),0),IF(ISNUMBER($G598),$G598,$F598)&gt;=DATE(PlanYear,10,1)),1,0))</f>
        <v>0</v>
      </c>
      <c r="Y598">
        <f>IF($N598=0,0,IF(AND($F598&lt;=EOMONTH(DATE(PlanYear,11,1),0),IF(ISNUMBER($G598),$G598,$F598)&gt;=DATE(PlanYear,11,1)),1,0))</f>
        <v>0</v>
      </c>
      <c r="Z598">
        <f>IF($N598=0,0,IF(AND($F598&lt;=EOMONTH(DATE(PlanYear,12,1),0),IF(ISNUMBER($G598),$G598,$F598)&gt;=DATE(PlanYear,12,1)),1,0))</f>
        <v>0</v>
      </c>
      <c r="AA598">
        <f>SUM($O598:$Z598)</f>
        <v>0</v>
      </c>
    </row>
    <row r="599" spans="1:27">
      <c r="A599" s="42">
        <f>IF($B599="","","ACT-"&amp;TEXT(ROW()-4,"000"))</f>
        <v>0</v>
      </c>
      <c r="M599" s="43">
        <f>IF(COUNTA($B599:$K599)=0,"",IF($B599="","Missing activity name",IF($C599="","Missing practice",IF(COUNTIF(PracticeNames,$C599)=0,"Practice not in Lists",IF($D599="","Missing motion",IF(NOT(ISNUMBER($F599)),"Missing or invalid start date",IF(AND(ISNUMBER($G599),$G599&lt;$F599),"End date before start",IF(AND($N599=1,$AA599=0),"Outside planning year","OK"))))))))</f>
        <v>0</v>
      </c>
      <c r="N599">
        <f>IF(AND($B599&lt;&gt;"",$C599&lt;&gt;"",$D599&lt;&gt;"",ISNUMBER($F599),COUNTIF(PracticeNames,$C599)&gt;0,COUNTIF(MotionNames,$D599)&gt;0,NOT(AND(ISNUMBER($G599),$G599&lt;$F599))),IF(StatusFilter="All (excl. Cancelled)",IF($H599="Cancelled",0,1),IF(StatusFilter="All",1,IF($H599=StatusFilter,1,0))),0)</f>
        <v>0</v>
      </c>
      <c r="O599">
        <f>IF($N599=0,0,IF(AND($F599&lt;=EOMONTH(DATE(PlanYear,1,1),0),IF(ISNUMBER($G599),$G599,$F599)&gt;=DATE(PlanYear,1,1)),1,0))</f>
        <v>0</v>
      </c>
      <c r="P599">
        <f>IF($N599=0,0,IF(AND($F599&lt;=EOMONTH(DATE(PlanYear,2,1),0),IF(ISNUMBER($G599),$G599,$F599)&gt;=DATE(PlanYear,2,1)),1,0))</f>
        <v>0</v>
      </c>
      <c r="Q599">
        <f>IF($N599=0,0,IF(AND($F599&lt;=EOMONTH(DATE(PlanYear,3,1),0),IF(ISNUMBER($G599),$G599,$F599)&gt;=DATE(PlanYear,3,1)),1,0))</f>
        <v>0</v>
      </c>
      <c r="R599">
        <f>IF($N599=0,0,IF(AND($F599&lt;=EOMONTH(DATE(PlanYear,4,1),0),IF(ISNUMBER($G599),$G599,$F599)&gt;=DATE(PlanYear,4,1)),1,0))</f>
        <v>0</v>
      </c>
      <c r="S599">
        <f>IF($N599=0,0,IF(AND($F599&lt;=EOMONTH(DATE(PlanYear,5,1),0),IF(ISNUMBER($G599),$G599,$F599)&gt;=DATE(PlanYear,5,1)),1,0))</f>
        <v>0</v>
      </c>
      <c r="T599">
        <f>IF($N599=0,0,IF(AND($F599&lt;=EOMONTH(DATE(PlanYear,6,1),0),IF(ISNUMBER($G599),$G599,$F599)&gt;=DATE(PlanYear,6,1)),1,0))</f>
        <v>0</v>
      </c>
      <c r="U599">
        <f>IF($N599=0,0,IF(AND($F599&lt;=EOMONTH(DATE(PlanYear,7,1),0),IF(ISNUMBER($G599),$G599,$F599)&gt;=DATE(PlanYear,7,1)),1,0))</f>
        <v>0</v>
      </c>
      <c r="V599">
        <f>IF($N599=0,0,IF(AND($F599&lt;=EOMONTH(DATE(PlanYear,8,1),0),IF(ISNUMBER($G599),$G599,$F599)&gt;=DATE(PlanYear,8,1)),1,0))</f>
        <v>0</v>
      </c>
      <c r="W599">
        <f>IF($N599=0,0,IF(AND($F599&lt;=EOMONTH(DATE(PlanYear,9,1),0),IF(ISNUMBER($G599),$G599,$F599)&gt;=DATE(PlanYear,9,1)),1,0))</f>
        <v>0</v>
      </c>
      <c r="X599">
        <f>IF($N599=0,0,IF(AND($F599&lt;=EOMONTH(DATE(PlanYear,10,1),0),IF(ISNUMBER($G599),$G599,$F599)&gt;=DATE(PlanYear,10,1)),1,0))</f>
        <v>0</v>
      </c>
      <c r="Y599">
        <f>IF($N599=0,0,IF(AND($F599&lt;=EOMONTH(DATE(PlanYear,11,1),0),IF(ISNUMBER($G599),$G599,$F599)&gt;=DATE(PlanYear,11,1)),1,0))</f>
        <v>0</v>
      </c>
      <c r="Z599">
        <f>IF($N599=0,0,IF(AND($F599&lt;=EOMONTH(DATE(PlanYear,12,1),0),IF(ISNUMBER($G599),$G599,$F599)&gt;=DATE(PlanYear,12,1)),1,0))</f>
        <v>0</v>
      </c>
      <c r="AA599">
        <f>SUM($O599:$Z599)</f>
        <v>0</v>
      </c>
    </row>
    <row r="600" spans="1:27">
      <c r="A600" s="42">
        <f>IF($B600="","","ACT-"&amp;TEXT(ROW()-4,"000"))</f>
        <v>0</v>
      </c>
      <c r="M600" s="43">
        <f>IF(COUNTA($B600:$K600)=0,"",IF($B600="","Missing activity name",IF($C600="","Missing practice",IF(COUNTIF(PracticeNames,$C600)=0,"Practice not in Lists",IF($D600="","Missing motion",IF(NOT(ISNUMBER($F600)),"Missing or invalid start date",IF(AND(ISNUMBER($G600),$G600&lt;$F600),"End date before start",IF(AND($N600=1,$AA600=0),"Outside planning year","OK"))))))))</f>
        <v>0</v>
      </c>
      <c r="N600">
        <f>IF(AND($B600&lt;&gt;"",$C600&lt;&gt;"",$D600&lt;&gt;"",ISNUMBER($F600),COUNTIF(PracticeNames,$C600)&gt;0,COUNTIF(MotionNames,$D600)&gt;0,NOT(AND(ISNUMBER($G600),$G600&lt;$F600))),IF(StatusFilter="All (excl. Cancelled)",IF($H600="Cancelled",0,1),IF(StatusFilter="All",1,IF($H600=StatusFilter,1,0))),0)</f>
        <v>0</v>
      </c>
      <c r="O600">
        <f>IF($N600=0,0,IF(AND($F600&lt;=EOMONTH(DATE(PlanYear,1,1),0),IF(ISNUMBER($G600),$G600,$F600)&gt;=DATE(PlanYear,1,1)),1,0))</f>
        <v>0</v>
      </c>
      <c r="P600">
        <f>IF($N600=0,0,IF(AND($F600&lt;=EOMONTH(DATE(PlanYear,2,1),0),IF(ISNUMBER($G600),$G600,$F600)&gt;=DATE(PlanYear,2,1)),1,0))</f>
        <v>0</v>
      </c>
      <c r="Q600">
        <f>IF($N600=0,0,IF(AND($F600&lt;=EOMONTH(DATE(PlanYear,3,1),0),IF(ISNUMBER($G600),$G600,$F600)&gt;=DATE(PlanYear,3,1)),1,0))</f>
        <v>0</v>
      </c>
      <c r="R600">
        <f>IF($N600=0,0,IF(AND($F600&lt;=EOMONTH(DATE(PlanYear,4,1),0),IF(ISNUMBER($G600),$G600,$F600)&gt;=DATE(PlanYear,4,1)),1,0))</f>
        <v>0</v>
      </c>
      <c r="S600">
        <f>IF($N600=0,0,IF(AND($F600&lt;=EOMONTH(DATE(PlanYear,5,1),0),IF(ISNUMBER($G600),$G600,$F600)&gt;=DATE(PlanYear,5,1)),1,0))</f>
        <v>0</v>
      </c>
      <c r="T600">
        <f>IF($N600=0,0,IF(AND($F600&lt;=EOMONTH(DATE(PlanYear,6,1),0),IF(ISNUMBER($G600),$G600,$F600)&gt;=DATE(PlanYear,6,1)),1,0))</f>
        <v>0</v>
      </c>
      <c r="U600">
        <f>IF($N600=0,0,IF(AND($F600&lt;=EOMONTH(DATE(PlanYear,7,1),0),IF(ISNUMBER($G600),$G600,$F600)&gt;=DATE(PlanYear,7,1)),1,0))</f>
        <v>0</v>
      </c>
      <c r="V600">
        <f>IF($N600=0,0,IF(AND($F600&lt;=EOMONTH(DATE(PlanYear,8,1),0),IF(ISNUMBER($G600),$G600,$F600)&gt;=DATE(PlanYear,8,1)),1,0))</f>
        <v>0</v>
      </c>
      <c r="W600">
        <f>IF($N600=0,0,IF(AND($F600&lt;=EOMONTH(DATE(PlanYear,9,1),0),IF(ISNUMBER($G600),$G600,$F600)&gt;=DATE(PlanYear,9,1)),1,0))</f>
        <v>0</v>
      </c>
      <c r="X600">
        <f>IF($N600=0,0,IF(AND($F600&lt;=EOMONTH(DATE(PlanYear,10,1),0),IF(ISNUMBER($G600),$G600,$F600)&gt;=DATE(PlanYear,10,1)),1,0))</f>
        <v>0</v>
      </c>
      <c r="Y600">
        <f>IF($N600=0,0,IF(AND($F600&lt;=EOMONTH(DATE(PlanYear,11,1),0),IF(ISNUMBER($G600),$G600,$F600)&gt;=DATE(PlanYear,11,1)),1,0))</f>
        <v>0</v>
      </c>
      <c r="Z600">
        <f>IF($N600=0,0,IF(AND($F600&lt;=EOMONTH(DATE(PlanYear,12,1),0),IF(ISNUMBER($G600),$G600,$F600)&gt;=DATE(PlanYear,12,1)),1,0))</f>
        <v>0</v>
      </c>
      <c r="AA600">
        <f>SUM($O600:$Z600)</f>
        <v>0</v>
      </c>
    </row>
    <row r="601" spans="1:27">
      <c r="A601" s="42">
        <f>IF($B601="","","ACT-"&amp;TEXT(ROW()-4,"000"))</f>
        <v>0</v>
      </c>
      <c r="M601" s="43">
        <f>IF(COUNTA($B601:$K601)=0,"",IF($B601="","Missing activity name",IF($C601="","Missing practice",IF(COUNTIF(PracticeNames,$C601)=0,"Practice not in Lists",IF($D601="","Missing motion",IF(NOT(ISNUMBER($F601)),"Missing or invalid start date",IF(AND(ISNUMBER($G601),$G601&lt;$F601),"End date before start",IF(AND($N601=1,$AA601=0),"Outside planning year","OK"))))))))</f>
        <v>0</v>
      </c>
      <c r="N601">
        <f>IF(AND($B601&lt;&gt;"",$C601&lt;&gt;"",$D601&lt;&gt;"",ISNUMBER($F601),COUNTIF(PracticeNames,$C601)&gt;0,COUNTIF(MotionNames,$D601)&gt;0,NOT(AND(ISNUMBER($G601),$G601&lt;$F601))),IF(StatusFilter="All (excl. Cancelled)",IF($H601="Cancelled",0,1),IF(StatusFilter="All",1,IF($H601=StatusFilter,1,0))),0)</f>
        <v>0</v>
      </c>
      <c r="O601">
        <f>IF($N601=0,0,IF(AND($F601&lt;=EOMONTH(DATE(PlanYear,1,1),0),IF(ISNUMBER($G601),$G601,$F601)&gt;=DATE(PlanYear,1,1)),1,0))</f>
        <v>0</v>
      </c>
      <c r="P601">
        <f>IF($N601=0,0,IF(AND($F601&lt;=EOMONTH(DATE(PlanYear,2,1),0),IF(ISNUMBER($G601),$G601,$F601)&gt;=DATE(PlanYear,2,1)),1,0))</f>
        <v>0</v>
      </c>
      <c r="Q601">
        <f>IF($N601=0,0,IF(AND($F601&lt;=EOMONTH(DATE(PlanYear,3,1),0),IF(ISNUMBER($G601),$G601,$F601)&gt;=DATE(PlanYear,3,1)),1,0))</f>
        <v>0</v>
      </c>
      <c r="R601">
        <f>IF($N601=0,0,IF(AND($F601&lt;=EOMONTH(DATE(PlanYear,4,1),0),IF(ISNUMBER($G601),$G601,$F601)&gt;=DATE(PlanYear,4,1)),1,0))</f>
        <v>0</v>
      </c>
      <c r="S601">
        <f>IF($N601=0,0,IF(AND($F601&lt;=EOMONTH(DATE(PlanYear,5,1),0),IF(ISNUMBER($G601),$G601,$F601)&gt;=DATE(PlanYear,5,1)),1,0))</f>
        <v>0</v>
      </c>
      <c r="T601">
        <f>IF($N601=0,0,IF(AND($F601&lt;=EOMONTH(DATE(PlanYear,6,1),0),IF(ISNUMBER($G601),$G601,$F601)&gt;=DATE(PlanYear,6,1)),1,0))</f>
        <v>0</v>
      </c>
      <c r="U601">
        <f>IF($N601=0,0,IF(AND($F601&lt;=EOMONTH(DATE(PlanYear,7,1),0),IF(ISNUMBER($G601),$G601,$F601)&gt;=DATE(PlanYear,7,1)),1,0))</f>
        <v>0</v>
      </c>
      <c r="V601">
        <f>IF($N601=0,0,IF(AND($F601&lt;=EOMONTH(DATE(PlanYear,8,1),0),IF(ISNUMBER($G601),$G601,$F601)&gt;=DATE(PlanYear,8,1)),1,0))</f>
        <v>0</v>
      </c>
      <c r="W601">
        <f>IF($N601=0,0,IF(AND($F601&lt;=EOMONTH(DATE(PlanYear,9,1),0),IF(ISNUMBER($G601),$G601,$F601)&gt;=DATE(PlanYear,9,1)),1,0))</f>
        <v>0</v>
      </c>
      <c r="X601">
        <f>IF($N601=0,0,IF(AND($F601&lt;=EOMONTH(DATE(PlanYear,10,1),0),IF(ISNUMBER($G601),$G601,$F601)&gt;=DATE(PlanYear,10,1)),1,0))</f>
        <v>0</v>
      </c>
      <c r="Y601">
        <f>IF($N601=0,0,IF(AND($F601&lt;=EOMONTH(DATE(PlanYear,11,1),0),IF(ISNUMBER($G601),$G601,$F601)&gt;=DATE(PlanYear,11,1)),1,0))</f>
        <v>0</v>
      </c>
      <c r="Z601">
        <f>IF($N601=0,0,IF(AND($F601&lt;=EOMONTH(DATE(PlanYear,12,1),0),IF(ISNUMBER($G601),$G601,$F601)&gt;=DATE(PlanYear,12,1)),1,0))</f>
        <v>0</v>
      </c>
      <c r="AA601">
        <f>SUM($O601:$Z601)</f>
        <v>0</v>
      </c>
    </row>
    <row r="602" spans="1:27">
      <c r="A602" s="42">
        <f>IF($B602="","","ACT-"&amp;TEXT(ROW()-4,"000"))</f>
        <v>0</v>
      </c>
      <c r="M602" s="43">
        <f>IF(COUNTA($B602:$K602)=0,"",IF($B602="","Missing activity name",IF($C602="","Missing practice",IF(COUNTIF(PracticeNames,$C602)=0,"Practice not in Lists",IF($D602="","Missing motion",IF(NOT(ISNUMBER($F602)),"Missing or invalid start date",IF(AND(ISNUMBER($G602),$G602&lt;$F602),"End date before start",IF(AND($N602=1,$AA602=0),"Outside planning year","OK"))))))))</f>
        <v>0</v>
      </c>
      <c r="N602">
        <f>IF(AND($B602&lt;&gt;"",$C602&lt;&gt;"",$D602&lt;&gt;"",ISNUMBER($F602),COUNTIF(PracticeNames,$C602)&gt;0,COUNTIF(MotionNames,$D602)&gt;0,NOT(AND(ISNUMBER($G602),$G602&lt;$F602))),IF(StatusFilter="All (excl. Cancelled)",IF($H602="Cancelled",0,1),IF(StatusFilter="All",1,IF($H602=StatusFilter,1,0))),0)</f>
        <v>0</v>
      </c>
      <c r="O602">
        <f>IF($N602=0,0,IF(AND($F602&lt;=EOMONTH(DATE(PlanYear,1,1),0),IF(ISNUMBER($G602),$G602,$F602)&gt;=DATE(PlanYear,1,1)),1,0))</f>
        <v>0</v>
      </c>
      <c r="P602">
        <f>IF($N602=0,0,IF(AND($F602&lt;=EOMONTH(DATE(PlanYear,2,1),0),IF(ISNUMBER($G602),$G602,$F602)&gt;=DATE(PlanYear,2,1)),1,0))</f>
        <v>0</v>
      </c>
      <c r="Q602">
        <f>IF($N602=0,0,IF(AND($F602&lt;=EOMONTH(DATE(PlanYear,3,1),0),IF(ISNUMBER($G602),$G602,$F602)&gt;=DATE(PlanYear,3,1)),1,0))</f>
        <v>0</v>
      </c>
      <c r="R602">
        <f>IF($N602=0,0,IF(AND($F602&lt;=EOMONTH(DATE(PlanYear,4,1),0),IF(ISNUMBER($G602),$G602,$F602)&gt;=DATE(PlanYear,4,1)),1,0))</f>
        <v>0</v>
      </c>
      <c r="S602">
        <f>IF($N602=0,0,IF(AND($F602&lt;=EOMONTH(DATE(PlanYear,5,1),0),IF(ISNUMBER($G602),$G602,$F602)&gt;=DATE(PlanYear,5,1)),1,0))</f>
        <v>0</v>
      </c>
      <c r="T602">
        <f>IF($N602=0,0,IF(AND($F602&lt;=EOMONTH(DATE(PlanYear,6,1),0),IF(ISNUMBER($G602),$G602,$F602)&gt;=DATE(PlanYear,6,1)),1,0))</f>
        <v>0</v>
      </c>
      <c r="U602">
        <f>IF($N602=0,0,IF(AND($F602&lt;=EOMONTH(DATE(PlanYear,7,1),0),IF(ISNUMBER($G602),$G602,$F602)&gt;=DATE(PlanYear,7,1)),1,0))</f>
        <v>0</v>
      </c>
      <c r="V602">
        <f>IF($N602=0,0,IF(AND($F602&lt;=EOMONTH(DATE(PlanYear,8,1),0),IF(ISNUMBER($G602),$G602,$F602)&gt;=DATE(PlanYear,8,1)),1,0))</f>
        <v>0</v>
      </c>
      <c r="W602">
        <f>IF($N602=0,0,IF(AND($F602&lt;=EOMONTH(DATE(PlanYear,9,1),0),IF(ISNUMBER($G602),$G602,$F602)&gt;=DATE(PlanYear,9,1)),1,0))</f>
        <v>0</v>
      </c>
      <c r="X602">
        <f>IF($N602=0,0,IF(AND($F602&lt;=EOMONTH(DATE(PlanYear,10,1),0),IF(ISNUMBER($G602),$G602,$F602)&gt;=DATE(PlanYear,10,1)),1,0))</f>
        <v>0</v>
      </c>
      <c r="Y602">
        <f>IF($N602=0,0,IF(AND($F602&lt;=EOMONTH(DATE(PlanYear,11,1),0),IF(ISNUMBER($G602),$G602,$F602)&gt;=DATE(PlanYear,11,1)),1,0))</f>
        <v>0</v>
      </c>
      <c r="Z602">
        <f>IF($N602=0,0,IF(AND($F602&lt;=EOMONTH(DATE(PlanYear,12,1),0),IF(ISNUMBER($G602),$G602,$F602)&gt;=DATE(PlanYear,12,1)),1,0))</f>
        <v>0</v>
      </c>
      <c r="AA602">
        <f>SUM($O602:$Z602)</f>
        <v>0</v>
      </c>
    </row>
    <row r="603" spans="1:27">
      <c r="A603" s="42">
        <f>IF($B603="","","ACT-"&amp;TEXT(ROW()-4,"000"))</f>
        <v>0</v>
      </c>
      <c r="M603" s="43">
        <f>IF(COUNTA($B603:$K603)=0,"",IF($B603="","Missing activity name",IF($C603="","Missing practice",IF(COUNTIF(PracticeNames,$C603)=0,"Practice not in Lists",IF($D603="","Missing motion",IF(NOT(ISNUMBER($F603)),"Missing or invalid start date",IF(AND(ISNUMBER($G603),$G603&lt;$F603),"End date before start",IF(AND($N603=1,$AA603=0),"Outside planning year","OK"))))))))</f>
        <v>0</v>
      </c>
      <c r="N603">
        <f>IF(AND($B603&lt;&gt;"",$C603&lt;&gt;"",$D603&lt;&gt;"",ISNUMBER($F603),COUNTIF(PracticeNames,$C603)&gt;0,COUNTIF(MotionNames,$D603)&gt;0,NOT(AND(ISNUMBER($G603),$G603&lt;$F603))),IF(StatusFilter="All (excl. Cancelled)",IF($H603="Cancelled",0,1),IF(StatusFilter="All",1,IF($H603=StatusFilter,1,0))),0)</f>
        <v>0</v>
      </c>
      <c r="O603">
        <f>IF($N603=0,0,IF(AND($F603&lt;=EOMONTH(DATE(PlanYear,1,1),0),IF(ISNUMBER($G603),$G603,$F603)&gt;=DATE(PlanYear,1,1)),1,0))</f>
        <v>0</v>
      </c>
      <c r="P603">
        <f>IF($N603=0,0,IF(AND($F603&lt;=EOMONTH(DATE(PlanYear,2,1),0),IF(ISNUMBER($G603),$G603,$F603)&gt;=DATE(PlanYear,2,1)),1,0))</f>
        <v>0</v>
      </c>
      <c r="Q603">
        <f>IF($N603=0,0,IF(AND($F603&lt;=EOMONTH(DATE(PlanYear,3,1),0),IF(ISNUMBER($G603),$G603,$F603)&gt;=DATE(PlanYear,3,1)),1,0))</f>
        <v>0</v>
      </c>
      <c r="R603">
        <f>IF($N603=0,0,IF(AND($F603&lt;=EOMONTH(DATE(PlanYear,4,1),0),IF(ISNUMBER($G603),$G603,$F603)&gt;=DATE(PlanYear,4,1)),1,0))</f>
        <v>0</v>
      </c>
      <c r="S603">
        <f>IF($N603=0,0,IF(AND($F603&lt;=EOMONTH(DATE(PlanYear,5,1),0),IF(ISNUMBER($G603),$G603,$F603)&gt;=DATE(PlanYear,5,1)),1,0))</f>
        <v>0</v>
      </c>
      <c r="T603">
        <f>IF($N603=0,0,IF(AND($F603&lt;=EOMONTH(DATE(PlanYear,6,1),0),IF(ISNUMBER($G603),$G603,$F603)&gt;=DATE(PlanYear,6,1)),1,0))</f>
        <v>0</v>
      </c>
      <c r="U603">
        <f>IF($N603=0,0,IF(AND($F603&lt;=EOMONTH(DATE(PlanYear,7,1),0),IF(ISNUMBER($G603),$G603,$F603)&gt;=DATE(PlanYear,7,1)),1,0))</f>
        <v>0</v>
      </c>
      <c r="V603">
        <f>IF($N603=0,0,IF(AND($F603&lt;=EOMONTH(DATE(PlanYear,8,1),0),IF(ISNUMBER($G603),$G603,$F603)&gt;=DATE(PlanYear,8,1)),1,0))</f>
        <v>0</v>
      </c>
      <c r="W603">
        <f>IF($N603=0,0,IF(AND($F603&lt;=EOMONTH(DATE(PlanYear,9,1),0),IF(ISNUMBER($G603),$G603,$F603)&gt;=DATE(PlanYear,9,1)),1,0))</f>
        <v>0</v>
      </c>
      <c r="X603">
        <f>IF($N603=0,0,IF(AND($F603&lt;=EOMONTH(DATE(PlanYear,10,1),0),IF(ISNUMBER($G603),$G603,$F603)&gt;=DATE(PlanYear,10,1)),1,0))</f>
        <v>0</v>
      </c>
      <c r="Y603">
        <f>IF($N603=0,0,IF(AND($F603&lt;=EOMONTH(DATE(PlanYear,11,1),0),IF(ISNUMBER($G603),$G603,$F603)&gt;=DATE(PlanYear,11,1)),1,0))</f>
        <v>0</v>
      </c>
      <c r="Z603">
        <f>IF($N603=0,0,IF(AND($F603&lt;=EOMONTH(DATE(PlanYear,12,1),0),IF(ISNUMBER($G603),$G603,$F603)&gt;=DATE(PlanYear,12,1)),1,0))</f>
        <v>0</v>
      </c>
      <c r="AA603">
        <f>SUM($O603:$Z603)</f>
        <v>0</v>
      </c>
    </row>
    <row r="604" spans="1:27">
      <c r="A604" s="42">
        <f>IF($B604="","","ACT-"&amp;TEXT(ROW()-4,"000"))</f>
        <v>0</v>
      </c>
      <c r="M604" s="43">
        <f>IF(COUNTA($B604:$K604)=0,"",IF($B604="","Missing activity name",IF($C604="","Missing practice",IF(COUNTIF(PracticeNames,$C604)=0,"Practice not in Lists",IF($D604="","Missing motion",IF(NOT(ISNUMBER($F604)),"Missing or invalid start date",IF(AND(ISNUMBER($G604),$G604&lt;$F604),"End date before start",IF(AND($N604=1,$AA604=0),"Outside planning year","OK"))))))))</f>
        <v>0</v>
      </c>
      <c r="N604">
        <f>IF(AND($B604&lt;&gt;"",$C604&lt;&gt;"",$D604&lt;&gt;"",ISNUMBER($F604),COUNTIF(PracticeNames,$C604)&gt;0,COUNTIF(MotionNames,$D604)&gt;0,NOT(AND(ISNUMBER($G604),$G604&lt;$F604))),IF(StatusFilter="All (excl. Cancelled)",IF($H604="Cancelled",0,1),IF(StatusFilter="All",1,IF($H604=StatusFilter,1,0))),0)</f>
        <v>0</v>
      </c>
      <c r="O604">
        <f>IF($N604=0,0,IF(AND($F604&lt;=EOMONTH(DATE(PlanYear,1,1),0),IF(ISNUMBER($G604),$G604,$F604)&gt;=DATE(PlanYear,1,1)),1,0))</f>
        <v>0</v>
      </c>
      <c r="P604">
        <f>IF($N604=0,0,IF(AND($F604&lt;=EOMONTH(DATE(PlanYear,2,1),0),IF(ISNUMBER($G604),$G604,$F604)&gt;=DATE(PlanYear,2,1)),1,0))</f>
        <v>0</v>
      </c>
      <c r="Q604">
        <f>IF($N604=0,0,IF(AND($F604&lt;=EOMONTH(DATE(PlanYear,3,1),0),IF(ISNUMBER($G604),$G604,$F604)&gt;=DATE(PlanYear,3,1)),1,0))</f>
        <v>0</v>
      </c>
      <c r="R604">
        <f>IF($N604=0,0,IF(AND($F604&lt;=EOMONTH(DATE(PlanYear,4,1),0),IF(ISNUMBER($G604),$G604,$F604)&gt;=DATE(PlanYear,4,1)),1,0))</f>
        <v>0</v>
      </c>
      <c r="S604">
        <f>IF($N604=0,0,IF(AND($F604&lt;=EOMONTH(DATE(PlanYear,5,1),0),IF(ISNUMBER($G604),$G604,$F604)&gt;=DATE(PlanYear,5,1)),1,0))</f>
        <v>0</v>
      </c>
      <c r="T604">
        <f>IF($N604=0,0,IF(AND($F604&lt;=EOMONTH(DATE(PlanYear,6,1),0),IF(ISNUMBER($G604),$G604,$F604)&gt;=DATE(PlanYear,6,1)),1,0))</f>
        <v>0</v>
      </c>
      <c r="U604">
        <f>IF($N604=0,0,IF(AND($F604&lt;=EOMONTH(DATE(PlanYear,7,1),0),IF(ISNUMBER($G604),$G604,$F604)&gt;=DATE(PlanYear,7,1)),1,0))</f>
        <v>0</v>
      </c>
      <c r="V604">
        <f>IF($N604=0,0,IF(AND($F604&lt;=EOMONTH(DATE(PlanYear,8,1),0),IF(ISNUMBER($G604),$G604,$F604)&gt;=DATE(PlanYear,8,1)),1,0))</f>
        <v>0</v>
      </c>
      <c r="W604">
        <f>IF($N604=0,0,IF(AND($F604&lt;=EOMONTH(DATE(PlanYear,9,1),0),IF(ISNUMBER($G604),$G604,$F604)&gt;=DATE(PlanYear,9,1)),1,0))</f>
        <v>0</v>
      </c>
      <c r="X604">
        <f>IF($N604=0,0,IF(AND($F604&lt;=EOMONTH(DATE(PlanYear,10,1),0),IF(ISNUMBER($G604),$G604,$F604)&gt;=DATE(PlanYear,10,1)),1,0))</f>
        <v>0</v>
      </c>
      <c r="Y604">
        <f>IF($N604=0,0,IF(AND($F604&lt;=EOMONTH(DATE(PlanYear,11,1),0),IF(ISNUMBER($G604),$G604,$F604)&gt;=DATE(PlanYear,11,1)),1,0))</f>
        <v>0</v>
      </c>
      <c r="Z604">
        <f>IF($N604=0,0,IF(AND($F604&lt;=EOMONTH(DATE(PlanYear,12,1),0),IF(ISNUMBER($G604),$G604,$F604)&gt;=DATE(PlanYear,12,1)),1,0))</f>
        <v>0</v>
      </c>
      <c r="AA604">
        <f>SUM($O604:$Z604)</f>
        <v>0</v>
      </c>
    </row>
    <row r="605" spans="1:27">
      <c r="A605" s="42">
        <f>IF($B605="","","ACT-"&amp;TEXT(ROW()-4,"000"))</f>
        <v>0</v>
      </c>
      <c r="M605" s="43">
        <f>IF(COUNTA($B605:$K605)=0,"",IF($B605="","Missing activity name",IF($C605="","Missing practice",IF(COUNTIF(PracticeNames,$C605)=0,"Practice not in Lists",IF($D605="","Missing motion",IF(NOT(ISNUMBER($F605)),"Missing or invalid start date",IF(AND(ISNUMBER($G605),$G605&lt;$F605),"End date before start",IF(AND($N605=1,$AA605=0),"Outside planning year","OK"))))))))</f>
        <v>0</v>
      </c>
      <c r="N605">
        <f>IF(AND($B605&lt;&gt;"",$C605&lt;&gt;"",$D605&lt;&gt;"",ISNUMBER($F605),COUNTIF(PracticeNames,$C605)&gt;0,COUNTIF(MotionNames,$D605)&gt;0,NOT(AND(ISNUMBER($G605),$G605&lt;$F605))),IF(StatusFilter="All (excl. Cancelled)",IF($H605="Cancelled",0,1),IF(StatusFilter="All",1,IF($H605=StatusFilter,1,0))),0)</f>
        <v>0</v>
      </c>
      <c r="O605">
        <f>IF($N605=0,0,IF(AND($F605&lt;=EOMONTH(DATE(PlanYear,1,1),0),IF(ISNUMBER($G605),$G605,$F605)&gt;=DATE(PlanYear,1,1)),1,0))</f>
        <v>0</v>
      </c>
      <c r="P605">
        <f>IF($N605=0,0,IF(AND($F605&lt;=EOMONTH(DATE(PlanYear,2,1),0),IF(ISNUMBER($G605),$G605,$F605)&gt;=DATE(PlanYear,2,1)),1,0))</f>
        <v>0</v>
      </c>
      <c r="Q605">
        <f>IF($N605=0,0,IF(AND($F605&lt;=EOMONTH(DATE(PlanYear,3,1),0),IF(ISNUMBER($G605),$G605,$F605)&gt;=DATE(PlanYear,3,1)),1,0))</f>
        <v>0</v>
      </c>
      <c r="R605">
        <f>IF($N605=0,0,IF(AND($F605&lt;=EOMONTH(DATE(PlanYear,4,1),0),IF(ISNUMBER($G605),$G605,$F605)&gt;=DATE(PlanYear,4,1)),1,0))</f>
        <v>0</v>
      </c>
      <c r="S605">
        <f>IF($N605=0,0,IF(AND($F605&lt;=EOMONTH(DATE(PlanYear,5,1),0),IF(ISNUMBER($G605),$G605,$F605)&gt;=DATE(PlanYear,5,1)),1,0))</f>
        <v>0</v>
      </c>
      <c r="T605">
        <f>IF($N605=0,0,IF(AND($F605&lt;=EOMONTH(DATE(PlanYear,6,1),0),IF(ISNUMBER($G605),$G605,$F605)&gt;=DATE(PlanYear,6,1)),1,0))</f>
        <v>0</v>
      </c>
      <c r="U605">
        <f>IF($N605=0,0,IF(AND($F605&lt;=EOMONTH(DATE(PlanYear,7,1),0),IF(ISNUMBER($G605),$G605,$F605)&gt;=DATE(PlanYear,7,1)),1,0))</f>
        <v>0</v>
      </c>
      <c r="V605">
        <f>IF($N605=0,0,IF(AND($F605&lt;=EOMONTH(DATE(PlanYear,8,1),0),IF(ISNUMBER($G605),$G605,$F605)&gt;=DATE(PlanYear,8,1)),1,0))</f>
        <v>0</v>
      </c>
      <c r="W605">
        <f>IF($N605=0,0,IF(AND($F605&lt;=EOMONTH(DATE(PlanYear,9,1),0),IF(ISNUMBER($G605),$G605,$F605)&gt;=DATE(PlanYear,9,1)),1,0))</f>
        <v>0</v>
      </c>
      <c r="X605">
        <f>IF($N605=0,0,IF(AND($F605&lt;=EOMONTH(DATE(PlanYear,10,1),0),IF(ISNUMBER($G605),$G605,$F605)&gt;=DATE(PlanYear,10,1)),1,0))</f>
        <v>0</v>
      </c>
      <c r="Y605">
        <f>IF($N605=0,0,IF(AND($F605&lt;=EOMONTH(DATE(PlanYear,11,1),0),IF(ISNUMBER($G605),$G605,$F605)&gt;=DATE(PlanYear,11,1)),1,0))</f>
        <v>0</v>
      </c>
      <c r="Z605">
        <f>IF($N605=0,0,IF(AND($F605&lt;=EOMONTH(DATE(PlanYear,12,1),0),IF(ISNUMBER($G605),$G605,$F605)&gt;=DATE(PlanYear,12,1)),1,0))</f>
        <v>0</v>
      </c>
      <c r="AA605">
        <f>SUM($O605:$Z605)</f>
        <v>0</v>
      </c>
    </row>
    <row r="606" spans="1:27">
      <c r="A606" s="42">
        <f>IF($B606="","","ACT-"&amp;TEXT(ROW()-4,"000"))</f>
        <v>0</v>
      </c>
      <c r="M606" s="43">
        <f>IF(COUNTA($B606:$K606)=0,"",IF($B606="","Missing activity name",IF($C606="","Missing practice",IF(COUNTIF(PracticeNames,$C606)=0,"Practice not in Lists",IF($D606="","Missing motion",IF(NOT(ISNUMBER($F606)),"Missing or invalid start date",IF(AND(ISNUMBER($G606),$G606&lt;$F606),"End date before start",IF(AND($N606=1,$AA606=0),"Outside planning year","OK"))))))))</f>
        <v>0</v>
      </c>
      <c r="N606">
        <f>IF(AND($B606&lt;&gt;"",$C606&lt;&gt;"",$D606&lt;&gt;"",ISNUMBER($F606),COUNTIF(PracticeNames,$C606)&gt;0,COUNTIF(MotionNames,$D606)&gt;0,NOT(AND(ISNUMBER($G606),$G606&lt;$F606))),IF(StatusFilter="All (excl. Cancelled)",IF($H606="Cancelled",0,1),IF(StatusFilter="All",1,IF($H606=StatusFilter,1,0))),0)</f>
        <v>0</v>
      </c>
      <c r="O606">
        <f>IF($N606=0,0,IF(AND($F606&lt;=EOMONTH(DATE(PlanYear,1,1),0),IF(ISNUMBER($G606),$G606,$F606)&gt;=DATE(PlanYear,1,1)),1,0))</f>
        <v>0</v>
      </c>
      <c r="P606">
        <f>IF($N606=0,0,IF(AND($F606&lt;=EOMONTH(DATE(PlanYear,2,1),0),IF(ISNUMBER($G606),$G606,$F606)&gt;=DATE(PlanYear,2,1)),1,0))</f>
        <v>0</v>
      </c>
      <c r="Q606">
        <f>IF($N606=0,0,IF(AND($F606&lt;=EOMONTH(DATE(PlanYear,3,1),0),IF(ISNUMBER($G606),$G606,$F606)&gt;=DATE(PlanYear,3,1)),1,0))</f>
        <v>0</v>
      </c>
      <c r="R606">
        <f>IF($N606=0,0,IF(AND($F606&lt;=EOMONTH(DATE(PlanYear,4,1),0),IF(ISNUMBER($G606),$G606,$F606)&gt;=DATE(PlanYear,4,1)),1,0))</f>
        <v>0</v>
      </c>
      <c r="S606">
        <f>IF($N606=0,0,IF(AND($F606&lt;=EOMONTH(DATE(PlanYear,5,1),0),IF(ISNUMBER($G606),$G606,$F606)&gt;=DATE(PlanYear,5,1)),1,0))</f>
        <v>0</v>
      </c>
      <c r="T606">
        <f>IF($N606=0,0,IF(AND($F606&lt;=EOMONTH(DATE(PlanYear,6,1),0),IF(ISNUMBER($G606),$G606,$F606)&gt;=DATE(PlanYear,6,1)),1,0))</f>
        <v>0</v>
      </c>
      <c r="U606">
        <f>IF($N606=0,0,IF(AND($F606&lt;=EOMONTH(DATE(PlanYear,7,1),0),IF(ISNUMBER($G606),$G606,$F606)&gt;=DATE(PlanYear,7,1)),1,0))</f>
        <v>0</v>
      </c>
      <c r="V606">
        <f>IF($N606=0,0,IF(AND($F606&lt;=EOMONTH(DATE(PlanYear,8,1),0),IF(ISNUMBER($G606),$G606,$F606)&gt;=DATE(PlanYear,8,1)),1,0))</f>
        <v>0</v>
      </c>
      <c r="W606">
        <f>IF($N606=0,0,IF(AND($F606&lt;=EOMONTH(DATE(PlanYear,9,1),0),IF(ISNUMBER($G606),$G606,$F606)&gt;=DATE(PlanYear,9,1)),1,0))</f>
        <v>0</v>
      </c>
      <c r="X606">
        <f>IF($N606=0,0,IF(AND($F606&lt;=EOMONTH(DATE(PlanYear,10,1),0),IF(ISNUMBER($G606),$G606,$F606)&gt;=DATE(PlanYear,10,1)),1,0))</f>
        <v>0</v>
      </c>
      <c r="Y606">
        <f>IF($N606=0,0,IF(AND($F606&lt;=EOMONTH(DATE(PlanYear,11,1),0),IF(ISNUMBER($G606),$G606,$F606)&gt;=DATE(PlanYear,11,1)),1,0))</f>
        <v>0</v>
      </c>
      <c r="Z606">
        <f>IF($N606=0,0,IF(AND($F606&lt;=EOMONTH(DATE(PlanYear,12,1),0),IF(ISNUMBER($G606),$G606,$F606)&gt;=DATE(PlanYear,12,1)),1,0))</f>
        <v>0</v>
      </c>
      <c r="AA606">
        <f>SUM($O606:$Z606)</f>
        <v>0</v>
      </c>
    </row>
    <row r="607" spans="1:27">
      <c r="A607" s="42">
        <f>IF($B607="","","ACT-"&amp;TEXT(ROW()-4,"000"))</f>
        <v>0</v>
      </c>
      <c r="M607" s="43">
        <f>IF(COUNTA($B607:$K607)=0,"",IF($B607="","Missing activity name",IF($C607="","Missing practice",IF(COUNTIF(PracticeNames,$C607)=0,"Practice not in Lists",IF($D607="","Missing motion",IF(NOT(ISNUMBER($F607)),"Missing or invalid start date",IF(AND(ISNUMBER($G607),$G607&lt;$F607),"End date before start",IF(AND($N607=1,$AA607=0),"Outside planning year","OK"))))))))</f>
        <v>0</v>
      </c>
      <c r="N607">
        <f>IF(AND($B607&lt;&gt;"",$C607&lt;&gt;"",$D607&lt;&gt;"",ISNUMBER($F607),COUNTIF(PracticeNames,$C607)&gt;0,COUNTIF(MotionNames,$D607)&gt;0,NOT(AND(ISNUMBER($G607),$G607&lt;$F607))),IF(StatusFilter="All (excl. Cancelled)",IF($H607="Cancelled",0,1),IF(StatusFilter="All",1,IF($H607=StatusFilter,1,0))),0)</f>
        <v>0</v>
      </c>
      <c r="O607">
        <f>IF($N607=0,0,IF(AND($F607&lt;=EOMONTH(DATE(PlanYear,1,1),0),IF(ISNUMBER($G607),$G607,$F607)&gt;=DATE(PlanYear,1,1)),1,0))</f>
        <v>0</v>
      </c>
      <c r="P607">
        <f>IF($N607=0,0,IF(AND($F607&lt;=EOMONTH(DATE(PlanYear,2,1),0),IF(ISNUMBER($G607),$G607,$F607)&gt;=DATE(PlanYear,2,1)),1,0))</f>
        <v>0</v>
      </c>
      <c r="Q607">
        <f>IF($N607=0,0,IF(AND($F607&lt;=EOMONTH(DATE(PlanYear,3,1),0),IF(ISNUMBER($G607),$G607,$F607)&gt;=DATE(PlanYear,3,1)),1,0))</f>
        <v>0</v>
      </c>
      <c r="R607">
        <f>IF($N607=0,0,IF(AND($F607&lt;=EOMONTH(DATE(PlanYear,4,1),0),IF(ISNUMBER($G607),$G607,$F607)&gt;=DATE(PlanYear,4,1)),1,0))</f>
        <v>0</v>
      </c>
      <c r="S607">
        <f>IF($N607=0,0,IF(AND($F607&lt;=EOMONTH(DATE(PlanYear,5,1),0),IF(ISNUMBER($G607),$G607,$F607)&gt;=DATE(PlanYear,5,1)),1,0))</f>
        <v>0</v>
      </c>
      <c r="T607">
        <f>IF($N607=0,0,IF(AND($F607&lt;=EOMONTH(DATE(PlanYear,6,1),0),IF(ISNUMBER($G607),$G607,$F607)&gt;=DATE(PlanYear,6,1)),1,0))</f>
        <v>0</v>
      </c>
      <c r="U607">
        <f>IF($N607=0,0,IF(AND($F607&lt;=EOMONTH(DATE(PlanYear,7,1),0),IF(ISNUMBER($G607),$G607,$F607)&gt;=DATE(PlanYear,7,1)),1,0))</f>
        <v>0</v>
      </c>
      <c r="V607">
        <f>IF($N607=0,0,IF(AND($F607&lt;=EOMONTH(DATE(PlanYear,8,1),0),IF(ISNUMBER($G607),$G607,$F607)&gt;=DATE(PlanYear,8,1)),1,0))</f>
        <v>0</v>
      </c>
      <c r="W607">
        <f>IF($N607=0,0,IF(AND($F607&lt;=EOMONTH(DATE(PlanYear,9,1),0),IF(ISNUMBER($G607),$G607,$F607)&gt;=DATE(PlanYear,9,1)),1,0))</f>
        <v>0</v>
      </c>
      <c r="X607">
        <f>IF($N607=0,0,IF(AND($F607&lt;=EOMONTH(DATE(PlanYear,10,1),0),IF(ISNUMBER($G607),$G607,$F607)&gt;=DATE(PlanYear,10,1)),1,0))</f>
        <v>0</v>
      </c>
      <c r="Y607">
        <f>IF($N607=0,0,IF(AND($F607&lt;=EOMONTH(DATE(PlanYear,11,1),0),IF(ISNUMBER($G607),$G607,$F607)&gt;=DATE(PlanYear,11,1)),1,0))</f>
        <v>0</v>
      </c>
      <c r="Z607">
        <f>IF($N607=0,0,IF(AND($F607&lt;=EOMONTH(DATE(PlanYear,12,1),0),IF(ISNUMBER($G607),$G607,$F607)&gt;=DATE(PlanYear,12,1)),1,0))</f>
        <v>0</v>
      </c>
      <c r="AA607">
        <f>SUM($O607:$Z607)</f>
        <v>0</v>
      </c>
    </row>
    <row r="608" spans="1:27">
      <c r="A608" s="42">
        <f>IF($B608="","","ACT-"&amp;TEXT(ROW()-4,"000"))</f>
        <v>0</v>
      </c>
      <c r="M608" s="43">
        <f>IF(COUNTA($B608:$K608)=0,"",IF($B608="","Missing activity name",IF($C608="","Missing practice",IF(COUNTIF(PracticeNames,$C608)=0,"Practice not in Lists",IF($D608="","Missing motion",IF(NOT(ISNUMBER($F608)),"Missing or invalid start date",IF(AND(ISNUMBER($G608),$G608&lt;$F608),"End date before start",IF(AND($N608=1,$AA608=0),"Outside planning year","OK"))))))))</f>
        <v>0</v>
      </c>
      <c r="N608">
        <f>IF(AND($B608&lt;&gt;"",$C608&lt;&gt;"",$D608&lt;&gt;"",ISNUMBER($F608),COUNTIF(PracticeNames,$C608)&gt;0,COUNTIF(MotionNames,$D608)&gt;0,NOT(AND(ISNUMBER($G608),$G608&lt;$F608))),IF(StatusFilter="All (excl. Cancelled)",IF($H608="Cancelled",0,1),IF(StatusFilter="All",1,IF($H608=StatusFilter,1,0))),0)</f>
        <v>0</v>
      </c>
      <c r="O608">
        <f>IF($N608=0,0,IF(AND($F608&lt;=EOMONTH(DATE(PlanYear,1,1),0),IF(ISNUMBER($G608),$G608,$F608)&gt;=DATE(PlanYear,1,1)),1,0))</f>
        <v>0</v>
      </c>
      <c r="P608">
        <f>IF($N608=0,0,IF(AND($F608&lt;=EOMONTH(DATE(PlanYear,2,1),0),IF(ISNUMBER($G608),$G608,$F608)&gt;=DATE(PlanYear,2,1)),1,0))</f>
        <v>0</v>
      </c>
      <c r="Q608">
        <f>IF($N608=0,0,IF(AND($F608&lt;=EOMONTH(DATE(PlanYear,3,1),0),IF(ISNUMBER($G608),$G608,$F608)&gt;=DATE(PlanYear,3,1)),1,0))</f>
        <v>0</v>
      </c>
      <c r="R608">
        <f>IF($N608=0,0,IF(AND($F608&lt;=EOMONTH(DATE(PlanYear,4,1),0),IF(ISNUMBER($G608),$G608,$F608)&gt;=DATE(PlanYear,4,1)),1,0))</f>
        <v>0</v>
      </c>
      <c r="S608">
        <f>IF($N608=0,0,IF(AND($F608&lt;=EOMONTH(DATE(PlanYear,5,1),0),IF(ISNUMBER($G608),$G608,$F608)&gt;=DATE(PlanYear,5,1)),1,0))</f>
        <v>0</v>
      </c>
      <c r="T608">
        <f>IF($N608=0,0,IF(AND($F608&lt;=EOMONTH(DATE(PlanYear,6,1),0),IF(ISNUMBER($G608),$G608,$F608)&gt;=DATE(PlanYear,6,1)),1,0))</f>
        <v>0</v>
      </c>
      <c r="U608">
        <f>IF($N608=0,0,IF(AND($F608&lt;=EOMONTH(DATE(PlanYear,7,1),0),IF(ISNUMBER($G608),$G608,$F608)&gt;=DATE(PlanYear,7,1)),1,0))</f>
        <v>0</v>
      </c>
      <c r="V608">
        <f>IF($N608=0,0,IF(AND($F608&lt;=EOMONTH(DATE(PlanYear,8,1),0),IF(ISNUMBER($G608),$G608,$F608)&gt;=DATE(PlanYear,8,1)),1,0))</f>
        <v>0</v>
      </c>
      <c r="W608">
        <f>IF($N608=0,0,IF(AND($F608&lt;=EOMONTH(DATE(PlanYear,9,1),0),IF(ISNUMBER($G608),$G608,$F608)&gt;=DATE(PlanYear,9,1)),1,0))</f>
        <v>0</v>
      </c>
      <c r="X608">
        <f>IF($N608=0,0,IF(AND($F608&lt;=EOMONTH(DATE(PlanYear,10,1),0),IF(ISNUMBER($G608),$G608,$F608)&gt;=DATE(PlanYear,10,1)),1,0))</f>
        <v>0</v>
      </c>
      <c r="Y608">
        <f>IF($N608=0,0,IF(AND($F608&lt;=EOMONTH(DATE(PlanYear,11,1),0),IF(ISNUMBER($G608),$G608,$F608)&gt;=DATE(PlanYear,11,1)),1,0))</f>
        <v>0</v>
      </c>
      <c r="Z608">
        <f>IF($N608=0,0,IF(AND($F608&lt;=EOMONTH(DATE(PlanYear,12,1),0),IF(ISNUMBER($G608),$G608,$F608)&gt;=DATE(PlanYear,12,1)),1,0))</f>
        <v>0</v>
      </c>
      <c r="AA608">
        <f>SUM($O608:$Z608)</f>
        <v>0</v>
      </c>
    </row>
    <row r="609" spans="1:27">
      <c r="A609" s="42">
        <f>IF($B609="","","ACT-"&amp;TEXT(ROW()-4,"000"))</f>
        <v>0</v>
      </c>
      <c r="M609" s="43">
        <f>IF(COUNTA($B609:$K609)=0,"",IF($B609="","Missing activity name",IF($C609="","Missing practice",IF(COUNTIF(PracticeNames,$C609)=0,"Practice not in Lists",IF($D609="","Missing motion",IF(NOT(ISNUMBER($F609)),"Missing or invalid start date",IF(AND(ISNUMBER($G609),$G609&lt;$F609),"End date before start",IF(AND($N609=1,$AA609=0),"Outside planning year","OK"))))))))</f>
        <v>0</v>
      </c>
      <c r="N609">
        <f>IF(AND($B609&lt;&gt;"",$C609&lt;&gt;"",$D609&lt;&gt;"",ISNUMBER($F609),COUNTIF(PracticeNames,$C609)&gt;0,COUNTIF(MotionNames,$D609)&gt;0,NOT(AND(ISNUMBER($G609),$G609&lt;$F609))),IF(StatusFilter="All (excl. Cancelled)",IF($H609="Cancelled",0,1),IF(StatusFilter="All",1,IF($H609=StatusFilter,1,0))),0)</f>
        <v>0</v>
      </c>
      <c r="O609">
        <f>IF($N609=0,0,IF(AND($F609&lt;=EOMONTH(DATE(PlanYear,1,1),0),IF(ISNUMBER($G609),$G609,$F609)&gt;=DATE(PlanYear,1,1)),1,0))</f>
        <v>0</v>
      </c>
      <c r="P609">
        <f>IF($N609=0,0,IF(AND($F609&lt;=EOMONTH(DATE(PlanYear,2,1),0),IF(ISNUMBER($G609),$G609,$F609)&gt;=DATE(PlanYear,2,1)),1,0))</f>
        <v>0</v>
      </c>
      <c r="Q609">
        <f>IF($N609=0,0,IF(AND($F609&lt;=EOMONTH(DATE(PlanYear,3,1),0),IF(ISNUMBER($G609),$G609,$F609)&gt;=DATE(PlanYear,3,1)),1,0))</f>
        <v>0</v>
      </c>
      <c r="R609">
        <f>IF($N609=0,0,IF(AND($F609&lt;=EOMONTH(DATE(PlanYear,4,1),0),IF(ISNUMBER($G609),$G609,$F609)&gt;=DATE(PlanYear,4,1)),1,0))</f>
        <v>0</v>
      </c>
      <c r="S609">
        <f>IF($N609=0,0,IF(AND($F609&lt;=EOMONTH(DATE(PlanYear,5,1),0),IF(ISNUMBER($G609),$G609,$F609)&gt;=DATE(PlanYear,5,1)),1,0))</f>
        <v>0</v>
      </c>
      <c r="T609">
        <f>IF($N609=0,0,IF(AND($F609&lt;=EOMONTH(DATE(PlanYear,6,1),0),IF(ISNUMBER($G609),$G609,$F609)&gt;=DATE(PlanYear,6,1)),1,0))</f>
        <v>0</v>
      </c>
      <c r="U609">
        <f>IF($N609=0,0,IF(AND($F609&lt;=EOMONTH(DATE(PlanYear,7,1),0),IF(ISNUMBER($G609),$G609,$F609)&gt;=DATE(PlanYear,7,1)),1,0))</f>
        <v>0</v>
      </c>
      <c r="V609">
        <f>IF($N609=0,0,IF(AND($F609&lt;=EOMONTH(DATE(PlanYear,8,1),0),IF(ISNUMBER($G609),$G609,$F609)&gt;=DATE(PlanYear,8,1)),1,0))</f>
        <v>0</v>
      </c>
      <c r="W609">
        <f>IF($N609=0,0,IF(AND($F609&lt;=EOMONTH(DATE(PlanYear,9,1),0),IF(ISNUMBER($G609),$G609,$F609)&gt;=DATE(PlanYear,9,1)),1,0))</f>
        <v>0</v>
      </c>
      <c r="X609">
        <f>IF($N609=0,0,IF(AND($F609&lt;=EOMONTH(DATE(PlanYear,10,1),0),IF(ISNUMBER($G609),$G609,$F609)&gt;=DATE(PlanYear,10,1)),1,0))</f>
        <v>0</v>
      </c>
      <c r="Y609">
        <f>IF($N609=0,0,IF(AND($F609&lt;=EOMONTH(DATE(PlanYear,11,1),0),IF(ISNUMBER($G609),$G609,$F609)&gt;=DATE(PlanYear,11,1)),1,0))</f>
        <v>0</v>
      </c>
      <c r="Z609">
        <f>IF($N609=0,0,IF(AND($F609&lt;=EOMONTH(DATE(PlanYear,12,1),0),IF(ISNUMBER($G609),$G609,$F609)&gt;=DATE(PlanYear,12,1)),1,0))</f>
        <v>0</v>
      </c>
      <c r="AA609">
        <f>SUM($O609:$Z609)</f>
        <v>0</v>
      </c>
    </row>
    <row r="610" spans="1:27">
      <c r="A610" s="42">
        <f>IF($B610="","","ACT-"&amp;TEXT(ROW()-4,"000"))</f>
        <v>0</v>
      </c>
      <c r="M610" s="43">
        <f>IF(COUNTA($B610:$K610)=0,"",IF($B610="","Missing activity name",IF($C610="","Missing practice",IF(COUNTIF(PracticeNames,$C610)=0,"Practice not in Lists",IF($D610="","Missing motion",IF(NOT(ISNUMBER($F610)),"Missing or invalid start date",IF(AND(ISNUMBER($G610),$G610&lt;$F610),"End date before start",IF(AND($N610=1,$AA610=0),"Outside planning year","OK"))))))))</f>
        <v>0</v>
      </c>
      <c r="N610">
        <f>IF(AND($B610&lt;&gt;"",$C610&lt;&gt;"",$D610&lt;&gt;"",ISNUMBER($F610),COUNTIF(PracticeNames,$C610)&gt;0,COUNTIF(MotionNames,$D610)&gt;0,NOT(AND(ISNUMBER($G610),$G610&lt;$F610))),IF(StatusFilter="All (excl. Cancelled)",IF($H610="Cancelled",0,1),IF(StatusFilter="All",1,IF($H610=StatusFilter,1,0))),0)</f>
        <v>0</v>
      </c>
      <c r="O610">
        <f>IF($N610=0,0,IF(AND($F610&lt;=EOMONTH(DATE(PlanYear,1,1),0),IF(ISNUMBER($G610),$G610,$F610)&gt;=DATE(PlanYear,1,1)),1,0))</f>
        <v>0</v>
      </c>
      <c r="P610">
        <f>IF($N610=0,0,IF(AND($F610&lt;=EOMONTH(DATE(PlanYear,2,1),0),IF(ISNUMBER($G610),$G610,$F610)&gt;=DATE(PlanYear,2,1)),1,0))</f>
        <v>0</v>
      </c>
      <c r="Q610">
        <f>IF($N610=0,0,IF(AND($F610&lt;=EOMONTH(DATE(PlanYear,3,1),0),IF(ISNUMBER($G610),$G610,$F610)&gt;=DATE(PlanYear,3,1)),1,0))</f>
        <v>0</v>
      </c>
      <c r="R610">
        <f>IF($N610=0,0,IF(AND($F610&lt;=EOMONTH(DATE(PlanYear,4,1),0),IF(ISNUMBER($G610),$G610,$F610)&gt;=DATE(PlanYear,4,1)),1,0))</f>
        <v>0</v>
      </c>
      <c r="S610">
        <f>IF($N610=0,0,IF(AND($F610&lt;=EOMONTH(DATE(PlanYear,5,1),0),IF(ISNUMBER($G610),$G610,$F610)&gt;=DATE(PlanYear,5,1)),1,0))</f>
        <v>0</v>
      </c>
      <c r="T610">
        <f>IF($N610=0,0,IF(AND($F610&lt;=EOMONTH(DATE(PlanYear,6,1),0),IF(ISNUMBER($G610),$G610,$F610)&gt;=DATE(PlanYear,6,1)),1,0))</f>
        <v>0</v>
      </c>
      <c r="U610">
        <f>IF($N610=0,0,IF(AND($F610&lt;=EOMONTH(DATE(PlanYear,7,1),0),IF(ISNUMBER($G610),$G610,$F610)&gt;=DATE(PlanYear,7,1)),1,0))</f>
        <v>0</v>
      </c>
      <c r="V610">
        <f>IF($N610=0,0,IF(AND($F610&lt;=EOMONTH(DATE(PlanYear,8,1),0),IF(ISNUMBER($G610),$G610,$F610)&gt;=DATE(PlanYear,8,1)),1,0))</f>
        <v>0</v>
      </c>
      <c r="W610">
        <f>IF($N610=0,0,IF(AND($F610&lt;=EOMONTH(DATE(PlanYear,9,1),0),IF(ISNUMBER($G610),$G610,$F610)&gt;=DATE(PlanYear,9,1)),1,0))</f>
        <v>0</v>
      </c>
      <c r="X610">
        <f>IF($N610=0,0,IF(AND($F610&lt;=EOMONTH(DATE(PlanYear,10,1),0),IF(ISNUMBER($G610),$G610,$F610)&gt;=DATE(PlanYear,10,1)),1,0))</f>
        <v>0</v>
      </c>
      <c r="Y610">
        <f>IF($N610=0,0,IF(AND($F610&lt;=EOMONTH(DATE(PlanYear,11,1),0),IF(ISNUMBER($G610),$G610,$F610)&gt;=DATE(PlanYear,11,1)),1,0))</f>
        <v>0</v>
      </c>
      <c r="Z610">
        <f>IF($N610=0,0,IF(AND($F610&lt;=EOMONTH(DATE(PlanYear,12,1),0),IF(ISNUMBER($G610),$G610,$F610)&gt;=DATE(PlanYear,12,1)),1,0))</f>
        <v>0</v>
      </c>
      <c r="AA610">
        <f>SUM($O610:$Z610)</f>
        <v>0</v>
      </c>
    </row>
    <row r="611" spans="1:27">
      <c r="A611" s="42">
        <f>IF($B611="","","ACT-"&amp;TEXT(ROW()-4,"000"))</f>
        <v>0</v>
      </c>
      <c r="M611" s="43">
        <f>IF(COUNTA($B611:$K611)=0,"",IF($B611="","Missing activity name",IF($C611="","Missing practice",IF(COUNTIF(PracticeNames,$C611)=0,"Practice not in Lists",IF($D611="","Missing motion",IF(NOT(ISNUMBER($F611)),"Missing or invalid start date",IF(AND(ISNUMBER($G611),$G611&lt;$F611),"End date before start",IF(AND($N611=1,$AA611=0),"Outside planning year","OK"))))))))</f>
        <v>0</v>
      </c>
      <c r="N611">
        <f>IF(AND($B611&lt;&gt;"",$C611&lt;&gt;"",$D611&lt;&gt;"",ISNUMBER($F611),COUNTIF(PracticeNames,$C611)&gt;0,COUNTIF(MotionNames,$D611)&gt;0,NOT(AND(ISNUMBER($G611),$G611&lt;$F611))),IF(StatusFilter="All (excl. Cancelled)",IF($H611="Cancelled",0,1),IF(StatusFilter="All",1,IF($H611=StatusFilter,1,0))),0)</f>
        <v>0</v>
      </c>
      <c r="O611">
        <f>IF($N611=0,0,IF(AND($F611&lt;=EOMONTH(DATE(PlanYear,1,1),0),IF(ISNUMBER($G611),$G611,$F611)&gt;=DATE(PlanYear,1,1)),1,0))</f>
        <v>0</v>
      </c>
      <c r="P611">
        <f>IF($N611=0,0,IF(AND($F611&lt;=EOMONTH(DATE(PlanYear,2,1),0),IF(ISNUMBER($G611),$G611,$F611)&gt;=DATE(PlanYear,2,1)),1,0))</f>
        <v>0</v>
      </c>
      <c r="Q611">
        <f>IF($N611=0,0,IF(AND($F611&lt;=EOMONTH(DATE(PlanYear,3,1),0),IF(ISNUMBER($G611),$G611,$F611)&gt;=DATE(PlanYear,3,1)),1,0))</f>
        <v>0</v>
      </c>
      <c r="R611">
        <f>IF($N611=0,0,IF(AND($F611&lt;=EOMONTH(DATE(PlanYear,4,1),0),IF(ISNUMBER($G611),$G611,$F611)&gt;=DATE(PlanYear,4,1)),1,0))</f>
        <v>0</v>
      </c>
      <c r="S611">
        <f>IF($N611=0,0,IF(AND($F611&lt;=EOMONTH(DATE(PlanYear,5,1),0),IF(ISNUMBER($G611),$G611,$F611)&gt;=DATE(PlanYear,5,1)),1,0))</f>
        <v>0</v>
      </c>
      <c r="T611">
        <f>IF($N611=0,0,IF(AND($F611&lt;=EOMONTH(DATE(PlanYear,6,1),0),IF(ISNUMBER($G611),$G611,$F611)&gt;=DATE(PlanYear,6,1)),1,0))</f>
        <v>0</v>
      </c>
      <c r="U611">
        <f>IF($N611=0,0,IF(AND($F611&lt;=EOMONTH(DATE(PlanYear,7,1),0),IF(ISNUMBER($G611),$G611,$F611)&gt;=DATE(PlanYear,7,1)),1,0))</f>
        <v>0</v>
      </c>
      <c r="V611">
        <f>IF($N611=0,0,IF(AND($F611&lt;=EOMONTH(DATE(PlanYear,8,1),0),IF(ISNUMBER($G611),$G611,$F611)&gt;=DATE(PlanYear,8,1)),1,0))</f>
        <v>0</v>
      </c>
      <c r="W611">
        <f>IF($N611=0,0,IF(AND($F611&lt;=EOMONTH(DATE(PlanYear,9,1),0),IF(ISNUMBER($G611),$G611,$F611)&gt;=DATE(PlanYear,9,1)),1,0))</f>
        <v>0</v>
      </c>
      <c r="X611">
        <f>IF($N611=0,0,IF(AND($F611&lt;=EOMONTH(DATE(PlanYear,10,1),0),IF(ISNUMBER($G611),$G611,$F611)&gt;=DATE(PlanYear,10,1)),1,0))</f>
        <v>0</v>
      </c>
      <c r="Y611">
        <f>IF($N611=0,0,IF(AND($F611&lt;=EOMONTH(DATE(PlanYear,11,1),0),IF(ISNUMBER($G611),$G611,$F611)&gt;=DATE(PlanYear,11,1)),1,0))</f>
        <v>0</v>
      </c>
      <c r="Z611">
        <f>IF($N611=0,0,IF(AND($F611&lt;=EOMONTH(DATE(PlanYear,12,1),0),IF(ISNUMBER($G611),$G611,$F611)&gt;=DATE(PlanYear,12,1)),1,0))</f>
        <v>0</v>
      </c>
      <c r="AA611">
        <f>SUM($O611:$Z611)</f>
        <v>0</v>
      </c>
    </row>
    <row r="612" spans="1:27">
      <c r="A612" s="42">
        <f>IF($B612="","","ACT-"&amp;TEXT(ROW()-4,"000"))</f>
        <v>0</v>
      </c>
      <c r="M612" s="43">
        <f>IF(COUNTA($B612:$K612)=0,"",IF($B612="","Missing activity name",IF($C612="","Missing practice",IF(COUNTIF(PracticeNames,$C612)=0,"Practice not in Lists",IF($D612="","Missing motion",IF(NOT(ISNUMBER($F612)),"Missing or invalid start date",IF(AND(ISNUMBER($G612),$G612&lt;$F612),"End date before start",IF(AND($N612=1,$AA612=0),"Outside planning year","OK"))))))))</f>
        <v>0</v>
      </c>
      <c r="N612">
        <f>IF(AND($B612&lt;&gt;"",$C612&lt;&gt;"",$D612&lt;&gt;"",ISNUMBER($F612),COUNTIF(PracticeNames,$C612)&gt;0,COUNTIF(MotionNames,$D612)&gt;0,NOT(AND(ISNUMBER($G612),$G612&lt;$F612))),IF(StatusFilter="All (excl. Cancelled)",IF($H612="Cancelled",0,1),IF(StatusFilter="All",1,IF($H612=StatusFilter,1,0))),0)</f>
        <v>0</v>
      </c>
      <c r="O612">
        <f>IF($N612=0,0,IF(AND($F612&lt;=EOMONTH(DATE(PlanYear,1,1),0),IF(ISNUMBER($G612),$G612,$F612)&gt;=DATE(PlanYear,1,1)),1,0))</f>
        <v>0</v>
      </c>
      <c r="P612">
        <f>IF($N612=0,0,IF(AND($F612&lt;=EOMONTH(DATE(PlanYear,2,1),0),IF(ISNUMBER($G612),$G612,$F612)&gt;=DATE(PlanYear,2,1)),1,0))</f>
        <v>0</v>
      </c>
      <c r="Q612">
        <f>IF($N612=0,0,IF(AND($F612&lt;=EOMONTH(DATE(PlanYear,3,1),0),IF(ISNUMBER($G612),$G612,$F612)&gt;=DATE(PlanYear,3,1)),1,0))</f>
        <v>0</v>
      </c>
      <c r="R612">
        <f>IF($N612=0,0,IF(AND($F612&lt;=EOMONTH(DATE(PlanYear,4,1),0),IF(ISNUMBER($G612),$G612,$F612)&gt;=DATE(PlanYear,4,1)),1,0))</f>
        <v>0</v>
      </c>
      <c r="S612">
        <f>IF($N612=0,0,IF(AND($F612&lt;=EOMONTH(DATE(PlanYear,5,1),0),IF(ISNUMBER($G612),$G612,$F612)&gt;=DATE(PlanYear,5,1)),1,0))</f>
        <v>0</v>
      </c>
      <c r="T612">
        <f>IF($N612=0,0,IF(AND($F612&lt;=EOMONTH(DATE(PlanYear,6,1),0),IF(ISNUMBER($G612),$G612,$F612)&gt;=DATE(PlanYear,6,1)),1,0))</f>
        <v>0</v>
      </c>
      <c r="U612">
        <f>IF($N612=0,0,IF(AND($F612&lt;=EOMONTH(DATE(PlanYear,7,1),0),IF(ISNUMBER($G612),$G612,$F612)&gt;=DATE(PlanYear,7,1)),1,0))</f>
        <v>0</v>
      </c>
      <c r="V612">
        <f>IF($N612=0,0,IF(AND($F612&lt;=EOMONTH(DATE(PlanYear,8,1),0),IF(ISNUMBER($G612),$G612,$F612)&gt;=DATE(PlanYear,8,1)),1,0))</f>
        <v>0</v>
      </c>
      <c r="W612">
        <f>IF($N612=0,0,IF(AND($F612&lt;=EOMONTH(DATE(PlanYear,9,1),0),IF(ISNUMBER($G612),$G612,$F612)&gt;=DATE(PlanYear,9,1)),1,0))</f>
        <v>0</v>
      </c>
      <c r="X612">
        <f>IF($N612=0,0,IF(AND($F612&lt;=EOMONTH(DATE(PlanYear,10,1),0),IF(ISNUMBER($G612),$G612,$F612)&gt;=DATE(PlanYear,10,1)),1,0))</f>
        <v>0</v>
      </c>
      <c r="Y612">
        <f>IF($N612=0,0,IF(AND($F612&lt;=EOMONTH(DATE(PlanYear,11,1),0),IF(ISNUMBER($G612),$G612,$F612)&gt;=DATE(PlanYear,11,1)),1,0))</f>
        <v>0</v>
      </c>
      <c r="Z612">
        <f>IF($N612=0,0,IF(AND($F612&lt;=EOMONTH(DATE(PlanYear,12,1),0),IF(ISNUMBER($G612),$G612,$F612)&gt;=DATE(PlanYear,12,1)),1,0))</f>
        <v>0</v>
      </c>
      <c r="AA612">
        <f>SUM($O612:$Z612)</f>
        <v>0</v>
      </c>
    </row>
    <row r="613" spans="1:27">
      <c r="A613" s="42">
        <f>IF($B613="","","ACT-"&amp;TEXT(ROW()-4,"000"))</f>
        <v>0</v>
      </c>
      <c r="M613" s="43">
        <f>IF(COUNTA($B613:$K613)=0,"",IF($B613="","Missing activity name",IF($C613="","Missing practice",IF(COUNTIF(PracticeNames,$C613)=0,"Practice not in Lists",IF($D613="","Missing motion",IF(NOT(ISNUMBER($F613)),"Missing or invalid start date",IF(AND(ISNUMBER($G613),$G613&lt;$F613),"End date before start",IF(AND($N613=1,$AA613=0),"Outside planning year","OK"))))))))</f>
        <v>0</v>
      </c>
      <c r="N613">
        <f>IF(AND($B613&lt;&gt;"",$C613&lt;&gt;"",$D613&lt;&gt;"",ISNUMBER($F613),COUNTIF(PracticeNames,$C613)&gt;0,COUNTIF(MotionNames,$D613)&gt;0,NOT(AND(ISNUMBER($G613),$G613&lt;$F613))),IF(StatusFilter="All (excl. Cancelled)",IF($H613="Cancelled",0,1),IF(StatusFilter="All",1,IF($H613=StatusFilter,1,0))),0)</f>
        <v>0</v>
      </c>
      <c r="O613">
        <f>IF($N613=0,0,IF(AND($F613&lt;=EOMONTH(DATE(PlanYear,1,1),0),IF(ISNUMBER($G613),$G613,$F613)&gt;=DATE(PlanYear,1,1)),1,0))</f>
        <v>0</v>
      </c>
      <c r="P613">
        <f>IF($N613=0,0,IF(AND($F613&lt;=EOMONTH(DATE(PlanYear,2,1),0),IF(ISNUMBER($G613),$G613,$F613)&gt;=DATE(PlanYear,2,1)),1,0))</f>
        <v>0</v>
      </c>
      <c r="Q613">
        <f>IF($N613=0,0,IF(AND($F613&lt;=EOMONTH(DATE(PlanYear,3,1),0),IF(ISNUMBER($G613),$G613,$F613)&gt;=DATE(PlanYear,3,1)),1,0))</f>
        <v>0</v>
      </c>
      <c r="R613">
        <f>IF($N613=0,0,IF(AND($F613&lt;=EOMONTH(DATE(PlanYear,4,1),0),IF(ISNUMBER($G613),$G613,$F613)&gt;=DATE(PlanYear,4,1)),1,0))</f>
        <v>0</v>
      </c>
      <c r="S613">
        <f>IF($N613=0,0,IF(AND($F613&lt;=EOMONTH(DATE(PlanYear,5,1),0),IF(ISNUMBER($G613),$G613,$F613)&gt;=DATE(PlanYear,5,1)),1,0))</f>
        <v>0</v>
      </c>
      <c r="T613">
        <f>IF($N613=0,0,IF(AND($F613&lt;=EOMONTH(DATE(PlanYear,6,1),0),IF(ISNUMBER($G613),$G613,$F613)&gt;=DATE(PlanYear,6,1)),1,0))</f>
        <v>0</v>
      </c>
      <c r="U613">
        <f>IF($N613=0,0,IF(AND($F613&lt;=EOMONTH(DATE(PlanYear,7,1),0),IF(ISNUMBER($G613),$G613,$F613)&gt;=DATE(PlanYear,7,1)),1,0))</f>
        <v>0</v>
      </c>
      <c r="V613">
        <f>IF($N613=0,0,IF(AND($F613&lt;=EOMONTH(DATE(PlanYear,8,1),0),IF(ISNUMBER($G613),$G613,$F613)&gt;=DATE(PlanYear,8,1)),1,0))</f>
        <v>0</v>
      </c>
      <c r="W613">
        <f>IF($N613=0,0,IF(AND($F613&lt;=EOMONTH(DATE(PlanYear,9,1),0),IF(ISNUMBER($G613),$G613,$F613)&gt;=DATE(PlanYear,9,1)),1,0))</f>
        <v>0</v>
      </c>
      <c r="X613">
        <f>IF($N613=0,0,IF(AND($F613&lt;=EOMONTH(DATE(PlanYear,10,1),0),IF(ISNUMBER($G613),$G613,$F613)&gt;=DATE(PlanYear,10,1)),1,0))</f>
        <v>0</v>
      </c>
      <c r="Y613">
        <f>IF($N613=0,0,IF(AND($F613&lt;=EOMONTH(DATE(PlanYear,11,1),0),IF(ISNUMBER($G613),$G613,$F613)&gt;=DATE(PlanYear,11,1)),1,0))</f>
        <v>0</v>
      </c>
      <c r="Z613">
        <f>IF($N613=0,0,IF(AND($F613&lt;=EOMONTH(DATE(PlanYear,12,1),0),IF(ISNUMBER($G613),$G613,$F613)&gt;=DATE(PlanYear,12,1)),1,0))</f>
        <v>0</v>
      </c>
      <c r="AA613">
        <f>SUM($O613:$Z613)</f>
        <v>0</v>
      </c>
    </row>
    <row r="614" spans="1:27">
      <c r="A614" s="42">
        <f>IF($B614="","","ACT-"&amp;TEXT(ROW()-4,"000"))</f>
        <v>0</v>
      </c>
      <c r="M614" s="43">
        <f>IF(COUNTA($B614:$K614)=0,"",IF($B614="","Missing activity name",IF($C614="","Missing practice",IF(COUNTIF(PracticeNames,$C614)=0,"Practice not in Lists",IF($D614="","Missing motion",IF(NOT(ISNUMBER($F614)),"Missing or invalid start date",IF(AND(ISNUMBER($G614),$G614&lt;$F614),"End date before start",IF(AND($N614=1,$AA614=0),"Outside planning year","OK"))))))))</f>
        <v>0</v>
      </c>
      <c r="N614">
        <f>IF(AND($B614&lt;&gt;"",$C614&lt;&gt;"",$D614&lt;&gt;"",ISNUMBER($F614),COUNTIF(PracticeNames,$C614)&gt;0,COUNTIF(MotionNames,$D614)&gt;0,NOT(AND(ISNUMBER($G614),$G614&lt;$F614))),IF(StatusFilter="All (excl. Cancelled)",IF($H614="Cancelled",0,1),IF(StatusFilter="All",1,IF($H614=StatusFilter,1,0))),0)</f>
        <v>0</v>
      </c>
      <c r="O614">
        <f>IF($N614=0,0,IF(AND($F614&lt;=EOMONTH(DATE(PlanYear,1,1),0),IF(ISNUMBER($G614),$G614,$F614)&gt;=DATE(PlanYear,1,1)),1,0))</f>
        <v>0</v>
      </c>
      <c r="P614">
        <f>IF($N614=0,0,IF(AND($F614&lt;=EOMONTH(DATE(PlanYear,2,1),0),IF(ISNUMBER($G614),$G614,$F614)&gt;=DATE(PlanYear,2,1)),1,0))</f>
        <v>0</v>
      </c>
      <c r="Q614">
        <f>IF($N614=0,0,IF(AND($F614&lt;=EOMONTH(DATE(PlanYear,3,1),0),IF(ISNUMBER($G614),$G614,$F614)&gt;=DATE(PlanYear,3,1)),1,0))</f>
        <v>0</v>
      </c>
      <c r="R614">
        <f>IF($N614=0,0,IF(AND($F614&lt;=EOMONTH(DATE(PlanYear,4,1),0),IF(ISNUMBER($G614),$G614,$F614)&gt;=DATE(PlanYear,4,1)),1,0))</f>
        <v>0</v>
      </c>
      <c r="S614">
        <f>IF($N614=0,0,IF(AND($F614&lt;=EOMONTH(DATE(PlanYear,5,1),0),IF(ISNUMBER($G614),$G614,$F614)&gt;=DATE(PlanYear,5,1)),1,0))</f>
        <v>0</v>
      </c>
      <c r="T614">
        <f>IF($N614=0,0,IF(AND($F614&lt;=EOMONTH(DATE(PlanYear,6,1),0),IF(ISNUMBER($G614),$G614,$F614)&gt;=DATE(PlanYear,6,1)),1,0))</f>
        <v>0</v>
      </c>
      <c r="U614">
        <f>IF($N614=0,0,IF(AND($F614&lt;=EOMONTH(DATE(PlanYear,7,1),0),IF(ISNUMBER($G614),$G614,$F614)&gt;=DATE(PlanYear,7,1)),1,0))</f>
        <v>0</v>
      </c>
      <c r="V614">
        <f>IF($N614=0,0,IF(AND($F614&lt;=EOMONTH(DATE(PlanYear,8,1),0),IF(ISNUMBER($G614),$G614,$F614)&gt;=DATE(PlanYear,8,1)),1,0))</f>
        <v>0</v>
      </c>
      <c r="W614">
        <f>IF($N614=0,0,IF(AND($F614&lt;=EOMONTH(DATE(PlanYear,9,1),0),IF(ISNUMBER($G614),$G614,$F614)&gt;=DATE(PlanYear,9,1)),1,0))</f>
        <v>0</v>
      </c>
      <c r="X614">
        <f>IF($N614=0,0,IF(AND($F614&lt;=EOMONTH(DATE(PlanYear,10,1),0),IF(ISNUMBER($G614),$G614,$F614)&gt;=DATE(PlanYear,10,1)),1,0))</f>
        <v>0</v>
      </c>
      <c r="Y614">
        <f>IF($N614=0,0,IF(AND($F614&lt;=EOMONTH(DATE(PlanYear,11,1),0),IF(ISNUMBER($G614),$G614,$F614)&gt;=DATE(PlanYear,11,1)),1,0))</f>
        <v>0</v>
      </c>
      <c r="Z614">
        <f>IF($N614=0,0,IF(AND($F614&lt;=EOMONTH(DATE(PlanYear,12,1),0),IF(ISNUMBER($G614),$G614,$F614)&gt;=DATE(PlanYear,12,1)),1,0))</f>
        <v>0</v>
      </c>
      <c r="AA614">
        <f>SUM($O614:$Z614)</f>
        <v>0</v>
      </c>
    </row>
    <row r="615" spans="1:27">
      <c r="A615" s="42">
        <f>IF($B615="","","ACT-"&amp;TEXT(ROW()-4,"000"))</f>
        <v>0</v>
      </c>
      <c r="M615" s="43">
        <f>IF(COUNTA($B615:$K615)=0,"",IF($B615="","Missing activity name",IF($C615="","Missing practice",IF(COUNTIF(PracticeNames,$C615)=0,"Practice not in Lists",IF($D615="","Missing motion",IF(NOT(ISNUMBER($F615)),"Missing or invalid start date",IF(AND(ISNUMBER($G615),$G615&lt;$F615),"End date before start",IF(AND($N615=1,$AA615=0),"Outside planning year","OK"))))))))</f>
        <v>0</v>
      </c>
      <c r="N615">
        <f>IF(AND($B615&lt;&gt;"",$C615&lt;&gt;"",$D615&lt;&gt;"",ISNUMBER($F615),COUNTIF(PracticeNames,$C615)&gt;0,COUNTIF(MotionNames,$D615)&gt;0,NOT(AND(ISNUMBER($G615),$G615&lt;$F615))),IF(StatusFilter="All (excl. Cancelled)",IF($H615="Cancelled",0,1),IF(StatusFilter="All",1,IF($H615=StatusFilter,1,0))),0)</f>
        <v>0</v>
      </c>
      <c r="O615">
        <f>IF($N615=0,0,IF(AND($F615&lt;=EOMONTH(DATE(PlanYear,1,1),0),IF(ISNUMBER($G615),$G615,$F615)&gt;=DATE(PlanYear,1,1)),1,0))</f>
        <v>0</v>
      </c>
      <c r="P615">
        <f>IF($N615=0,0,IF(AND($F615&lt;=EOMONTH(DATE(PlanYear,2,1),0),IF(ISNUMBER($G615),$G615,$F615)&gt;=DATE(PlanYear,2,1)),1,0))</f>
        <v>0</v>
      </c>
      <c r="Q615">
        <f>IF($N615=0,0,IF(AND($F615&lt;=EOMONTH(DATE(PlanYear,3,1),0),IF(ISNUMBER($G615),$G615,$F615)&gt;=DATE(PlanYear,3,1)),1,0))</f>
        <v>0</v>
      </c>
      <c r="R615">
        <f>IF($N615=0,0,IF(AND($F615&lt;=EOMONTH(DATE(PlanYear,4,1),0),IF(ISNUMBER($G615),$G615,$F615)&gt;=DATE(PlanYear,4,1)),1,0))</f>
        <v>0</v>
      </c>
      <c r="S615">
        <f>IF($N615=0,0,IF(AND($F615&lt;=EOMONTH(DATE(PlanYear,5,1),0),IF(ISNUMBER($G615),$G615,$F615)&gt;=DATE(PlanYear,5,1)),1,0))</f>
        <v>0</v>
      </c>
      <c r="T615">
        <f>IF($N615=0,0,IF(AND($F615&lt;=EOMONTH(DATE(PlanYear,6,1),0),IF(ISNUMBER($G615),$G615,$F615)&gt;=DATE(PlanYear,6,1)),1,0))</f>
        <v>0</v>
      </c>
      <c r="U615">
        <f>IF($N615=0,0,IF(AND($F615&lt;=EOMONTH(DATE(PlanYear,7,1),0),IF(ISNUMBER($G615),$G615,$F615)&gt;=DATE(PlanYear,7,1)),1,0))</f>
        <v>0</v>
      </c>
      <c r="V615">
        <f>IF($N615=0,0,IF(AND($F615&lt;=EOMONTH(DATE(PlanYear,8,1),0),IF(ISNUMBER($G615),$G615,$F615)&gt;=DATE(PlanYear,8,1)),1,0))</f>
        <v>0</v>
      </c>
      <c r="W615">
        <f>IF($N615=0,0,IF(AND($F615&lt;=EOMONTH(DATE(PlanYear,9,1),0),IF(ISNUMBER($G615),$G615,$F615)&gt;=DATE(PlanYear,9,1)),1,0))</f>
        <v>0</v>
      </c>
      <c r="X615">
        <f>IF($N615=0,0,IF(AND($F615&lt;=EOMONTH(DATE(PlanYear,10,1),0),IF(ISNUMBER($G615),$G615,$F615)&gt;=DATE(PlanYear,10,1)),1,0))</f>
        <v>0</v>
      </c>
      <c r="Y615">
        <f>IF($N615=0,0,IF(AND($F615&lt;=EOMONTH(DATE(PlanYear,11,1),0),IF(ISNUMBER($G615),$G615,$F615)&gt;=DATE(PlanYear,11,1)),1,0))</f>
        <v>0</v>
      </c>
      <c r="Z615">
        <f>IF($N615=0,0,IF(AND($F615&lt;=EOMONTH(DATE(PlanYear,12,1),0),IF(ISNUMBER($G615),$G615,$F615)&gt;=DATE(PlanYear,12,1)),1,0))</f>
        <v>0</v>
      </c>
      <c r="AA615">
        <f>SUM($O615:$Z615)</f>
        <v>0</v>
      </c>
    </row>
    <row r="616" spans="1:27">
      <c r="A616" s="42">
        <f>IF($B616="","","ACT-"&amp;TEXT(ROW()-4,"000"))</f>
        <v>0</v>
      </c>
      <c r="M616" s="43">
        <f>IF(COUNTA($B616:$K616)=0,"",IF($B616="","Missing activity name",IF($C616="","Missing practice",IF(COUNTIF(PracticeNames,$C616)=0,"Practice not in Lists",IF($D616="","Missing motion",IF(NOT(ISNUMBER($F616)),"Missing or invalid start date",IF(AND(ISNUMBER($G616),$G616&lt;$F616),"End date before start",IF(AND($N616=1,$AA616=0),"Outside planning year","OK"))))))))</f>
        <v>0</v>
      </c>
      <c r="N616">
        <f>IF(AND($B616&lt;&gt;"",$C616&lt;&gt;"",$D616&lt;&gt;"",ISNUMBER($F616),COUNTIF(PracticeNames,$C616)&gt;0,COUNTIF(MotionNames,$D616)&gt;0,NOT(AND(ISNUMBER($G616),$G616&lt;$F616))),IF(StatusFilter="All (excl. Cancelled)",IF($H616="Cancelled",0,1),IF(StatusFilter="All",1,IF($H616=StatusFilter,1,0))),0)</f>
        <v>0</v>
      </c>
      <c r="O616">
        <f>IF($N616=0,0,IF(AND($F616&lt;=EOMONTH(DATE(PlanYear,1,1),0),IF(ISNUMBER($G616),$G616,$F616)&gt;=DATE(PlanYear,1,1)),1,0))</f>
        <v>0</v>
      </c>
      <c r="P616">
        <f>IF($N616=0,0,IF(AND($F616&lt;=EOMONTH(DATE(PlanYear,2,1),0),IF(ISNUMBER($G616),$G616,$F616)&gt;=DATE(PlanYear,2,1)),1,0))</f>
        <v>0</v>
      </c>
      <c r="Q616">
        <f>IF($N616=0,0,IF(AND($F616&lt;=EOMONTH(DATE(PlanYear,3,1),0),IF(ISNUMBER($G616),$G616,$F616)&gt;=DATE(PlanYear,3,1)),1,0))</f>
        <v>0</v>
      </c>
      <c r="R616">
        <f>IF($N616=0,0,IF(AND($F616&lt;=EOMONTH(DATE(PlanYear,4,1),0),IF(ISNUMBER($G616),$G616,$F616)&gt;=DATE(PlanYear,4,1)),1,0))</f>
        <v>0</v>
      </c>
      <c r="S616">
        <f>IF($N616=0,0,IF(AND($F616&lt;=EOMONTH(DATE(PlanYear,5,1),0),IF(ISNUMBER($G616),$G616,$F616)&gt;=DATE(PlanYear,5,1)),1,0))</f>
        <v>0</v>
      </c>
      <c r="T616">
        <f>IF($N616=0,0,IF(AND($F616&lt;=EOMONTH(DATE(PlanYear,6,1),0),IF(ISNUMBER($G616),$G616,$F616)&gt;=DATE(PlanYear,6,1)),1,0))</f>
        <v>0</v>
      </c>
      <c r="U616">
        <f>IF($N616=0,0,IF(AND($F616&lt;=EOMONTH(DATE(PlanYear,7,1),0),IF(ISNUMBER($G616),$G616,$F616)&gt;=DATE(PlanYear,7,1)),1,0))</f>
        <v>0</v>
      </c>
      <c r="V616">
        <f>IF($N616=0,0,IF(AND($F616&lt;=EOMONTH(DATE(PlanYear,8,1),0),IF(ISNUMBER($G616),$G616,$F616)&gt;=DATE(PlanYear,8,1)),1,0))</f>
        <v>0</v>
      </c>
      <c r="W616">
        <f>IF($N616=0,0,IF(AND($F616&lt;=EOMONTH(DATE(PlanYear,9,1),0),IF(ISNUMBER($G616),$G616,$F616)&gt;=DATE(PlanYear,9,1)),1,0))</f>
        <v>0</v>
      </c>
      <c r="X616">
        <f>IF($N616=0,0,IF(AND($F616&lt;=EOMONTH(DATE(PlanYear,10,1),0),IF(ISNUMBER($G616),$G616,$F616)&gt;=DATE(PlanYear,10,1)),1,0))</f>
        <v>0</v>
      </c>
      <c r="Y616">
        <f>IF($N616=0,0,IF(AND($F616&lt;=EOMONTH(DATE(PlanYear,11,1),0),IF(ISNUMBER($G616),$G616,$F616)&gt;=DATE(PlanYear,11,1)),1,0))</f>
        <v>0</v>
      </c>
      <c r="Z616">
        <f>IF($N616=0,0,IF(AND($F616&lt;=EOMONTH(DATE(PlanYear,12,1),0),IF(ISNUMBER($G616),$G616,$F616)&gt;=DATE(PlanYear,12,1)),1,0))</f>
        <v>0</v>
      </c>
      <c r="AA616">
        <f>SUM($O616:$Z616)</f>
        <v>0</v>
      </c>
    </row>
    <row r="617" spans="1:27">
      <c r="A617" s="42">
        <f>IF($B617="","","ACT-"&amp;TEXT(ROW()-4,"000"))</f>
        <v>0</v>
      </c>
      <c r="M617" s="43">
        <f>IF(COUNTA($B617:$K617)=0,"",IF($B617="","Missing activity name",IF($C617="","Missing practice",IF(COUNTIF(PracticeNames,$C617)=0,"Practice not in Lists",IF($D617="","Missing motion",IF(NOT(ISNUMBER($F617)),"Missing or invalid start date",IF(AND(ISNUMBER($G617),$G617&lt;$F617),"End date before start",IF(AND($N617=1,$AA617=0),"Outside planning year","OK"))))))))</f>
        <v>0</v>
      </c>
      <c r="N617">
        <f>IF(AND($B617&lt;&gt;"",$C617&lt;&gt;"",$D617&lt;&gt;"",ISNUMBER($F617),COUNTIF(PracticeNames,$C617)&gt;0,COUNTIF(MotionNames,$D617)&gt;0,NOT(AND(ISNUMBER($G617),$G617&lt;$F617))),IF(StatusFilter="All (excl. Cancelled)",IF($H617="Cancelled",0,1),IF(StatusFilter="All",1,IF($H617=StatusFilter,1,0))),0)</f>
        <v>0</v>
      </c>
      <c r="O617">
        <f>IF($N617=0,0,IF(AND($F617&lt;=EOMONTH(DATE(PlanYear,1,1),0),IF(ISNUMBER($G617),$G617,$F617)&gt;=DATE(PlanYear,1,1)),1,0))</f>
        <v>0</v>
      </c>
      <c r="P617">
        <f>IF($N617=0,0,IF(AND($F617&lt;=EOMONTH(DATE(PlanYear,2,1),0),IF(ISNUMBER($G617),$G617,$F617)&gt;=DATE(PlanYear,2,1)),1,0))</f>
        <v>0</v>
      </c>
      <c r="Q617">
        <f>IF($N617=0,0,IF(AND($F617&lt;=EOMONTH(DATE(PlanYear,3,1),0),IF(ISNUMBER($G617),$G617,$F617)&gt;=DATE(PlanYear,3,1)),1,0))</f>
        <v>0</v>
      </c>
      <c r="R617">
        <f>IF($N617=0,0,IF(AND($F617&lt;=EOMONTH(DATE(PlanYear,4,1),0),IF(ISNUMBER($G617),$G617,$F617)&gt;=DATE(PlanYear,4,1)),1,0))</f>
        <v>0</v>
      </c>
      <c r="S617">
        <f>IF($N617=0,0,IF(AND($F617&lt;=EOMONTH(DATE(PlanYear,5,1),0),IF(ISNUMBER($G617),$G617,$F617)&gt;=DATE(PlanYear,5,1)),1,0))</f>
        <v>0</v>
      </c>
      <c r="T617">
        <f>IF($N617=0,0,IF(AND($F617&lt;=EOMONTH(DATE(PlanYear,6,1),0),IF(ISNUMBER($G617),$G617,$F617)&gt;=DATE(PlanYear,6,1)),1,0))</f>
        <v>0</v>
      </c>
      <c r="U617">
        <f>IF($N617=0,0,IF(AND($F617&lt;=EOMONTH(DATE(PlanYear,7,1),0),IF(ISNUMBER($G617),$G617,$F617)&gt;=DATE(PlanYear,7,1)),1,0))</f>
        <v>0</v>
      </c>
      <c r="V617">
        <f>IF($N617=0,0,IF(AND($F617&lt;=EOMONTH(DATE(PlanYear,8,1),0),IF(ISNUMBER($G617),$G617,$F617)&gt;=DATE(PlanYear,8,1)),1,0))</f>
        <v>0</v>
      </c>
      <c r="W617">
        <f>IF($N617=0,0,IF(AND($F617&lt;=EOMONTH(DATE(PlanYear,9,1),0),IF(ISNUMBER($G617),$G617,$F617)&gt;=DATE(PlanYear,9,1)),1,0))</f>
        <v>0</v>
      </c>
      <c r="X617">
        <f>IF($N617=0,0,IF(AND($F617&lt;=EOMONTH(DATE(PlanYear,10,1),0),IF(ISNUMBER($G617),$G617,$F617)&gt;=DATE(PlanYear,10,1)),1,0))</f>
        <v>0</v>
      </c>
      <c r="Y617">
        <f>IF($N617=0,0,IF(AND($F617&lt;=EOMONTH(DATE(PlanYear,11,1),0),IF(ISNUMBER($G617),$G617,$F617)&gt;=DATE(PlanYear,11,1)),1,0))</f>
        <v>0</v>
      </c>
      <c r="Z617">
        <f>IF($N617=0,0,IF(AND($F617&lt;=EOMONTH(DATE(PlanYear,12,1),0),IF(ISNUMBER($G617),$G617,$F617)&gt;=DATE(PlanYear,12,1)),1,0))</f>
        <v>0</v>
      </c>
      <c r="AA617">
        <f>SUM($O617:$Z617)</f>
        <v>0</v>
      </c>
    </row>
    <row r="618" spans="1:27">
      <c r="A618" s="42">
        <f>IF($B618="","","ACT-"&amp;TEXT(ROW()-4,"000"))</f>
        <v>0</v>
      </c>
      <c r="M618" s="43">
        <f>IF(COUNTA($B618:$K618)=0,"",IF($B618="","Missing activity name",IF($C618="","Missing practice",IF(COUNTIF(PracticeNames,$C618)=0,"Practice not in Lists",IF($D618="","Missing motion",IF(NOT(ISNUMBER($F618)),"Missing or invalid start date",IF(AND(ISNUMBER($G618),$G618&lt;$F618),"End date before start",IF(AND($N618=1,$AA618=0),"Outside planning year","OK"))))))))</f>
        <v>0</v>
      </c>
      <c r="N618">
        <f>IF(AND($B618&lt;&gt;"",$C618&lt;&gt;"",$D618&lt;&gt;"",ISNUMBER($F618),COUNTIF(PracticeNames,$C618)&gt;0,COUNTIF(MotionNames,$D618)&gt;0,NOT(AND(ISNUMBER($G618),$G618&lt;$F618))),IF(StatusFilter="All (excl. Cancelled)",IF($H618="Cancelled",0,1),IF(StatusFilter="All",1,IF($H618=StatusFilter,1,0))),0)</f>
        <v>0</v>
      </c>
      <c r="O618">
        <f>IF($N618=0,0,IF(AND($F618&lt;=EOMONTH(DATE(PlanYear,1,1),0),IF(ISNUMBER($G618),$G618,$F618)&gt;=DATE(PlanYear,1,1)),1,0))</f>
        <v>0</v>
      </c>
      <c r="P618">
        <f>IF($N618=0,0,IF(AND($F618&lt;=EOMONTH(DATE(PlanYear,2,1),0),IF(ISNUMBER($G618),$G618,$F618)&gt;=DATE(PlanYear,2,1)),1,0))</f>
        <v>0</v>
      </c>
      <c r="Q618">
        <f>IF($N618=0,0,IF(AND($F618&lt;=EOMONTH(DATE(PlanYear,3,1),0),IF(ISNUMBER($G618),$G618,$F618)&gt;=DATE(PlanYear,3,1)),1,0))</f>
        <v>0</v>
      </c>
      <c r="R618">
        <f>IF($N618=0,0,IF(AND($F618&lt;=EOMONTH(DATE(PlanYear,4,1),0),IF(ISNUMBER($G618),$G618,$F618)&gt;=DATE(PlanYear,4,1)),1,0))</f>
        <v>0</v>
      </c>
      <c r="S618">
        <f>IF($N618=0,0,IF(AND($F618&lt;=EOMONTH(DATE(PlanYear,5,1),0),IF(ISNUMBER($G618),$G618,$F618)&gt;=DATE(PlanYear,5,1)),1,0))</f>
        <v>0</v>
      </c>
      <c r="T618">
        <f>IF($N618=0,0,IF(AND($F618&lt;=EOMONTH(DATE(PlanYear,6,1),0),IF(ISNUMBER($G618),$G618,$F618)&gt;=DATE(PlanYear,6,1)),1,0))</f>
        <v>0</v>
      </c>
      <c r="U618">
        <f>IF($N618=0,0,IF(AND($F618&lt;=EOMONTH(DATE(PlanYear,7,1),0),IF(ISNUMBER($G618),$G618,$F618)&gt;=DATE(PlanYear,7,1)),1,0))</f>
        <v>0</v>
      </c>
      <c r="V618">
        <f>IF($N618=0,0,IF(AND($F618&lt;=EOMONTH(DATE(PlanYear,8,1),0),IF(ISNUMBER($G618),$G618,$F618)&gt;=DATE(PlanYear,8,1)),1,0))</f>
        <v>0</v>
      </c>
      <c r="W618">
        <f>IF($N618=0,0,IF(AND($F618&lt;=EOMONTH(DATE(PlanYear,9,1),0),IF(ISNUMBER($G618),$G618,$F618)&gt;=DATE(PlanYear,9,1)),1,0))</f>
        <v>0</v>
      </c>
      <c r="X618">
        <f>IF($N618=0,0,IF(AND($F618&lt;=EOMONTH(DATE(PlanYear,10,1),0),IF(ISNUMBER($G618),$G618,$F618)&gt;=DATE(PlanYear,10,1)),1,0))</f>
        <v>0</v>
      </c>
      <c r="Y618">
        <f>IF($N618=0,0,IF(AND($F618&lt;=EOMONTH(DATE(PlanYear,11,1),0),IF(ISNUMBER($G618),$G618,$F618)&gt;=DATE(PlanYear,11,1)),1,0))</f>
        <v>0</v>
      </c>
      <c r="Z618">
        <f>IF($N618=0,0,IF(AND($F618&lt;=EOMONTH(DATE(PlanYear,12,1),0),IF(ISNUMBER($G618),$G618,$F618)&gt;=DATE(PlanYear,12,1)),1,0))</f>
        <v>0</v>
      </c>
      <c r="AA618">
        <f>SUM($O618:$Z618)</f>
        <v>0</v>
      </c>
    </row>
    <row r="619" spans="1:27">
      <c r="A619" s="42">
        <f>IF($B619="","","ACT-"&amp;TEXT(ROW()-4,"000"))</f>
        <v>0</v>
      </c>
      <c r="M619" s="43">
        <f>IF(COUNTA($B619:$K619)=0,"",IF($B619="","Missing activity name",IF($C619="","Missing practice",IF(COUNTIF(PracticeNames,$C619)=0,"Practice not in Lists",IF($D619="","Missing motion",IF(NOT(ISNUMBER($F619)),"Missing or invalid start date",IF(AND(ISNUMBER($G619),$G619&lt;$F619),"End date before start",IF(AND($N619=1,$AA619=0),"Outside planning year","OK"))))))))</f>
        <v>0</v>
      </c>
      <c r="N619">
        <f>IF(AND($B619&lt;&gt;"",$C619&lt;&gt;"",$D619&lt;&gt;"",ISNUMBER($F619),COUNTIF(PracticeNames,$C619)&gt;0,COUNTIF(MotionNames,$D619)&gt;0,NOT(AND(ISNUMBER($G619),$G619&lt;$F619))),IF(StatusFilter="All (excl. Cancelled)",IF($H619="Cancelled",0,1),IF(StatusFilter="All",1,IF($H619=StatusFilter,1,0))),0)</f>
        <v>0</v>
      </c>
      <c r="O619">
        <f>IF($N619=0,0,IF(AND($F619&lt;=EOMONTH(DATE(PlanYear,1,1),0),IF(ISNUMBER($G619),$G619,$F619)&gt;=DATE(PlanYear,1,1)),1,0))</f>
        <v>0</v>
      </c>
      <c r="P619">
        <f>IF($N619=0,0,IF(AND($F619&lt;=EOMONTH(DATE(PlanYear,2,1),0),IF(ISNUMBER($G619),$G619,$F619)&gt;=DATE(PlanYear,2,1)),1,0))</f>
        <v>0</v>
      </c>
      <c r="Q619">
        <f>IF($N619=0,0,IF(AND($F619&lt;=EOMONTH(DATE(PlanYear,3,1),0),IF(ISNUMBER($G619),$G619,$F619)&gt;=DATE(PlanYear,3,1)),1,0))</f>
        <v>0</v>
      </c>
      <c r="R619">
        <f>IF($N619=0,0,IF(AND($F619&lt;=EOMONTH(DATE(PlanYear,4,1),0),IF(ISNUMBER($G619),$G619,$F619)&gt;=DATE(PlanYear,4,1)),1,0))</f>
        <v>0</v>
      </c>
      <c r="S619">
        <f>IF($N619=0,0,IF(AND($F619&lt;=EOMONTH(DATE(PlanYear,5,1),0),IF(ISNUMBER($G619),$G619,$F619)&gt;=DATE(PlanYear,5,1)),1,0))</f>
        <v>0</v>
      </c>
      <c r="T619">
        <f>IF($N619=0,0,IF(AND($F619&lt;=EOMONTH(DATE(PlanYear,6,1),0),IF(ISNUMBER($G619),$G619,$F619)&gt;=DATE(PlanYear,6,1)),1,0))</f>
        <v>0</v>
      </c>
      <c r="U619">
        <f>IF($N619=0,0,IF(AND($F619&lt;=EOMONTH(DATE(PlanYear,7,1),0),IF(ISNUMBER($G619),$G619,$F619)&gt;=DATE(PlanYear,7,1)),1,0))</f>
        <v>0</v>
      </c>
      <c r="V619">
        <f>IF($N619=0,0,IF(AND($F619&lt;=EOMONTH(DATE(PlanYear,8,1),0),IF(ISNUMBER($G619),$G619,$F619)&gt;=DATE(PlanYear,8,1)),1,0))</f>
        <v>0</v>
      </c>
      <c r="W619">
        <f>IF($N619=0,0,IF(AND($F619&lt;=EOMONTH(DATE(PlanYear,9,1),0),IF(ISNUMBER($G619),$G619,$F619)&gt;=DATE(PlanYear,9,1)),1,0))</f>
        <v>0</v>
      </c>
      <c r="X619">
        <f>IF($N619=0,0,IF(AND($F619&lt;=EOMONTH(DATE(PlanYear,10,1),0),IF(ISNUMBER($G619),$G619,$F619)&gt;=DATE(PlanYear,10,1)),1,0))</f>
        <v>0</v>
      </c>
      <c r="Y619">
        <f>IF($N619=0,0,IF(AND($F619&lt;=EOMONTH(DATE(PlanYear,11,1),0),IF(ISNUMBER($G619),$G619,$F619)&gt;=DATE(PlanYear,11,1)),1,0))</f>
        <v>0</v>
      </c>
      <c r="Z619">
        <f>IF($N619=0,0,IF(AND($F619&lt;=EOMONTH(DATE(PlanYear,12,1),0),IF(ISNUMBER($G619),$G619,$F619)&gt;=DATE(PlanYear,12,1)),1,0))</f>
        <v>0</v>
      </c>
      <c r="AA619">
        <f>SUM($O619:$Z619)</f>
        <v>0</v>
      </c>
    </row>
    <row r="620" spans="1:27">
      <c r="A620" s="42">
        <f>IF($B620="","","ACT-"&amp;TEXT(ROW()-4,"000"))</f>
        <v>0</v>
      </c>
      <c r="M620" s="43">
        <f>IF(COUNTA($B620:$K620)=0,"",IF($B620="","Missing activity name",IF($C620="","Missing practice",IF(COUNTIF(PracticeNames,$C620)=0,"Practice not in Lists",IF($D620="","Missing motion",IF(NOT(ISNUMBER($F620)),"Missing or invalid start date",IF(AND(ISNUMBER($G620),$G620&lt;$F620),"End date before start",IF(AND($N620=1,$AA620=0),"Outside planning year","OK"))))))))</f>
        <v>0</v>
      </c>
      <c r="N620">
        <f>IF(AND($B620&lt;&gt;"",$C620&lt;&gt;"",$D620&lt;&gt;"",ISNUMBER($F620),COUNTIF(PracticeNames,$C620)&gt;0,COUNTIF(MotionNames,$D620)&gt;0,NOT(AND(ISNUMBER($G620),$G620&lt;$F620))),IF(StatusFilter="All (excl. Cancelled)",IF($H620="Cancelled",0,1),IF(StatusFilter="All",1,IF($H620=StatusFilter,1,0))),0)</f>
        <v>0</v>
      </c>
      <c r="O620">
        <f>IF($N620=0,0,IF(AND($F620&lt;=EOMONTH(DATE(PlanYear,1,1),0),IF(ISNUMBER($G620),$G620,$F620)&gt;=DATE(PlanYear,1,1)),1,0))</f>
        <v>0</v>
      </c>
      <c r="P620">
        <f>IF($N620=0,0,IF(AND($F620&lt;=EOMONTH(DATE(PlanYear,2,1),0),IF(ISNUMBER($G620),$G620,$F620)&gt;=DATE(PlanYear,2,1)),1,0))</f>
        <v>0</v>
      </c>
      <c r="Q620">
        <f>IF($N620=0,0,IF(AND($F620&lt;=EOMONTH(DATE(PlanYear,3,1),0),IF(ISNUMBER($G620),$G620,$F620)&gt;=DATE(PlanYear,3,1)),1,0))</f>
        <v>0</v>
      </c>
      <c r="R620">
        <f>IF($N620=0,0,IF(AND($F620&lt;=EOMONTH(DATE(PlanYear,4,1),0),IF(ISNUMBER($G620),$G620,$F620)&gt;=DATE(PlanYear,4,1)),1,0))</f>
        <v>0</v>
      </c>
      <c r="S620">
        <f>IF($N620=0,0,IF(AND($F620&lt;=EOMONTH(DATE(PlanYear,5,1),0),IF(ISNUMBER($G620),$G620,$F620)&gt;=DATE(PlanYear,5,1)),1,0))</f>
        <v>0</v>
      </c>
      <c r="T620">
        <f>IF($N620=0,0,IF(AND($F620&lt;=EOMONTH(DATE(PlanYear,6,1),0),IF(ISNUMBER($G620),$G620,$F620)&gt;=DATE(PlanYear,6,1)),1,0))</f>
        <v>0</v>
      </c>
      <c r="U620">
        <f>IF($N620=0,0,IF(AND($F620&lt;=EOMONTH(DATE(PlanYear,7,1),0),IF(ISNUMBER($G620),$G620,$F620)&gt;=DATE(PlanYear,7,1)),1,0))</f>
        <v>0</v>
      </c>
      <c r="V620">
        <f>IF($N620=0,0,IF(AND($F620&lt;=EOMONTH(DATE(PlanYear,8,1),0),IF(ISNUMBER($G620),$G620,$F620)&gt;=DATE(PlanYear,8,1)),1,0))</f>
        <v>0</v>
      </c>
      <c r="W620">
        <f>IF($N620=0,0,IF(AND($F620&lt;=EOMONTH(DATE(PlanYear,9,1),0),IF(ISNUMBER($G620),$G620,$F620)&gt;=DATE(PlanYear,9,1)),1,0))</f>
        <v>0</v>
      </c>
      <c r="X620">
        <f>IF($N620=0,0,IF(AND($F620&lt;=EOMONTH(DATE(PlanYear,10,1),0),IF(ISNUMBER($G620),$G620,$F620)&gt;=DATE(PlanYear,10,1)),1,0))</f>
        <v>0</v>
      </c>
      <c r="Y620">
        <f>IF($N620=0,0,IF(AND($F620&lt;=EOMONTH(DATE(PlanYear,11,1),0),IF(ISNUMBER($G620),$G620,$F620)&gt;=DATE(PlanYear,11,1)),1,0))</f>
        <v>0</v>
      </c>
      <c r="Z620">
        <f>IF($N620=0,0,IF(AND($F620&lt;=EOMONTH(DATE(PlanYear,12,1),0),IF(ISNUMBER($G620),$G620,$F620)&gt;=DATE(PlanYear,12,1)),1,0))</f>
        <v>0</v>
      </c>
      <c r="AA620">
        <f>SUM($O620:$Z620)</f>
        <v>0</v>
      </c>
    </row>
    <row r="621" spans="1:27">
      <c r="A621" s="42">
        <f>IF($B621="","","ACT-"&amp;TEXT(ROW()-4,"000"))</f>
        <v>0</v>
      </c>
      <c r="M621" s="43">
        <f>IF(COUNTA($B621:$K621)=0,"",IF($B621="","Missing activity name",IF($C621="","Missing practice",IF(COUNTIF(PracticeNames,$C621)=0,"Practice not in Lists",IF($D621="","Missing motion",IF(NOT(ISNUMBER($F621)),"Missing or invalid start date",IF(AND(ISNUMBER($G621),$G621&lt;$F621),"End date before start",IF(AND($N621=1,$AA621=0),"Outside planning year","OK"))))))))</f>
        <v>0</v>
      </c>
      <c r="N621">
        <f>IF(AND($B621&lt;&gt;"",$C621&lt;&gt;"",$D621&lt;&gt;"",ISNUMBER($F621),COUNTIF(PracticeNames,$C621)&gt;0,COUNTIF(MotionNames,$D621)&gt;0,NOT(AND(ISNUMBER($G621),$G621&lt;$F621))),IF(StatusFilter="All (excl. Cancelled)",IF($H621="Cancelled",0,1),IF(StatusFilter="All",1,IF($H621=StatusFilter,1,0))),0)</f>
        <v>0</v>
      </c>
      <c r="O621">
        <f>IF($N621=0,0,IF(AND($F621&lt;=EOMONTH(DATE(PlanYear,1,1),0),IF(ISNUMBER($G621),$G621,$F621)&gt;=DATE(PlanYear,1,1)),1,0))</f>
        <v>0</v>
      </c>
      <c r="P621">
        <f>IF($N621=0,0,IF(AND($F621&lt;=EOMONTH(DATE(PlanYear,2,1),0),IF(ISNUMBER($G621),$G621,$F621)&gt;=DATE(PlanYear,2,1)),1,0))</f>
        <v>0</v>
      </c>
      <c r="Q621">
        <f>IF($N621=0,0,IF(AND($F621&lt;=EOMONTH(DATE(PlanYear,3,1),0),IF(ISNUMBER($G621),$G621,$F621)&gt;=DATE(PlanYear,3,1)),1,0))</f>
        <v>0</v>
      </c>
      <c r="R621">
        <f>IF($N621=0,0,IF(AND($F621&lt;=EOMONTH(DATE(PlanYear,4,1),0),IF(ISNUMBER($G621),$G621,$F621)&gt;=DATE(PlanYear,4,1)),1,0))</f>
        <v>0</v>
      </c>
      <c r="S621">
        <f>IF($N621=0,0,IF(AND($F621&lt;=EOMONTH(DATE(PlanYear,5,1),0),IF(ISNUMBER($G621),$G621,$F621)&gt;=DATE(PlanYear,5,1)),1,0))</f>
        <v>0</v>
      </c>
      <c r="T621">
        <f>IF($N621=0,0,IF(AND($F621&lt;=EOMONTH(DATE(PlanYear,6,1),0),IF(ISNUMBER($G621),$G621,$F621)&gt;=DATE(PlanYear,6,1)),1,0))</f>
        <v>0</v>
      </c>
      <c r="U621">
        <f>IF($N621=0,0,IF(AND($F621&lt;=EOMONTH(DATE(PlanYear,7,1),0),IF(ISNUMBER($G621),$G621,$F621)&gt;=DATE(PlanYear,7,1)),1,0))</f>
        <v>0</v>
      </c>
      <c r="V621">
        <f>IF($N621=0,0,IF(AND($F621&lt;=EOMONTH(DATE(PlanYear,8,1),0),IF(ISNUMBER($G621),$G621,$F621)&gt;=DATE(PlanYear,8,1)),1,0))</f>
        <v>0</v>
      </c>
      <c r="W621">
        <f>IF($N621=0,0,IF(AND($F621&lt;=EOMONTH(DATE(PlanYear,9,1),0),IF(ISNUMBER($G621),$G621,$F621)&gt;=DATE(PlanYear,9,1)),1,0))</f>
        <v>0</v>
      </c>
      <c r="X621">
        <f>IF($N621=0,0,IF(AND($F621&lt;=EOMONTH(DATE(PlanYear,10,1),0),IF(ISNUMBER($G621),$G621,$F621)&gt;=DATE(PlanYear,10,1)),1,0))</f>
        <v>0</v>
      </c>
      <c r="Y621">
        <f>IF($N621=0,0,IF(AND($F621&lt;=EOMONTH(DATE(PlanYear,11,1),0),IF(ISNUMBER($G621),$G621,$F621)&gt;=DATE(PlanYear,11,1)),1,0))</f>
        <v>0</v>
      </c>
      <c r="Z621">
        <f>IF($N621=0,0,IF(AND($F621&lt;=EOMONTH(DATE(PlanYear,12,1),0),IF(ISNUMBER($G621),$G621,$F621)&gt;=DATE(PlanYear,12,1)),1,0))</f>
        <v>0</v>
      </c>
      <c r="AA621">
        <f>SUM($O621:$Z621)</f>
        <v>0</v>
      </c>
    </row>
    <row r="622" spans="1:27">
      <c r="A622" s="42">
        <f>IF($B622="","","ACT-"&amp;TEXT(ROW()-4,"000"))</f>
        <v>0</v>
      </c>
      <c r="M622" s="43">
        <f>IF(COUNTA($B622:$K622)=0,"",IF($B622="","Missing activity name",IF($C622="","Missing practice",IF(COUNTIF(PracticeNames,$C622)=0,"Practice not in Lists",IF($D622="","Missing motion",IF(NOT(ISNUMBER($F622)),"Missing or invalid start date",IF(AND(ISNUMBER($G622),$G622&lt;$F622),"End date before start",IF(AND($N622=1,$AA622=0),"Outside planning year","OK"))))))))</f>
        <v>0</v>
      </c>
      <c r="N622">
        <f>IF(AND($B622&lt;&gt;"",$C622&lt;&gt;"",$D622&lt;&gt;"",ISNUMBER($F622),COUNTIF(PracticeNames,$C622)&gt;0,COUNTIF(MotionNames,$D622)&gt;0,NOT(AND(ISNUMBER($G622),$G622&lt;$F622))),IF(StatusFilter="All (excl. Cancelled)",IF($H622="Cancelled",0,1),IF(StatusFilter="All",1,IF($H622=StatusFilter,1,0))),0)</f>
        <v>0</v>
      </c>
      <c r="O622">
        <f>IF($N622=0,0,IF(AND($F622&lt;=EOMONTH(DATE(PlanYear,1,1),0),IF(ISNUMBER($G622),$G622,$F622)&gt;=DATE(PlanYear,1,1)),1,0))</f>
        <v>0</v>
      </c>
      <c r="P622">
        <f>IF($N622=0,0,IF(AND($F622&lt;=EOMONTH(DATE(PlanYear,2,1),0),IF(ISNUMBER($G622),$G622,$F622)&gt;=DATE(PlanYear,2,1)),1,0))</f>
        <v>0</v>
      </c>
      <c r="Q622">
        <f>IF($N622=0,0,IF(AND($F622&lt;=EOMONTH(DATE(PlanYear,3,1),0),IF(ISNUMBER($G622),$G622,$F622)&gt;=DATE(PlanYear,3,1)),1,0))</f>
        <v>0</v>
      </c>
      <c r="R622">
        <f>IF($N622=0,0,IF(AND($F622&lt;=EOMONTH(DATE(PlanYear,4,1),0),IF(ISNUMBER($G622),$G622,$F622)&gt;=DATE(PlanYear,4,1)),1,0))</f>
        <v>0</v>
      </c>
      <c r="S622">
        <f>IF($N622=0,0,IF(AND($F622&lt;=EOMONTH(DATE(PlanYear,5,1),0),IF(ISNUMBER($G622),$G622,$F622)&gt;=DATE(PlanYear,5,1)),1,0))</f>
        <v>0</v>
      </c>
      <c r="T622">
        <f>IF($N622=0,0,IF(AND($F622&lt;=EOMONTH(DATE(PlanYear,6,1),0),IF(ISNUMBER($G622),$G622,$F622)&gt;=DATE(PlanYear,6,1)),1,0))</f>
        <v>0</v>
      </c>
      <c r="U622">
        <f>IF($N622=0,0,IF(AND($F622&lt;=EOMONTH(DATE(PlanYear,7,1),0),IF(ISNUMBER($G622),$G622,$F622)&gt;=DATE(PlanYear,7,1)),1,0))</f>
        <v>0</v>
      </c>
      <c r="V622">
        <f>IF($N622=0,0,IF(AND($F622&lt;=EOMONTH(DATE(PlanYear,8,1),0),IF(ISNUMBER($G622),$G622,$F622)&gt;=DATE(PlanYear,8,1)),1,0))</f>
        <v>0</v>
      </c>
      <c r="W622">
        <f>IF($N622=0,0,IF(AND($F622&lt;=EOMONTH(DATE(PlanYear,9,1),0),IF(ISNUMBER($G622),$G622,$F622)&gt;=DATE(PlanYear,9,1)),1,0))</f>
        <v>0</v>
      </c>
      <c r="X622">
        <f>IF($N622=0,0,IF(AND($F622&lt;=EOMONTH(DATE(PlanYear,10,1),0),IF(ISNUMBER($G622),$G622,$F622)&gt;=DATE(PlanYear,10,1)),1,0))</f>
        <v>0</v>
      </c>
      <c r="Y622">
        <f>IF($N622=0,0,IF(AND($F622&lt;=EOMONTH(DATE(PlanYear,11,1),0),IF(ISNUMBER($G622),$G622,$F622)&gt;=DATE(PlanYear,11,1)),1,0))</f>
        <v>0</v>
      </c>
      <c r="Z622">
        <f>IF($N622=0,0,IF(AND($F622&lt;=EOMONTH(DATE(PlanYear,12,1),0),IF(ISNUMBER($G622),$G622,$F622)&gt;=DATE(PlanYear,12,1)),1,0))</f>
        <v>0</v>
      </c>
      <c r="AA622">
        <f>SUM($O622:$Z622)</f>
        <v>0</v>
      </c>
    </row>
    <row r="623" spans="1:27">
      <c r="A623" s="42">
        <f>IF($B623="","","ACT-"&amp;TEXT(ROW()-4,"000"))</f>
        <v>0</v>
      </c>
      <c r="M623" s="43">
        <f>IF(COUNTA($B623:$K623)=0,"",IF($B623="","Missing activity name",IF($C623="","Missing practice",IF(COUNTIF(PracticeNames,$C623)=0,"Practice not in Lists",IF($D623="","Missing motion",IF(NOT(ISNUMBER($F623)),"Missing or invalid start date",IF(AND(ISNUMBER($G623),$G623&lt;$F623),"End date before start",IF(AND($N623=1,$AA623=0),"Outside planning year","OK"))))))))</f>
        <v>0</v>
      </c>
      <c r="N623">
        <f>IF(AND($B623&lt;&gt;"",$C623&lt;&gt;"",$D623&lt;&gt;"",ISNUMBER($F623),COUNTIF(PracticeNames,$C623)&gt;0,COUNTIF(MotionNames,$D623)&gt;0,NOT(AND(ISNUMBER($G623),$G623&lt;$F623))),IF(StatusFilter="All (excl. Cancelled)",IF($H623="Cancelled",0,1),IF(StatusFilter="All",1,IF($H623=StatusFilter,1,0))),0)</f>
        <v>0</v>
      </c>
      <c r="O623">
        <f>IF($N623=0,0,IF(AND($F623&lt;=EOMONTH(DATE(PlanYear,1,1),0),IF(ISNUMBER($G623),$G623,$F623)&gt;=DATE(PlanYear,1,1)),1,0))</f>
        <v>0</v>
      </c>
      <c r="P623">
        <f>IF($N623=0,0,IF(AND($F623&lt;=EOMONTH(DATE(PlanYear,2,1),0),IF(ISNUMBER($G623),$G623,$F623)&gt;=DATE(PlanYear,2,1)),1,0))</f>
        <v>0</v>
      </c>
      <c r="Q623">
        <f>IF($N623=0,0,IF(AND($F623&lt;=EOMONTH(DATE(PlanYear,3,1),0),IF(ISNUMBER($G623),$G623,$F623)&gt;=DATE(PlanYear,3,1)),1,0))</f>
        <v>0</v>
      </c>
      <c r="R623">
        <f>IF($N623=0,0,IF(AND($F623&lt;=EOMONTH(DATE(PlanYear,4,1),0),IF(ISNUMBER($G623),$G623,$F623)&gt;=DATE(PlanYear,4,1)),1,0))</f>
        <v>0</v>
      </c>
      <c r="S623">
        <f>IF($N623=0,0,IF(AND($F623&lt;=EOMONTH(DATE(PlanYear,5,1),0),IF(ISNUMBER($G623),$G623,$F623)&gt;=DATE(PlanYear,5,1)),1,0))</f>
        <v>0</v>
      </c>
      <c r="T623">
        <f>IF($N623=0,0,IF(AND($F623&lt;=EOMONTH(DATE(PlanYear,6,1),0),IF(ISNUMBER($G623),$G623,$F623)&gt;=DATE(PlanYear,6,1)),1,0))</f>
        <v>0</v>
      </c>
      <c r="U623">
        <f>IF($N623=0,0,IF(AND($F623&lt;=EOMONTH(DATE(PlanYear,7,1),0),IF(ISNUMBER($G623),$G623,$F623)&gt;=DATE(PlanYear,7,1)),1,0))</f>
        <v>0</v>
      </c>
      <c r="V623">
        <f>IF($N623=0,0,IF(AND($F623&lt;=EOMONTH(DATE(PlanYear,8,1),0),IF(ISNUMBER($G623),$G623,$F623)&gt;=DATE(PlanYear,8,1)),1,0))</f>
        <v>0</v>
      </c>
      <c r="W623">
        <f>IF($N623=0,0,IF(AND($F623&lt;=EOMONTH(DATE(PlanYear,9,1),0),IF(ISNUMBER($G623),$G623,$F623)&gt;=DATE(PlanYear,9,1)),1,0))</f>
        <v>0</v>
      </c>
      <c r="X623">
        <f>IF($N623=0,0,IF(AND($F623&lt;=EOMONTH(DATE(PlanYear,10,1),0),IF(ISNUMBER($G623),$G623,$F623)&gt;=DATE(PlanYear,10,1)),1,0))</f>
        <v>0</v>
      </c>
      <c r="Y623">
        <f>IF($N623=0,0,IF(AND($F623&lt;=EOMONTH(DATE(PlanYear,11,1),0),IF(ISNUMBER($G623),$G623,$F623)&gt;=DATE(PlanYear,11,1)),1,0))</f>
        <v>0</v>
      </c>
      <c r="Z623">
        <f>IF($N623=0,0,IF(AND($F623&lt;=EOMONTH(DATE(PlanYear,12,1),0),IF(ISNUMBER($G623),$G623,$F623)&gt;=DATE(PlanYear,12,1)),1,0))</f>
        <v>0</v>
      </c>
      <c r="AA623">
        <f>SUM($O623:$Z623)</f>
        <v>0</v>
      </c>
    </row>
    <row r="624" spans="1:27">
      <c r="A624" s="42">
        <f>IF($B624="","","ACT-"&amp;TEXT(ROW()-4,"000"))</f>
        <v>0</v>
      </c>
      <c r="M624" s="43">
        <f>IF(COUNTA($B624:$K624)=0,"",IF($B624="","Missing activity name",IF($C624="","Missing practice",IF(COUNTIF(PracticeNames,$C624)=0,"Practice not in Lists",IF($D624="","Missing motion",IF(NOT(ISNUMBER($F624)),"Missing or invalid start date",IF(AND(ISNUMBER($G624),$G624&lt;$F624),"End date before start",IF(AND($N624=1,$AA624=0),"Outside planning year","OK"))))))))</f>
        <v>0</v>
      </c>
      <c r="N624">
        <f>IF(AND($B624&lt;&gt;"",$C624&lt;&gt;"",$D624&lt;&gt;"",ISNUMBER($F624),COUNTIF(PracticeNames,$C624)&gt;0,COUNTIF(MotionNames,$D624)&gt;0,NOT(AND(ISNUMBER($G624),$G624&lt;$F624))),IF(StatusFilter="All (excl. Cancelled)",IF($H624="Cancelled",0,1),IF(StatusFilter="All",1,IF($H624=StatusFilter,1,0))),0)</f>
        <v>0</v>
      </c>
      <c r="O624">
        <f>IF($N624=0,0,IF(AND($F624&lt;=EOMONTH(DATE(PlanYear,1,1),0),IF(ISNUMBER($G624),$G624,$F624)&gt;=DATE(PlanYear,1,1)),1,0))</f>
        <v>0</v>
      </c>
      <c r="P624">
        <f>IF($N624=0,0,IF(AND($F624&lt;=EOMONTH(DATE(PlanYear,2,1),0),IF(ISNUMBER($G624),$G624,$F624)&gt;=DATE(PlanYear,2,1)),1,0))</f>
        <v>0</v>
      </c>
      <c r="Q624">
        <f>IF($N624=0,0,IF(AND($F624&lt;=EOMONTH(DATE(PlanYear,3,1),0),IF(ISNUMBER($G624),$G624,$F624)&gt;=DATE(PlanYear,3,1)),1,0))</f>
        <v>0</v>
      </c>
      <c r="R624">
        <f>IF($N624=0,0,IF(AND($F624&lt;=EOMONTH(DATE(PlanYear,4,1),0),IF(ISNUMBER($G624),$G624,$F624)&gt;=DATE(PlanYear,4,1)),1,0))</f>
        <v>0</v>
      </c>
      <c r="S624">
        <f>IF($N624=0,0,IF(AND($F624&lt;=EOMONTH(DATE(PlanYear,5,1),0),IF(ISNUMBER($G624),$G624,$F624)&gt;=DATE(PlanYear,5,1)),1,0))</f>
        <v>0</v>
      </c>
      <c r="T624">
        <f>IF($N624=0,0,IF(AND($F624&lt;=EOMONTH(DATE(PlanYear,6,1),0),IF(ISNUMBER($G624),$G624,$F624)&gt;=DATE(PlanYear,6,1)),1,0))</f>
        <v>0</v>
      </c>
      <c r="U624">
        <f>IF($N624=0,0,IF(AND($F624&lt;=EOMONTH(DATE(PlanYear,7,1),0),IF(ISNUMBER($G624),$G624,$F624)&gt;=DATE(PlanYear,7,1)),1,0))</f>
        <v>0</v>
      </c>
      <c r="V624">
        <f>IF($N624=0,0,IF(AND($F624&lt;=EOMONTH(DATE(PlanYear,8,1),0),IF(ISNUMBER($G624),$G624,$F624)&gt;=DATE(PlanYear,8,1)),1,0))</f>
        <v>0</v>
      </c>
      <c r="W624">
        <f>IF($N624=0,0,IF(AND($F624&lt;=EOMONTH(DATE(PlanYear,9,1),0),IF(ISNUMBER($G624),$G624,$F624)&gt;=DATE(PlanYear,9,1)),1,0))</f>
        <v>0</v>
      </c>
      <c r="X624">
        <f>IF($N624=0,0,IF(AND($F624&lt;=EOMONTH(DATE(PlanYear,10,1),0),IF(ISNUMBER($G624),$G624,$F624)&gt;=DATE(PlanYear,10,1)),1,0))</f>
        <v>0</v>
      </c>
      <c r="Y624">
        <f>IF($N624=0,0,IF(AND($F624&lt;=EOMONTH(DATE(PlanYear,11,1),0),IF(ISNUMBER($G624),$G624,$F624)&gt;=DATE(PlanYear,11,1)),1,0))</f>
        <v>0</v>
      </c>
      <c r="Z624">
        <f>IF($N624=0,0,IF(AND($F624&lt;=EOMONTH(DATE(PlanYear,12,1),0),IF(ISNUMBER($G624),$G624,$F624)&gt;=DATE(PlanYear,12,1)),1,0))</f>
        <v>0</v>
      </c>
      <c r="AA624">
        <f>SUM($O624:$Z624)</f>
        <v>0</v>
      </c>
    </row>
    <row r="625" spans="1:27">
      <c r="A625" s="42">
        <f>IF($B625="","","ACT-"&amp;TEXT(ROW()-4,"000"))</f>
        <v>0</v>
      </c>
      <c r="M625" s="43">
        <f>IF(COUNTA($B625:$K625)=0,"",IF($B625="","Missing activity name",IF($C625="","Missing practice",IF(COUNTIF(PracticeNames,$C625)=0,"Practice not in Lists",IF($D625="","Missing motion",IF(NOT(ISNUMBER($F625)),"Missing or invalid start date",IF(AND(ISNUMBER($G625),$G625&lt;$F625),"End date before start",IF(AND($N625=1,$AA625=0),"Outside planning year","OK"))))))))</f>
        <v>0</v>
      </c>
      <c r="N625">
        <f>IF(AND($B625&lt;&gt;"",$C625&lt;&gt;"",$D625&lt;&gt;"",ISNUMBER($F625),COUNTIF(PracticeNames,$C625)&gt;0,COUNTIF(MotionNames,$D625)&gt;0,NOT(AND(ISNUMBER($G625),$G625&lt;$F625))),IF(StatusFilter="All (excl. Cancelled)",IF($H625="Cancelled",0,1),IF(StatusFilter="All",1,IF($H625=StatusFilter,1,0))),0)</f>
        <v>0</v>
      </c>
      <c r="O625">
        <f>IF($N625=0,0,IF(AND($F625&lt;=EOMONTH(DATE(PlanYear,1,1),0),IF(ISNUMBER($G625),$G625,$F625)&gt;=DATE(PlanYear,1,1)),1,0))</f>
        <v>0</v>
      </c>
      <c r="P625">
        <f>IF($N625=0,0,IF(AND($F625&lt;=EOMONTH(DATE(PlanYear,2,1),0),IF(ISNUMBER($G625),$G625,$F625)&gt;=DATE(PlanYear,2,1)),1,0))</f>
        <v>0</v>
      </c>
      <c r="Q625">
        <f>IF($N625=0,0,IF(AND($F625&lt;=EOMONTH(DATE(PlanYear,3,1),0),IF(ISNUMBER($G625),$G625,$F625)&gt;=DATE(PlanYear,3,1)),1,0))</f>
        <v>0</v>
      </c>
      <c r="R625">
        <f>IF($N625=0,0,IF(AND($F625&lt;=EOMONTH(DATE(PlanYear,4,1),0),IF(ISNUMBER($G625),$G625,$F625)&gt;=DATE(PlanYear,4,1)),1,0))</f>
        <v>0</v>
      </c>
      <c r="S625">
        <f>IF($N625=0,0,IF(AND($F625&lt;=EOMONTH(DATE(PlanYear,5,1),0),IF(ISNUMBER($G625),$G625,$F625)&gt;=DATE(PlanYear,5,1)),1,0))</f>
        <v>0</v>
      </c>
      <c r="T625">
        <f>IF($N625=0,0,IF(AND($F625&lt;=EOMONTH(DATE(PlanYear,6,1),0),IF(ISNUMBER($G625),$G625,$F625)&gt;=DATE(PlanYear,6,1)),1,0))</f>
        <v>0</v>
      </c>
      <c r="U625">
        <f>IF($N625=0,0,IF(AND($F625&lt;=EOMONTH(DATE(PlanYear,7,1),0),IF(ISNUMBER($G625),$G625,$F625)&gt;=DATE(PlanYear,7,1)),1,0))</f>
        <v>0</v>
      </c>
      <c r="V625">
        <f>IF($N625=0,0,IF(AND($F625&lt;=EOMONTH(DATE(PlanYear,8,1),0),IF(ISNUMBER($G625),$G625,$F625)&gt;=DATE(PlanYear,8,1)),1,0))</f>
        <v>0</v>
      </c>
      <c r="W625">
        <f>IF($N625=0,0,IF(AND($F625&lt;=EOMONTH(DATE(PlanYear,9,1),0),IF(ISNUMBER($G625),$G625,$F625)&gt;=DATE(PlanYear,9,1)),1,0))</f>
        <v>0</v>
      </c>
      <c r="X625">
        <f>IF($N625=0,0,IF(AND($F625&lt;=EOMONTH(DATE(PlanYear,10,1),0),IF(ISNUMBER($G625),$G625,$F625)&gt;=DATE(PlanYear,10,1)),1,0))</f>
        <v>0</v>
      </c>
      <c r="Y625">
        <f>IF($N625=0,0,IF(AND($F625&lt;=EOMONTH(DATE(PlanYear,11,1),0),IF(ISNUMBER($G625),$G625,$F625)&gt;=DATE(PlanYear,11,1)),1,0))</f>
        <v>0</v>
      </c>
      <c r="Z625">
        <f>IF($N625=0,0,IF(AND($F625&lt;=EOMONTH(DATE(PlanYear,12,1),0),IF(ISNUMBER($G625),$G625,$F625)&gt;=DATE(PlanYear,12,1)),1,0))</f>
        <v>0</v>
      </c>
      <c r="AA625">
        <f>SUM($O625:$Z625)</f>
        <v>0</v>
      </c>
    </row>
    <row r="626" spans="1:27">
      <c r="A626" s="42">
        <f>IF($B626="","","ACT-"&amp;TEXT(ROW()-4,"000"))</f>
        <v>0</v>
      </c>
      <c r="M626" s="43">
        <f>IF(COUNTA($B626:$K626)=0,"",IF($B626="","Missing activity name",IF($C626="","Missing practice",IF(COUNTIF(PracticeNames,$C626)=0,"Practice not in Lists",IF($D626="","Missing motion",IF(NOT(ISNUMBER($F626)),"Missing or invalid start date",IF(AND(ISNUMBER($G626),$G626&lt;$F626),"End date before start",IF(AND($N626=1,$AA626=0),"Outside planning year","OK"))))))))</f>
        <v>0</v>
      </c>
      <c r="N626">
        <f>IF(AND($B626&lt;&gt;"",$C626&lt;&gt;"",$D626&lt;&gt;"",ISNUMBER($F626),COUNTIF(PracticeNames,$C626)&gt;0,COUNTIF(MotionNames,$D626)&gt;0,NOT(AND(ISNUMBER($G626),$G626&lt;$F626))),IF(StatusFilter="All (excl. Cancelled)",IF($H626="Cancelled",0,1),IF(StatusFilter="All",1,IF($H626=StatusFilter,1,0))),0)</f>
        <v>0</v>
      </c>
      <c r="O626">
        <f>IF($N626=0,0,IF(AND($F626&lt;=EOMONTH(DATE(PlanYear,1,1),0),IF(ISNUMBER($G626),$G626,$F626)&gt;=DATE(PlanYear,1,1)),1,0))</f>
        <v>0</v>
      </c>
      <c r="P626">
        <f>IF($N626=0,0,IF(AND($F626&lt;=EOMONTH(DATE(PlanYear,2,1),0),IF(ISNUMBER($G626),$G626,$F626)&gt;=DATE(PlanYear,2,1)),1,0))</f>
        <v>0</v>
      </c>
      <c r="Q626">
        <f>IF($N626=0,0,IF(AND($F626&lt;=EOMONTH(DATE(PlanYear,3,1),0),IF(ISNUMBER($G626),$G626,$F626)&gt;=DATE(PlanYear,3,1)),1,0))</f>
        <v>0</v>
      </c>
      <c r="R626">
        <f>IF($N626=0,0,IF(AND($F626&lt;=EOMONTH(DATE(PlanYear,4,1),0),IF(ISNUMBER($G626),$G626,$F626)&gt;=DATE(PlanYear,4,1)),1,0))</f>
        <v>0</v>
      </c>
      <c r="S626">
        <f>IF($N626=0,0,IF(AND($F626&lt;=EOMONTH(DATE(PlanYear,5,1),0),IF(ISNUMBER($G626),$G626,$F626)&gt;=DATE(PlanYear,5,1)),1,0))</f>
        <v>0</v>
      </c>
      <c r="T626">
        <f>IF($N626=0,0,IF(AND($F626&lt;=EOMONTH(DATE(PlanYear,6,1),0),IF(ISNUMBER($G626),$G626,$F626)&gt;=DATE(PlanYear,6,1)),1,0))</f>
        <v>0</v>
      </c>
      <c r="U626">
        <f>IF($N626=0,0,IF(AND($F626&lt;=EOMONTH(DATE(PlanYear,7,1),0),IF(ISNUMBER($G626),$G626,$F626)&gt;=DATE(PlanYear,7,1)),1,0))</f>
        <v>0</v>
      </c>
      <c r="V626">
        <f>IF($N626=0,0,IF(AND($F626&lt;=EOMONTH(DATE(PlanYear,8,1),0),IF(ISNUMBER($G626),$G626,$F626)&gt;=DATE(PlanYear,8,1)),1,0))</f>
        <v>0</v>
      </c>
      <c r="W626">
        <f>IF($N626=0,0,IF(AND($F626&lt;=EOMONTH(DATE(PlanYear,9,1),0),IF(ISNUMBER($G626),$G626,$F626)&gt;=DATE(PlanYear,9,1)),1,0))</f>
        <v>0</v>
      </c>
      <c r="X626">
        <f>IF($N626=0,0,IF(AND($F626&lt;=EOMONTH(DATE(PlanYear,10,1),0),IF(ISNUMBER($G626),$G626,$F626)&gt;=DATE(PlanYear,10,1)),1,0))</f>
        <v>0</v>
      </c>
      <c r="Y626">
        <f>IF($N626=0,0,IF(AND($F626&lt;=EOMONTH(DATE(PlanYear,11,1),0),IF(ISNUMBER($G626),$G626,$F626)&gt;=DATE(PlanYear,11,1)),1,0))</f>
        <v>0</v>
      </c>
      <c r="Z626">
        <f>IF($N626=0,0,IF(AND($F626&lt;=EOMONTH(DATE(PlanYear,12,1),0),IF(ISNUMBER($G626),$G626,$F626)&gt;=DATE(PlanYear,12,1)),1,0))</f>
        <v>0</v>
      </c>
      <c r="AA626">
        <f>SUM($O626:$Z626)</f>
        <v>0</v>
      </c>
    </row>
    <row r="627" spans="1:27">
      <c r="A627" s="42">
        <f>IF($B627="","","ACT-"&amp;TEXT(ROW()-4,"000"))</f>
        <v>0</v>
      </c>
      <c r="M627" s="43">
        <f>IF(COUNTA($B627:$K627)=0,"",IF($B627="","Missing activity name",IF($C627="","Missing practice",IF(COUNTIF(PracticeNames,$C627)=0,"Practice not in Lists",IF($D627="","Missing motion",IF(NOT(ISNUMBER($F627)),"Missing or invalid start date",IF(AND(ISNUMBER($G627),$G627&lt;$F627),"End date before start",IF(AND($N627=1,$AA627=0),"Outside planning year","OK"))))))))</f>
        <v>0</v>
      </c>
      <c r="N627">
        <f>IF(AND($B627&lt;&gt;"",$C627&lt;&gt;"",$D627&lt;&gt;"",ISNUMBER($F627),COUNTIF(PracticeNames,$C627)&gt;0,COUNTIF(MotionNames,$D627)&gt;0,NOT(AND(ISNUMBER($G627),$G627&lt;$F627))),IF(StatusFilter="All (excl. Cancelled)",IF($H627="Cancelled",0,1),IF(StatusFilter="All",1,IF($H627=StatusFilter,1,0))),0)</f>
        <v>0</v>
      </c>
      <c r="O627">
        <f>IF($N627=0,0,IF(AND($F627&lt;=EOMONTH(DATE(PlanYear,1,1),0),IF(ISNUMBER($G627),$G627,$F627)&gt;=DATE(PlanYear,1,1)),1,0))</f>
        <v>0</v>
      </c>
      <c r="P627">
        <f>IF($N627=0,0,IF(AND($F627&lt;=EOMONTH(DATE(PlanYear,2,1),0),IF(ISNUMBER($G627),$G627,$F627)&gt;=DATE(PlanYear,2,1)),1,0))</f>
        <v>0</v>
      </c>
      <c r="Q627">
        <f>IF($N627=0,0,IF(AND($F627&lt;=EOMONTH(DATE(PlanYear,3,1),0),IF(ISNUMBER($G627),$G627,$F627)&gt;=DATE(PlanYear,3,1)),1,0))</f>
        <v>0</v>
      </c>
      <c r="R627">
        <f>IF($N627=0,0,IF(AND($F627&lt;=EOMONTH(DATE(PlanYear,4,1),0),IF(ISNUMBER($G627),$G627,$F627)&gt;=DATE(PlanYear,4,1)),1,0))</f>
        <v>0</v>
      </c>
      <c r="S627">
        <f>IF($N627=0,0,IF(AND($F627&lt;=EOMONTH(DATE(PlanYear,5,1),0),IF(ISNUMBER($G627),$G627,$F627)&gt;=DATE(PlanYear,5,1)),1,0))</f>
        <v>0</v>
      </c>
      <c r="T627">
        <f>IF($N627=0,0,IF(AND($F627&lt;=EOMONTH(DATE(PlanYear,6,1),0),IF(ISNUMBER($G627),$G627,$F627)&gt;=DATE(PlanYear,6,1)),1,0))</f>
        <v>0</v>
      </c>
      <c r="U627">
        <f>IF($N627=0,0,IF(AND($F627&lt;=EOMONTH(DATE(PlanYear,7,1),0),IF(ISNUMBER($G627),$G627,$F627)&gt;=DATE(PlanYear,7,1)),1,0))</f>
        <v>0</v>
      </c>
      <c r="V627">
        <f>IF($N627=0,0,IF(AND($F627&lt;=EOMONTH(DATE(PlanYear,8,1),0),IF(ISNUMBER($G627),$G627,$F627)&gt;=DATE(PlanYear,8,1)),1,0))</f>
        <v>0</v>
      </c>
      <c r="W627">
        <f>IF($N627=0,0,IF(AND($F627&lt;=EOMONTH(DATE(PlanYear,9,1),0),IF(ISNUMBER($G627),$G627,$F627)&gt;=DATE(PlanYear,9,1)),1,0))</f>
        <v>0</v>
      </c>
      <c r="X627">
        <f>IF($N627=0,0,IF(AND($F627&lt;=EOMONTH(DATE(PlanYear,10,1),0),IF(ISNUMBER($G627),$G627,$F627)&gt;=DATE(PlanYear,10,1)),1,0))</f>
        <v>0</v>
      </c>
      <c r="Y627">
        <f>IF($N627=0,0,IF(AND($F627&lt;=EOMONTH(DATE(PlanYear,11,1),0),IF(ISNUMBER($G627),$G627,$F627)&gt;=DATE(PlanYear,11,1)),1,0))</f>
        <v>0</v>
      </c>
      <c r="Z627">
        <f>IF($N627=0,0,IF(AND($F627&lt;=EOMONTH(DATE(PlanYear,12,1),0),IF(ISNUMBER($G627),$G627,$F627)&gt;=DATE(PlanYear,12,1)),1,0))</f>
        <v>0</v>
      </c>
      <c r="AA627">
        <f>SUM($O627:$Z627)</f>
        <v>0</v>
      </c>
    </row>
    <row r="628" spans="1:27">
      <c r="A628" s="42">
        <f>IF($B628="","","ACT-"&amp;TEXT(ROW()-4,"000"))</f>
        <v>0</v>
      </c>
      <c r="M628" s="43">
        <f>IF(COUNTA($B628:$K628)=0,"",IF($B628="","Missing activity name",IF($C628="","Missing practice",IF(COUNTIF(PracticeNames,$C628)=0,"Practice not in Lists",IF($D628="","Missing motion",IF(NOT(ISNUMBER($F628)),"Missing or invalid start date",IF(AND(ISNUMBER($G628),$G628&lt;$F628),"End date before start",IF(AND($N628=1,$AA628=0),"Outside planning year","OK"))))))))</f>
        <v>0</v>
      </c>
      <c r="N628">
        <f>IF(AND($B628&lt;&gt;"",$C628&lt;&gt;"",$D628&lt;&gt;"",ISNUMBER($F628),COUNTIF(PracticeNames,$C628)&gt;0,COUNTIF(MotionNames,$D628)&gt;0,NOT(AND(ISNUMBER($G628),$G628&lt;$F628))),IF(StatusFilter="All (excl. Cancelled)",IF($H628="Cancelled",0,1),IF(StatusFilter="All",1,IF($H628=StatusFilter,1,0))),0)</f>
        <v>0</v>
      </c>
      <c r="O628">
        <f>IF($N628=0,0,IF(AND($F628&lt;=EOMONTH(DATE(PlanYear,1,1),0),IF(ISNUMBER($G628),$G628,$F628)&gt;=DATE(PlanYear,1,1)),1,0))</f>
        <v>0</v>
      </c>
      <c r="P628">
        <f>IF($N628=0,0,IF(AND($F628&lt;=EOMONTH(DATE(PlanYear,2,1),0),IF(ISNUMBER($G628),$G628,$F628)&gt;=DATE(PlanYear,2,1)),1,0))</f>
        <v>0</v>
      </c>
      <c r="Q628">
        <f>IF($N628=0,0,IF(AND($F628&lt;=EOMONTH(DATE(PlanYear,3,1),0),IF(ISNUMBER($G628),$G628,$F628)&gt;=DATE(PlanYear,3,1)),1,0))</f>
        <v>0</v>
      </c>
      <c r="R628">
        <f>IF($N628=0,0,IF(AND($F628&lt;=EOMONTH(DATE(PlanYear,4,1),0),IF(ISNUMBER($G628),$G628,$F628)&gt;=DATE(PlanYear,4,1)),1,0))</f>
        <v>0</v>
      </c>
      <c r="S628">
        <f>IF($N628=0,0,IF(AND($F628&lt;=EOMONTH(DATE(PlanYear,5,1),0),IF(ISNUMBER($G628),$G628,$F628)&gt;=DATE(PlanYear,5,1)),1,0))</f>
        <v>0</v>
      </c>
      <c r="T628">
        <f>IF($N628=0,0,IF(AND($F628&lt;=EOMONTH(DATE(PlanYear,6,1),0),IF(ISNUMBER($G628),$G628,$F628)&gt;=DATE(PlanYear,6,1)),1,0))</f>
        <v>0</v>
      </c>
      <c r="U628">
        <f>IF($N628=0,0,IF(AND($F628&lt;=EOMONTH(DATE(PlanYear,7,1),0),IF(ISNUMBER($G628),$G628,$F628)&gt;=DATE(PlanYear,7,1)),1,0))</f>
        <v>0</v>
      </c>
      <c r="V628">
        <f>IF($N628=0,0,IF(AND($F628&lt;=EOMONTH(DATE(PlanYear,8,1),0),IF(ISNUMBER($G628),$G628,$F628)&gt;=DATE(PlanYear,8,1)),1,0))</f>
        <v>0</v>
      </c>
      <c r="W628">
        <f>IF($N628=0,0,IF(AND($F628&lt;=EOMONTH(DATE(PlanYear,9,1),0),IF(ISNUMBER($G628),$G628,$F628)&gt;=DATE(PlanYear,9,1)),1,0))</f>
        <v>0</v>
      </c>
      <c r="X628">
        <f>IF($N628=0,0,IF(AND($F628&lt;=EOMONTH(DATE(PlanYear,10,1),0),IF(ISNUMBER($G628),$G628,$F628)&gt;=DATE(PlanYear,10,1)),1,0))</f>
        <v>0</v>
      </c>
      <c r="Y628">
        <f>IF($N628=0,0,IF(AND($F628&lt;=EOMONTH(DATE(PlanYear,11,1),0),IF(ISNUMBER($G628),$G628,$F628)&gt;=DATE(PlanYear,11,1)),1,0))</f>
        <v>0</v>
      </c>
      <c r="Z628">
        <f>IF($N628=0,0,IF(AND($F628&lt;=EOMONTH(DATE(PlanYear,12,1),0),IF(ISNUMBER($G628),$G628,$F628)&gt;=DATE(PlanYear,12,1)),1,0))</f>
        <v>0</v>
      </c>
      <c r="AA628">
        <f>SUM($O628:$Z628)</f>
        <v>0</v>
      </c>
    </row>
    <row r="629" spans="1:27">
      <c r="A629" s="42">
        <f>IF($B629="","","ACT-"&amp;TEXT(ROW()-4,"000"))</f>
        <v>0</v>
      </c>
      <c r="M629" s="43">
        <f>IF(COUNTA($B629:$K629)=0,"",IF($B629="","Missing activity name",IF($C629="","Missing practice",IF(COUNTIF(PracticeNames,$C629)=0,"Practice not in Lists",IF($D629="","Missing motion",IF(NOT(ISNUMBER($F629)),"Missing or invalid start date",IF(AND(ISNUMBER($G629),$G629&lt;$F629),"End date before start",IF(AND($N629=1,$AA629=0),"Outside planning year","OK"))))))))</f>
        <v>0</v>
      </c>
      <c r="N629">
        <f>IF(AND($B629&lt;&gt;"",$C629&lt;&gt;"",$D629&lt;&gt;"",ISNUMBER($F629),COUNTIF(PracticeNames,$C629)&gt;0,COUNTIF(MotionNames,$D629)&gt;0,NOT(AND(ISNUMBER($G629),$G629&lt;$F629))),IF(StatusFilter="All (excl. Cancelled)",IF($H629="Cancelled",0,1),IF(StatusFilter="All",1,IF($H629=StatusFilter,1,0))),0)</f>
        <v>0</v>
      </c>
      <c r="O629">
        <f>IF($N629=0,0,IF(AND($F629&lt;=EOMONTH(DATE(PlanYear,1,1),0),IF(ISNUMBER($G629),$G629,$F629)&gt;=DATE(PlanYear,1,1)),1,0))</f>
        <v>0</v>
      </c>
      <c r="P629">
        <f>IF($N629=0,0,IF(AND($F629&lt;=EOMONTH(DATE(PlanYear,2,1),0),IF(ISNUMBER($G629),$G629,$F629)&gt;=DATE(PlanYear,2,1)),1,0))</f>
        <v>0</v>
      </c>
      <c r="Q629">
        <f>IF($N629=0,0,IF(AND($F629&lt;=EOMONTH(DATE(PlanYear,3,1),0),IF(ISNUMBER($G629),$G629,$F629)&gt;=DATE(PlanYear,3,1)),1,0))</f>
        <v>0</v>
      </c>
      <c r="R629">
        <f>IF($N629=0,0,IF(AND($F629&lt;=EOMONTH(DATE(PlanYear,4,1),0),IF(ISNUMBER($G629),$G629,$F629)&gt;=DATE(PlanYear,4,1)),1,0))</f>
        <v>0</v>
      </c>
      <c r="S629">
        <f>IF($N629=0,0,IF(AND($F629&lt;=EOMONTH(DATE(PlanYear,5,1),0),IF(ISNUMBER($G629),$G629,$F629)&gt;=DATE(PlanYear,5,1)),1,0))</f>
        <v>0</v>
      </c>
      <c r="T629">
        <f>IF($N629=0,0,IF(AND($F629&lt;=EOMONTH(DATE(PlanYear,6,1),0),IF(ISNUMBER($G629),$G629,$F629)&gt;=DATE(PlanYear,6,1)),1,0))</f>
        <v>0</v>
      </c>
      <c r="U629">
        <f>IF($N629=0,0,IF(AND($F629&lt;=EOMONTH(DATE(PlanYear,7,1),0),IF(ISNUMBER($G629),$G629,$F629)&gt;=DATE(PlanYear,7,1)),1,0))</f>
        <v>0</v>
      </c>
      <c r="V629">
        <f>IF($N629=0,0,IF(AND($F629&lt;=EOMONTH(DATE(PlanYear,8,1),0),IF(ISNUMBER($G629),$G629,$F629)&gt;=DATE(PlanYear,8,1)),1,0))</f>
        <v>0</v>
      </c>
      <c r="W629">
        <f>IF($N629=0,0,IF(AND($F629&lt;=EOMONTH(DATE(PlanYear,9,1),0),IF(ISNUMBER($G629),$G629,$F629)&gt;=DATE(PlanYear,9,1)),1,0))</f>
        <v>0</v>
      </c>
      <c r="X629">
        <f>IF($N629=0,0,IF(AND($F629&lt;=EOMONTH(DATE(PlanYear,10,1),0),IF(ISNUMBER($G629),$G629,$F629)&gt;=DATE(PlanYear,10,1)),1,0))</f>
        <v>0</v>
      </c>
      <c r="Y629">
        <f>IF($N629=0,0,IF(AND($F629&lt;=EOMONTH(DATE(PlanYear,11,1),0),IF(ISNUMBER($G629),$G629,$F629)&gt;=DATE(PlanYear,11,1)),1,0))</f>
        <v>0</v>
      </c>
      <c r="Z629">
        <f>IF($N629=0,0,IF(AND($F629&lt;=EOMONTH(DATE(PlanYear,12,1),0),IF(ISNUMBER($G629),$G629,$F629)&gt;=DATE(PlanYear,12,1)),1,0))</f>
        <v>0</v>
      </c>
      <c r="AA629">
        <f>SUM($O629:$Z629)</f>
        <v>0</v>
      </c>
    </row>
    <row r="630" spans="1:27">
      <c r="A630" s="42">
        <f>IF($B630="","","ACT-"&amp;TEXT(ROW()-4,"000"))</f>
        <v>0</v>
      </c>
      <c r="M630" s="43">
        <f>IF(COUNTA($B630:$K630)=0,"",IF($B630="","Missing activity name",IF($C630="","Missing practice",IF(COUNTIF(PracticeNames,$C630)=0,"Practice not in Lists",IF($D630="","Missing motion",IF(NOT(ISNUMBER($F630)),"Missing or invalid start date",IF(AND(ISNUMBER($G630),$G630&lt;$F630),"End date before start",IF(AND($N630=1,$AA630=0),"Outside planning year","OK"))))))))</f>
        <v>0</v>
      </c>
      <c r="N630">
        <f>IF(AND($B630&lt;&gt;"",$C630&lt;&gt;"",$D630&lt;&gt;"",ISNUMBER($F630),COUNTIF(PracticeNames,$C630)&gt;0,COUNTIF(MotionNames,$D630)&gt;0,NOT(AND(ISNUMBER($G630),$G630&lt;$F630))),IF(StatusFilter="All (excl. Cancelled)",IF($H630="Cancelled",0,1),IF(StatusFilter="All",1,IF($H630=StatusFilter,1,0))),0)</f>
        <v>0</v>
      </c>
      <c r="O630">
        <f>IF($N630=0,0,IF(AND($F630&lt;=EOMONTH(DATE(PlanYear,1,1),0),IF(ISNUMBER($G630),$G630,$F630)&gt;=DATE(PlanYear,1,1)),1,0))</f>
        <v>0</v>
      </c>
      <c r="P630">
        <f>IF($N630=0,0,IF(AND($F630&lt;=EOMONTH(DATE(PlanYear,2,1),0),IF(ISNUMBER($G630),$G630,$F630)&gt;=DATE(PlanYear,2,1)),1,0))</f>
        <v>0</v>
      </c>
      <c r="Q630">
        <f>IF($N630=0,0,IF(AND($F630&lt;=EOMONTH(DATE(PlanYear,3,1),0),IF(ISNUMBER($G630),$G630,$F630)&gt;=DATE(PlanYear,3,1)),1,0))</f>
        <v>0</v>
      </c>
      <c r="R630">
        <f>IF($N630=0,0,IF(AND($F630&lt;=EOMONTH(DATE(PlanYear,4,1),0),IF(ISNUMBER($G630),$G630,$F630)&gt;=DATE(PlanYear,4,1)),1,0))</f>
        <v>0</v>
      </c>
      <c r="S630">
        <f>IF($N630=0,0,IF(AND($F630&lt;=EOMONTH(DATE(PlanYear,5,1),0),IF(ISNUMBER($G630),$G630,$F630)&gt;=DATE(PlanYear,5,1)),1,0))</f>
        <v>0</v>
      </c>
      <c r="T630">
        <f>IF($N630=0,0,IF(AND($F630&lt;=EOMONTH(DATE(PlanYear,6,1),0),IF(ISNUMBER($G630),$G630,$F630)&gt;=DATE(PlanYear,6,1)),1,0))</f>
        <v>0</v>
      </c>
      <c r="U630">
        <f>IF($N630=0,0,IF(AND($F630&lt;=EOMONTH(DATE(PlanYear,7,1),0),IF(ISNUMBER($G630),$G630,$F630)&gt;=DATE(PlanYear,7,1)),1,0))</f>
        <v>0</v>
      </c>
      <c r="V630">
        <f>IF($N630=0,0,IF(AND($F630&lt;=EOMONTH(DATE(PlanYear,8,1),0),IF(ISNUMBER($G630),$G630,$F630)&gt;=DATE(PlanYear,8,1)),1,0))</f>
        <v>0</v>
      </c>
      <c r="W630">
        <f>IF($N630=0,0,IF(AND($F630&lt;=EOMONTH(DATE(PlanYear,9,1),0),IF(ISNUMBER($G630),$G630,$F630)&gt;=DATE(PlanYear,9,1)),1,0))</f>
        <v>0</v>
      </c>
      <c r="X630">
        <f>IF($N630=0,0,IF(AND($F630&lt;=EOMONTH(DATE(PlanYear,10,1),0),IF(ISNUMBER($G630),$G630,$F630)&gt;=DATE(PlanYear,10,1)),1,0))</f>
        <v>0</v>
      </c>
      <c r="Y630">
        <f>IF($N630=0,0,IF(AND($F630&lt;=EOMONTH(DATE(PlanYear,11,1),0),IF(ISNUMBER($G630),$G630,$F630)&gt;=DATE(PlanYear,11,1)),1,0))</f>
        <v>0</v>
      </c>
      <c r="Z630">
        <f>IF($N630=0,0,IF(AND($F630&lt;=EOMONTH(DATE(PlanYear,12,1),0),IF(ISNUMBER($G630),$G630,$F630)&gt;=DATE(PlanYear,12,1)),1,0))</f>
        <v>0</v>
      </c>
      <c r="AA630">
        <f>SUM($O630:$Z630)</f>
        <v>0</v>
      </c>
    </row>
    <row r="631" spans="1:27">
      <c r="A631" s="42">
        <f>IF($B631="","","ACT-"&amp;TEXT(ROW()-4,"000"))</f>
        <v>0</v>
      </c>
      <c r="M631" s="43">
        <f>IF(COUNTA($B631:$K631)=0,"",IF($B631="","Missing activity name",IF($C631="","Missing practice",IF(COUNTIF(PracticeNames,$C631)=0,"Practice not in Lists",IF($D631="","Missing motion",IF(NOT(ISNUMBER($F631)),"Missing or invalid start date",IF(AND(ISNUMBER($G631),$G631&lt;$F631),"End date before start",IF(AND($N631=1,$AA631=0),"Outside planning year","OK"))))))))</f>
        <v>0</v>
      </c>
      <c r="N631">
        <f>IF(AND($B631&lt;&gt;"",$C631&lt;&gt;"",$D631&lt;&gt;"",ISNUMBER($F631),COUNTIF(PracticeNames,$C631)&gt;0,COUNTIF(MotionNames,$D631)&gt;0,NOT(AND(ISNUMBER($G631),$G631&lt;$F631))),IF(StatusFilter="All (excl. Cancelled)",IF($H631="Cancelled",0,1),IF(StatusFilter="All",1,IF($H631=StatusFilter,1,0))),0)</f>
        <v>0</v>
      </c>
      <c r="O631">
        <f>IF($N631=0,0,IF(AND($F631&lt;=EOMONTH(DATE(PlanYear,1,1),0),IF(ISNUMBER($G631),$G631,$F631)&gt;=DATE(PlanYear,1,1)),1,0))</f>
        <v>0</v>
      </c>
      <c r="P631">
        <f>IF($N631=0,0,IF(AND($F631&lt;=EOMONTH(DATE(PlanYear,2,1),0),IF(ISNUMBER($G631),$G631,$F631)&gt;=DATE(PlanYear,2,1)),1,0))</f>
        <v>0</v>
      </c>
      <c r="Q631">
        <f>IF($N631=0,0,IF(AND($F631&lt;=EOMONTH(DATE(PlanYear,3,1),0),IF(ISNUMBER($G631),$G631,$F631)&gt;=DATE(PlanYear,3,1)),1,0))</f>
        <v>0</v>
      </c>
      <c r="R631">
        <f>IF($N631=0,0,IF(AND($F631&lt;=EOMONTH(DATE(PlanYear,4,1),0),IF(ISNUMBER($G631),$G631,$F631)&gt;=DATE(PlanYear,4,1)),1,0))</f>
        <v>0</v>
      </c>
      <c r="S631">
        <f>IF($N631=0,0,IF(AND($F631&lt;=EOMONTH(DATE(PlanYear,5,1),0),IF(ISNUMBER($G631),$G631,$F631)&gt;=DATE(PlanYear,5,1)),1,0))</f>
        <v>0</v>
      </c>
      <c r="T631">
        <f>IF($N631=0,0,IF(AND($F631&lt;=EOMONTH(DATE(PlanYear,6,1),0),IF(ISNUMBER($G631),$G631,$F631)&gt;=DATE(PlanYear,6,1)),1,0))</f>
        <v>0</v>
      </c>
      <c r="U631">
        <f>IF($N631=0,0,IF(AND($F631&lt;=EOMONTH(DATE(PlanYear,7,1),0),IF(ISNUMBER($G631),$G631,$F631)&gt;=DATE(PlanYear,7,1)),1,0))</f>
        <v>0</v>
      </c>
      <c r="V631">
        <f>IF($N631=0,0,IF(AND($F631&lt;=EOMONTH(DATE(PlanYear,8,1),0),IF(ISNUMBER($G631),$G631,$F631)&gt;=DATE(PlanYear,8,1)),1,0))</f>
        <v>0</v>
      </c>
      <c r="W631">
        <f>IF($N631=0,0,IF(AND($F631&lt;=EOMONTH(DATE(PlanYear,9,1),0),IF(ISNUMBER($G631),$G631,$F631)&gt;=DATE(PlanYear,9,1)),1,0))</f>
        <v>0</v>
      </c>
      <c r="X631">
        <f>IF($N631=0,0,IF(AND($F631&lt;=EOMONTH(DATE(PlanYear,10,1),0),IF(ISNUMBER($G631),$G631,$F631)&gt;=DATE(PlanYear,10,1)),1,0))</f>
        <v>0</v>
      </c>
      <c r="Y631">
        <f>IF($N631=0,0,IF(AND($F631&lt;=EOMONTH(DATE(PlanYear,11,1),0),IF(ISNUMBER($G631),$G631,$F631)&gt;=DATE(PlanYear,11,1)),1,0))</f>
        <v>0</v>
      </c>
      <c r="Z631">
        <f>IF($N631=0,0,IF(AND($F631&lt;=EOMONTH(DATE(PlanYear,12,1),0),IF(ISNUMBER($G631),$G631,$F631)&gt;=DATE(PlanYear,12,1)),1,0))</f>
        <v>0</v>
      </c>
      <c r="AA631">
        <f>SUM($O631:$Z631)</f>
        <v>0</v>
      </c>
    </row>
    <row r="632" spans="1:27">
      <c r="A632" s="42">
        <f>IF($B632="","","ACT-"&amp;TEXT(ROW()-4,"000"))</f>
        <v>0</v>
      </c>
      <c r="M632" s="43">
        <f>IF(COUNTA($B632:$K632)=0,"",IF($B632="","Missing activity name",IF($C632="","Missing practice",IF(COUNTIF(PracticeNames,$C632)=0,"Practice not in Lists",IF($D632="","Missing motion",IF(NOT(ISNUMBER($F632)),"Missing or invalid start date",IF(AND(ISNUMBER($G632),$G632&lt;$F632),"End date before start",IF(AND($N632=1,$AA632=0),"Outside planning year","OK"))))))))</f>
        <v>0</v>
      </c>
      <c r="N632">
        <f>IF(AND($B632&lt;&gt;"",$C632&lt;&gt;"",$D632&lt;&gt;"",ISNUMBER($F632),COUNTIF(PracticeNames,$C632)&gt;0,COUNTIF(MotionNames,$D632)&gt;0,NOT(AND(ISNUMBER($G632),$G632&lt;$F632))),IF(StatusFilter="All (excl. Cancelled)",IF($H632="Cancelled",0,1),IF(StatusFilter="All",1,IF($H632=StatusFilter,1,0))),0)</f>
        <v>0</v>
      </c>
      <c r="O632">
        <f>IF($N632=0,0,IF(AND($F632&lt;=EOMONTH(DATE(PlanYear,1,1),0),IF(ISNUMBER($G632),$G632,$F632)&gt;=DATE(PlanYear,1,1)),1,0))</f>
        <v>0</v>
      </c>
      <c r="P632">
        <f>IF($N632=0,0,IF(AND($F632&lt;=EOMONTH(DATE(PlanYear,2,1),0),IF(ISNUMBER($G632),$G632,$F632)&gt;=DATE(PlanYear,2,1)),1,0))</f>
        <v>0</v>
      </c>
      <c r="Q632">
        <f>IF($N632=0,0,IF(AND($F632&lt;=EOMONTH(DATE(PlanYear,3,1),0),IF(ISNUMBER($G632),$G632,$F632)&gt;=DATE(PlanYear,3,1)),1,0))</f>
        <v>0</v>
      </c>
      <c r="R632">
        <f>IF($N632=0,0,IF(AND($F632&lt;=EOMONTH(DATE(PlanYear,4,1),0),IF(ISNUMBER($G632),$G632,$F632)&gt;=DATE(PlanYear,4,1)),1,0))</f>
        <v>0</v>
      </c>
      <c r="S632">
        <f>IF($N632=0,0,IF(AND($F632&lt;=EOMONTH(DATE(PlanYear,5,1),0),IF(ISNUMBER($G632),$G632,$F632)&gt;=DATE(PlanYear,5,1)),1,0))</f>
        <v>0</v>
      </c>
      <c r="T632">
        <f>IF($N632=0,0,IF(AND($F632&lt;=EOMONTH(DATE(PlanYear,6,1),0),IF(ISNUMBER($G632),$G632,$F632)&gt;=DATE(PlanYear,6,1)),1,0))</f>
        <v>0</v>
      </c>
      <c r="U632">
        <f>IF($N632=0,0,IF(AND($F632&lt;=EOMONTH(DATE(PlanYear,7,1),0),IF(ISNUMBER($G632),$G632,$F632)&gt;=DATE(PlanYear,7,1)),1,0))</f>
        <v>0</v>
      </c>
      <c r="V632">
        <f>IF($N632=0,0,IF(AND($F632&lt;=EOMONTH(DATE(PlanYear,8,1),0),IF(ISNUMBER($G632),$G632,$F632)&gt;=DATE(PlanYear,8,1)),1,0))</f>
        <v>0</v>
      </c>
      <c r="W632">
        <f>IF($N632=0,0,IF(AND($F632&lt;=EOMONTH(DATE(PlanYear,9,1),0),IF(ISNUMBER($G632),$G632,$F632)&gt;=DATE(PlanYear,9,1)),1,0))</f>
        <v>0</v>
      </c>
      <c r="X632">
        <f>IF($N632=0,0,IF(AND($F632&lt;=EOMONTH(DATE(PlanYear,10,1),0),IF(ISNUMBER($G632),$G632,$F632)&gt;=DATE(PlanYear,10,1)),1,0))</f>
        <v>0</v>
      </c>
      <c r="Y632">
        <f>IF($N632=0,0,IF(AND($F632&lt;=EOMONTH(DATE(PlanYear,11,1),0),IF(ISNUMBER($G632),$G632,$F632)&gt;=DATE(PlanYear,11,1)),1,0))</f>
        <v>0</v>
      </c>
      <c r="Z632">
        <f>IF($N632=0,0,IF(AND($F632&lt;=EOMONTH(DATE(PlanYear,12,1),0),IF(ISNUMBER($G632),$G632,$F632)&gt;=DATE(PlanYear,12,1)),1,0))</f>
        <v>0</v>
      </c>
      <c r="AA632">
        <f>SUM($O632:$Z632)</f>
        <v>0</v>
      </c>
    </row>
    <row r="633" spans="1:27">
      <c r="A633" s="42">
        <f>IF($B633="","","ACT-"&amp;TEXT(ROW()-4,"000"))</f>
        <v>0</v>
      </c>
      <c r="M633" s="43">
        <f>IF(COUNTA($B633:$K633)=0,"",IF($B633="","Missing activity name",IF($C633="","Missing practice",IF(COUNTIF(PracticeNames,$C633)=0,"Practice not in Lists",IF($D633="","Missing motion",IF(NOT(ISNUMBER($F633)),"Missing or invalid start date",IF(AND(ISNUMBER($G633),$G633&lt;$F633),"End date before start",IF(AND($N633=1,$AA633=0),"Outside planning year","OK"))))))))</f>
        <v>0</v>
      </c>
      <c r="N633">
        <f>IF(AND($B633&lt;&gt;"",$C633&lt;&gt;"",$D633&lt;&gt;"",ISNUMBER($F633),COUNTIF(PracticeNames,$C633)&gt;0,COUNTIF(MotionNames,$D633)&gt;0,NOT(AND(ISNUMBER($G633),$G633&lt;$F633))),IF(StatusFilter="All (excl. Cancelled)",IF($H633="Cancelled",0,1),IF(StatusFilter="All",1,IF($H633=StatusFilter,1,0))),0)</f>
        <v>0</v>
      </c>
      <c r="O633">
        <f>IF($N633=0,0,IF(AND($F633&lt;=EOMONTH(DATE(PlanYear,1,1),0),IF(ISNUMBER($G633),$G633,$F633)&gt;=DATE(PlanYear,1,1)),1,0))</f>
        <v>0</v>
      </c>
      <c r="P633">
        <f>IF($N633=0,0,IF(AND($F633&lt;=EOMONTH(DATE(PlanYear,2,1),0),IF(ISNUMBER($G633),$G633,$F633)&gt;=DATE(PlanYear,2,1)),1,0))</f>
        <v>0</v>
      </c>
      <c r="Q633">
        <f>IF($N633=0,0,IF(AND($F633&lt;=EOMONTH(DATE(PlanYear,3,1),0),IF(ISNUMBER($G633),$G633,$F633)&gt;=DATE(PlanYear,3,1)),1,0))</f>
        <v>0</v>
      </c>
      <c r="R633">
        <f>IF($N633=0,0,IF(AND($F633&lt;=EOMONTH(DATE(PlanYear,4,1),0),IF(ISNUMBER($G633),$G633,$F633)&gt;=DATE(PlanYear,4,1)),1,0))</f>
        <v>0</v>
      </c>
      <c r="S633">
        <f>IF($N633=0,0,IF(AND($F633&lt;=EOMONTH(DATE(PlanYear,5,1),0),IF(ISNUMBER($G633),$G633,$F633)&gt;=DATE(PlanYear,5,1)),1,0))</f>
        <v>0</v>
      </c>
      <c r="T633">
        <f>IF($N633=0,0,IF(AND($F633&lt;=EOMONTH(DATE(PlanYear,6,1),0),IF(ISNUMBER($G633),$G633,$F633)&gt;=DATE(PlanYear,6,1)),1,0))</f>
        <v>0</v>
      </c>
      <c r="U633">
        <f>IF($N633=0,0,IF(AND($F633&lt;=EOMONTH(DATE(PlanYear,7,1),0),IF(ISNUMBER($G633),$G633,$F633)&gt;=DATE(PlanYear,7,1)),1,0))</f>
        <v>0</v>
      </c>
      <c r="V633">
        <f>IF($N633=0,0,IF(AND($F633&lt;=EOMONTH(DATE(PlanYear,8,1),0),IF(ISNUMBER($G633),$G633,$F633)&gt;=DATE(PlanYear,8,1)),1,0))</f>
        <v>0</v>
      </c>
      <c r="W633">
        <f>IF($N633=0,0,IF(AND($F633&lt;=EOMONTH(DATE(PlanYear,9,1),0),IF(ISNUMBER($G633),$G633,$F633)&gt;=DATE(PlanYear,9,1)),1,0))</f>
        <v>0</v>
      </c>
      <c r="X633">
        <f>IF($N633=0,0,IF(AND($F633&lt;=EOMONTH(DATE(PlanYear,10,1),0),IF(ISNUMBER($G633),$G633,$F633)&gt;=DATE(PlanYear,10,1)),1,0))</f>
        <v>0</v>
      </c>
      <c r="Y633">
        <f>IF($N633=0,0,IF(AND($F633&lt;=EOMONTH(DATE(PlanYear,11,1),0),IF(ISNUMBER($G633),$G633,$F633)&gt;=DATE(PlanYear,11,1)),1,0))</f>
        <v>0</v>
      </c>
      <c r="Z633">
        <f>IF($N633=0,0,IF(AND($F633&lt;=EOMONTH(DATE(PlanYear,12,1),0),IF(ISNUMBER($G633),$G633,$F633)&gt;=DATE(PlanYear,12,1)),1,0))</f>
        <v>0</v>
      </c>
      <c r="AA633">
        <f>SUM($O633:$Z633)</f>
        <v>0</v>
      </c>
    </row>
    <row r="634" spans="1:27">
      <c r="A634" s="42">
        <f>IF($B634="","","ACT-"&amp;TEXT(ROW()-4,"000"))</f>
        <v>0</v>
      </c>
      <c r="M634" s="43">
        <f>IF(COUNTA($B634:$K634)=0,"",IF($B634="","Missing activity name",IF($C634="","Missing practice",IF(COUNTIF(PracticeNames,$C634)=0,"Practice not in Lists",IF($D634="","Missing motion",IF(NOT(ISNUMBER($F634)),"Missing or invalid start date",IF(AND(ISNUMBER($G634),$G634&lt;$F634),"End date before start",IF(AND($N634=1,$AA634=0),"Outside planning year","OK"))))))))</f>
        <v>0</v>
      </c>
      <c r="N634">
        <f>IF(AND($B634&lt;&gt;"",$C634&lt;&gt;"",$D634&lt;&gt;"",ISNUMBER($F634),COUNTIF(PracticeNames,$C634)&gt;0,COUNTIF(MotionNames,$D634)&gt;0,NOT(AND(ISNUMBER($G634),$G634&lt;$F634))),IF(StatusFilter="All (excl. Cancelled)",IF($H634="Cancelled",0,1),IF(StatusFilter="All",1,IF($H634=StatusFilter,1,0))),0)</f>
        <v>0</v>
      </c>
      <c r="O634">
        <f>IF($N634=0,0,IF(AND($F634&lt;=EOMONTH(DATE(PlanYear,1,1),0),IF(ISNUMBER($G634),$G634,$F634)&gt;=DATE(PlanYear,1,1)),1,0))</f>
        <v>0</v>
      </c>
      <c r="P634">
        <f>IF($N634=0,0,IF(AND($F634&lt;=EOMONTH(DATE(PlanYear,2,1),0),IF(ISNUMBER($G634),$G634,$F634)&gt;=DATE(PlanYear,2,1)),1,0))</f>
        <v>0</v>
      </c>
      <c r="Q634">
        <f>IF($N634=0,0,IF(AND($F634&lt;=EOMONTH(DATE(PlanYear,3,1),0),IF(ISNUMBER($G634),$G634,$F634)&gt;=DATE(PlanYear,3,1)),1,0))</f>
        <v>0</v>
      </c>
      <c r="R634">
        <f>IF($N634=0,0,IF(AND($F634&lt;=EOMONTH(DATE(PlanYear,4,1),0),IF(ISNUMBER($G634),$G634,$F634)&gt;=DATE(PlanYear,4,1)),1,0))</f>
        <v>0</v>
      </c>
      <c r="S634">
        <f>IF($N634=0,0,IF(AND($F634&lt;=EOMONTH(DATE(PlanYear,5,1),0),IF(ISNUMBER($G634),$G634,$F634)&gt;=DATE(PlanYear,5,1)),1,0))</f>
        <v>0</v>
      </c>
      <c r="T634">
        <f>IF($N634=0,0,IF(AND($F634&lt;=EOMONTH(DATE(PlanYear,6,1),0),IF(ISNUMBER($G634),$G634,$F634)&gt;=DATE(PlanYear,6,1)),1,0))</f>
        <v>0</v>
      </c>
      <c r="U634">
        <f>IF($N634=0,0,IF(AND($F634&lt;=EOMONTH(DATE(PlanYear,7,1),0),IF(ISNUMBER($G634),$G634,$F634)&gt;=DATE(PlanYear,7,1)),1,0))</f>
        <v>0</v>
      </c>
      <c r="V634">
        <f>IF($N634=0,0,IF(AND($F634&lt;=EOMONTH(DATE(PlanYear,8,1),0),IF(ISNUMBER($G634),$G634,$F634)&gt;=DATE(PlanYear,8,1)),1,0))</f>
        <v>0</v>
      </c>
      <c r="W634">
        <f>IF($N634=0,0,IF(AND($F634&lt;=EOMONTH(DATE(PlanYear,9,1),0),IF(ISNUMBER($G634),$G634,$F634)&gt;=DATE(PlanYear,9,1)),1,0))</f>
        <v>0</v>
      </c>
      <c r="X634">
        <f>IF($N634=0,0,IF(AND($F634&lt;=EOMONTH(DATE(PlanYear,10,1),0),IF(ISNUMBER($G634),$G634,$F634)&gt;=DATE(PlanYear,10,1)),1,0))</f>
        <v>0</v>
      </c>
      <c r="Y634">
        <f>IF($N634=0,0,IF(AND($F634&lt;=EOMONTH(DATE(PlanYear,11,1),0),IF(ISNUMBER($G634),$G634,$F634)&gt;=DATE(PlanYear,11,1)),1,0))</f>
        <v>0</v>
      </c>
      <c r="Z634">
        <f>IF($N634=0,0,IF(AND($F634&lt;=EOMONTH(DATE(PlanYear,12,1),0),IF(ISNUMBER($G634),$G634,$F634)&gt;=DATE(PlanYear,12,1)),1,0))</f>
        <v>0</v>
      </c>
      <c r="AA634">
        <f>SUM($O634:$Z634)</f>
        <v>0</v>
      </c>
    </row>
    <row r="635" spans="1:27">
      <c r="A635" s="42">
        <f>IF($B635="","","ACT-"&amp;TEXT(ROW()-4,"000"))</f>
        <v>0</v>
      </c>
      <c r="M635" s="43">
        <f>IF(COUNTA($B635:$K635)=0,"",IF($B635="","Missing activity name",IF($C635="","Missing practice",IF(COUNTIF(PracticeNames,$C635)=0,"Practice not in Lists",IF($D635="","Missing motion",IF(NOT(ISNUMBER($F635)),"Missing or invalid start date",IF(AND(ISNUMBER($G635),$G635&lt;$F635),"End date before start",IF(AND($N635=1,$AA635=0),"Outside planning year","OK"))))))))</f>
        <v>0</v>
      </c>
      <c r="N635">
        <f>IF(AND($B635&lt;&gt;"",$C635&lt;&gt;"",$D635&lt;&gt;"",ISNUMBER($F635),COUNTIF(PracticeNames,$C635)&gt;0,COUNTIF(MotionNames,$D635)&gt;0,NOT(AND(ISNUMBER($G635),$G635&lt;$F635))),IF(StatusFilter="All (excl. Cancelled)",IF($H635="Cancelled",0,1),IF(StatusFilter="All",1,IF($H635=StatusFilter,1,0))),0)</f>
        <v>0</v>
      </c>
      <c r="O635">
        <f>IF($N635=0,0,IF(AND($F635&lt;=EOMONTH(DATE(PlanYear,1,1),0),IF(ISNUMBER($G635),$G635,$F635)&gt;=DATE(PlanYear,1,1)),1,0))</f>
        <v>0</v>
      </c>
      <c r="P635">
        <f>IF($N635=0,0,IF(AND($F635&lt;=EOMONTH(DATE(PlanYear,2,1),0),IF(ISNUMBER($G635),$G635,$F635)&gt;=DATE(PlanYear,2,1)),1,0))</f>
        <v>0</v>
      </c>
      <c r="Q635">
        <f>IF($N635=0,0,IF(AND($F635&lt;=EOMONTH(DATE(PlanYear,3,1),0),IF(ISNUMBER($G635),$G635,$F635)&gt;=DATE(PlanYear,3,1)),1,0))</f>
        <v>0</v>
      </c>
      <c r="R635">
        <f>IF($N635=0,0,IF(AND($F635&lt;=EOMONTH(DATE(PlanYear,4,1),0),IF(ISNUMBER($G635),$G635,$F635)&gt;=DATE(PlanYear,4,1)),1,0))</f>
        <v>0</v>
      </c>
      <c r="S635">
        <f>IF($N635=0,0,IF(AND($F635&lt;=EOMONTH(DATE(PlanYear,5,1),0),IF(ISNUMBER($G635),$G635,$F635)&gt;=DATE(PlanYear,5,1)),1,0))</f>
        <v>0</v>
      </c>
      <c r="T635">
        <f>IF($N635=0,0,IF(AND($F635&lt;=EOMONTH(DATE(PlanYear,6,1),0),IF(ISNUMBER($G635),$G635,$F635)&gt;=DATE(PlanYear,6,1)),1,0))</f>
        <v>0</v>
      </c>
      <c r="U635">
        <f>IF($N635=0,0,IF(AND($F635&lt;=EOMONTH(DATE(PlanYear,7,1),0),IF(ISNUMBER($G635),$G635,$F635)&gt;=DATE(PlanYear,7,1)),1,0))</f>
        <v>0</v>
      </c>
      <c r="V635">
        <f>IF($N635=0,0,IF(AND($F635&lt;=EOMONTH(DATE(PlanYear,8,1),0),IF(ISNUMBER($G635),$G635,$F635)&gt;=DATE(PlanYear,8,1)),1,0))</f>
        <v>0</v>
      </c>
      <c r="W635">
        <f>IF($N635=0,0,IF(AND($F635&lt;=EOMONTH(DATE(PlanYear,9,1),0),IF(ISNUMBER($G635),$G635,$F635)&gt;=DATE(PlanYear,9,1)),1,0))</f>
        <v>0</v>
      </c>
      <c r="X635">
        <f>IF($N635=0,0,IF(AND($F635&lt;=EOMONTH(DATE(PlanYear,10,1),0),IF(ISNUMBER($G635),$G635,$F635)&gt;=DATE(PlanYear,10,1)),1,0))</f>
        <v>0</v>
      </c>
      <c r="Y635">
        <f>IF($N635=0,0,IF(AND($F635&lt;=EOMONTH(DATE(PlanYear,11,1),0),IF(ISNUMBER($G635),$G635,$F635)&gt;=DATE(PlanYear,11,1)),1,0))</f>
        <v>0</v>
      </c>
      <c r="Z635">
        <f>IF($N635=0,0,IF(AND($F635&lt;=EOMONTH(DATE(PlanYear,12,1),0),IF(ISNUMBER($G635),$G635,$F635)&gt;=DATE(PlanYear,12,1)),1,0))</f>
        <v>0</v>
      </c>
      <c r="AA635">
        <f>SUM($O635:$Z635)</f>
        <v>0</v>
      </c>
    </row>
    <row r="636" spans="1:27">
      <c r="A636" s="42">
        <f>IF($B636="","","ACT-"&amp;TEXT(ROW()-4,"000"))</f>
        <v>0</v>
      </c>
      <c r="M636" s="43">
        <f>IF(COUNTA($B636:$K636)=0,"",IF($B636="","Missing activity name",IF($C636="","Missing practice",IF(COUNTIF(PracticeNames,$C636)=0,"Practice not in Lists",IF($D636="","Missing motion",IF(NOT(ISNUMBER($F636)),"Missing or invalid start date",IF(AND(ISNUMBER($G636),$G636&lt;$F636),"End date before start",IF(AND($N636=1,$AA636=0),"Outside planning year","OK"))))))))</f>
        <v>0</v>
      </c>
      <c r="N636">
        <f>IF(AND($B636&lt;&gt;"",$C636&lt;&gt;"",$D636&lt;&gt;"",ISNUMBER($F636),COUNTIF(PracticeNames,$C636)&gt;0,COUNTIF(MotionNames,$D636)&gt;0,NOT(AND(ISNUMBER($G636),$G636&lt;$F636))),IF(StatusFilter="All (excl. Cancelled)",IF($H636="Cancelled",0,1),IF(StatusFilter="All",1,IF($H636=StatusFilter,1,0))),0)</f>
        <v>0</v>
      </c>
      <c r="O636">
        <f>IF($N636=0,0,IF(AND($F636&lt;=EOMONTH(DATE(PlanYear,1,1),0),IF(ISNUMBER($G636),$G636,$F636)&gt;=DATE(PlanYear,1,1)),1,0))</f>
        <v>0</v>
      </c>
      <c r="P636">
        <f>IF($N636=0,0,IF(AND($F636&lt;=EOMONTH(DATE(PlanYear,2,1),0),IF(ISNUMBER($G636),$G636,$F636)&gt;=DATE(PlanYear,2,1)),1,0))</f>
        <v>0</v>
      </c>
      <c r="Q636">
        <f>IF($N636=0,0,IF(AND($F636&lt;=EOMONTH(DATE(PlanYear,3,1),0),IF(ISNUMBER($G636),$G636,$F636)&gt;=DATE(PlanYear,3,1)),1,0))</f>
        <v>0</v>
      </c>
      <c r="R636">
        <f>IF($N636=0,0,IF(AND($F636&lt;=EOMONTH(DATE(PlanYear,4,1),0),IF(ISNUMBER($G636),$G636,$F636)&gt;=DATE(PlanYear,4,1)),1,0))</f>
        <v>0</v>
      </c>
      <c r="S636">
        <f>IF($N636=0,0,IF(AND($F636&lt;=EOMONTH(DATE(PlanYear,5,1),0),IF(ISNUMBER($G636),$G636,$F636)&gt;=DATE(PlanYear,5,1)),1,0))</f>
        <v>0</v>
      </c>
      <c r="T636">
        <f>IF($N636=0,0,IF(AND($F636&lt;=EOMONTH(DATE(PlanYear,6,1),0),IF(ISNUMBER($G636),$G636,$F636)&gt;=DATE(PlanYear,6,1)),1,0))</f>
        <v>0</v>
      </c>
      <c r="U636">
        <f>IF($N636=0,0,IF(AND($F636&lt;=EOMONTH(DATE(PlanYear,7,1),0),IF(ISNUMBER($G636),$G636,$F636)&gt;=DATE(PlanYear,7,1)),1,0))</f>
        <v>0</v>
      </c>
      <c r="V636">
        <f>IF($N636=0,0,IF(AND($F636&lt;=EOMONTH(DATE(PlanYear,8,1),0),IF(ISNUMBER($G636),$G636,$F636)&gt;=DATE(PlanYear,8,1)),1,0))</f>
        <v>0</v>
      </c>
      <c r="W636">
        <f>IF($N636=0,0,IF(AND($F636&lt;=EOMONTH(DATE(PlanYear,9,1),0),IF(ISNUMBER($G636),$G636,$F636)&gt;=DATE(PlanYear,9,1)),1,0))</f>
        <v>0</v>
      </c>
      <c r="X636">
        <f>IF($N636=0,0,IF(AND($F636&lt;=EOMONTH(DATE(PlanYear,10,1),0),IF(ISNUMBER($G636),$G636,$F636)&gt;=DATE(PlanYear,10,1)),1,0))</f>
        <v>0</v>
      </c>
      <c r="Y636">
        <f>IF($N636=0,0,IF(AND($F636&lt;=EOMONTH(DATE(PlanYear,11,1),0),IF(ISNUMBER($G636),$G636,$F636)&gt;=DATE(PlanYear,11,1)),1,0))</f>
        <v>0</v>
      </c>
      <c r="Z636">
        <f>IF($N636=0,0,IF(AND($F636&lt;=EOMONTH(DATE(PlanYear,12,1),0),IF(ISNUMBER($G636),$G636,$F636)&gt;=DATE(PlanYear,12,1)),1,0))</f>
        <v>0</v>
      </c>
      <c r="AA636">
        <f>SUM($O636:$Z636)</f>
        <v>0</v>
      </c>
    </row>
    <row r="637" spans="1:27">
      <c r="A637" s="42">
        <f>IF($B637="","","ACT-"&amp;TEXT(ROW()-4,"000"))</f>
        <v>0</v>
      </c>
      <c r="M637" s="43">
        <f>IF(COUNTA($B637:$K637)=0,"",IF($B637="","Missing activity name",IF($C637="","Missing practice",IF(COUNTIF(PracticeNames,$C637)=0,"Practice not in Lists",IF($D637="","Missing motion",IF(NOT(ISNUMBER($F637)),"Missing or invalid start date",IF(AND(ISNUMBER($G637),$G637&lt;$F637),"End date before start",IF(AND($N637=1,$AA637=0),"Outside planning year","OK"))))))))</f>
        <v>0</v>
      </c>
      <c r="N637">
        <f>IF(AND($B637&lt;&gt;"",$C637&lt;&gt;"",$D637&lt;&gt;"",ISNUMBER($F637),COUNTIF(PracticeNames,$C637)&gt;0,COUNTIF(MotionNames,$D637)&gt;0,NOT(AND(ISNUMBER($G637),$G637&lt;$F637))),IF(StatusFilter="All (excl. Cancelled)",IF($H637="Cancelled",0,1),IF(StatusFilter="All",1,IF($H637=StatusFilter,1,0))),0)</f>
        <v>0</v>
      </c>
      <c r="O637">
        <f>IF($N637=0,0,IF(AND($F637&lt;=EOMONTH(DATE(PlanYear,1,1),0),IF(ISNUMBER($G637),$G637,$F637)&gt;=DATE(PlanYear,1,1)),1,0))</f>
        <v>0</v>
      </c>
      <c r="P637">
        <f>IF($N637=0,0,IF(AND($F637&lt;=EOMONTH(DATE(PlanYear,2,1),0),IF(ISNUMBER($G637),$G637,$F637)&gt;=DATE(PlanYear,2,1)),1,0))</f>
        <v>0</v>
      </c>
      <c r="Q637">
        <f>IF($N637=0,0,IF(AND($F637&lt;=EOMONTH(DATE(PlanYear,3,1),0),IF(ISNUMBER($G637),$G637,$F637)&gt;=DATE(PlanYear,3,1)),1,0))</f>
        <v>0</v>
      </c>
      <c r="R637">
        <f>IF($N637=0,0,IF(AND($F637&lt;=EOMONTH(DATE(PlanYear,4,1),0),IF(ISNUMBER($G637),$G637,$F637)&gt;=DATE(PlanYear,4,1)),1,0))</f>
        <v>0</v>
      </c>
      <c r="S637">
        <f>IF($N637=0,0,IF(AND($F637&lt;=EOMONTH(DATE(PlanYear,5,1),0),IF(ISNUMBER($G637),$G637,$F637)&gt;=DATE(PlanYear,5,1)),1,0))</f>
        <v>0</v>
      </c>
      <c r="T637">
        <f>IF($N637=0,0,IF(AND($F637&lt;=EOMONTH(DATE(PlanYear,6,1),0),IF(ISNUMBER($G637),$G637,$F637)&gt;=DATE(PlanYear,6,1)),1,0))</f>
        <v>0</v>
      </c>
      <c r="U637">
        <f>IF($N637=0,0,IF(AND($F637&lt;=EOMONTH(DATE(PlanYear,7,1),0),IF(ISNUMBER($G637),$G637,$F637)&gt;=DATE(PlanYear,7,1)),1,0))</f>
        <v>0</v>
      </c>
      <c r="V637">
        <f>IF($N637=0,0,IF(AND($F637&lt;=EOMONTH(DATE(PlanYear,8,1),0),IF(ISNUMBER($G637),$G637,$F637)&gt;=DATE(PlanYear,8,1)),1,0))</f>
        <v>0</v>
      </c>
      <c r="W637">
        <f>IF($N637=0,0,IF(AND($F637&lt;=EOMONTH(DATE(PlanYear,9,1),0),IF(ISNUMBER($G637),$G637,$F637)&gt;=DATE(PlanYear,9,1)),1,0))</f>
        <v>0</v>
      </c>
      <c r="X637">
        <f>IF($N637=0,0,IF(AND($F637&lt;=EOMONTH(DATE(PlanYear,10,1),0),IF(ISNUMBER($G637),$G637,$F637)&gt;=DATE(PlanYear,10,1)),1,0))</f>
        <v>0</v>
      </c>
      <c r="Y637">
        <f>IF($N637=0,0,IF(AND($F637&lt;=EOMONTH(DATE(PlanYear,11,1),0),IF(ISNUMBER($G637),$G637,$F637)&gt;=DATE(PlanYear,11,1)),1,0))</f>
        <v>0</v>
      </c>
      <c r="Z637">
        <f>IF($N637=0,0,IF(AND($F637&lt;=EOMONTH(DATE(PlanYear,12,1),0),IF(ISNUMBER($G637),$G637,$F637)&gt;=DATE(PlanYear,12,1)),1,0))</f>
        <v>0</v>
      </c>
      <c r="AA637">
        <f>SUM($O637:$Z637)</f>
        <v>0</v>
      </c>
    </row>
    <row r="638" spans="1:27">
      <c r="A638" s="42">
        <f>IF($B638="","","ACT-"&amp;TEXT(ROW()-4,"000"))</f>
        <v>0</v>
      </c>
      <c r="M638" s="43">
        <f>IF(COUNTA($B638:$K638)=0,"",IF($B638="","Missing activity name",IF($C638="","Missing practice",IF(COUNTIF(PracticeNames,$C638)=0,"Practice not in Lists",IF($D638="","Missing motion",IF(NOT(ISNUMBER($F638)),"Missing or invalid start date",IF(AND(ISNUMBER($G638),$G638&lt;$F638),"End date before start",IF(AND($N638=1,$AA638=0),"Outside planning year","OK"))))))))</f>
        <v>0</v>
      </c>
      <c r="N638">
        <f>IF(AND($B638&lt;&gt;"",$C638&lt;&gt;"",$D638&lt;&gt;"",ISNUMBER($F638),COUNTIF(PracticeNames,$C638)&gt;0,COUNTIF(MotionNames,$D638)&gt;0,NOT(AND(ISNUMBER($G638),$G638&lt;$F638))),IF(StatusFilter="All (excl. Cancelled)",IF($H638="Cancelled",0,1),IF(StatusFilter="All",1,IF($H638=StatusFilter,1,0))),0)</f>
        <v>0</v>
      </c>
      <c r="O638">
        <f>IF($N638=0,0,IF(AND($F638&lt;=EOMONTH(DATE(PlanYear,1,1),0),IF(ISNUMBER($G638),$G638,$F638)&gt;=DATE(PlanYear,1,1)),1,0))</f>
        <v>0</v>
      </c>
      <c r="P638">
        <f>IF($N638=0,0,IF(AND($F638&lt;=EOMONTH(DATE(PlanYear,2,1),0),IF(ISNUMBER($G638),$G638,$F638)&gt;=DATE(PlanYear,2,1)),1,0))</f>
        <v>0</v>
      </c>
      <c r="Q638">
        <f>IF($N638=0,0,IF(AND($F638&lt;=EOMONTH(DATE(PlanYear,3,1),0),IF(ISNUMBER($G638),$G638,$F638)&gt;=DATE(PlanYear,3,1)),1,0))</f>
        <v>0</v>
      </c>
      <c r="R638">
        <f>IF($N638=0,0,IF(AND($F638&lt;=EOMONTH(DATE(PlanYear,4,1),0),IF(ISNUMBER($G638),$G638,$F638)&gt;=DATE(PlanYear,4,1)),1,0))</f>
        <v>0</v>
      </c>
      <c r="S638">
        <f>IF($N638=0,0,IF(AND($F638&lt;=EOMONTH(DATE(PlanYear,5,1),0),IF(ISNUMBER($G638),$G638,$F638)&gt;=DATE(PlanYear,5,1)),1,0))</f>
        <v>0</v>
      </c>
      <c r="T638">
        <f>IF($N638=0,0,IF(AND($F638&lt;=EOMONTH(DATE(PlanYear,6,1),0),IF(ISNUMBER($G638),$G638,$F638)&gt;=DATE(PlanYear,6,1)),1,0))</f>
        <v>0</v>
      </c>
      <c r="U638">
        <f>IF($N638=0,0,IF(AND($F638&lt;=EOMONTH(DATE(PlanYear,7,1),0),IF(ISNUMBER($G638),$G638,$F638)&gt;=DATE(PlanYear,7,1)),1,0))</f>
        <v>0</v>
      </c>
      <c r="V638">
        <f>IF($N638=0,0,IF(AND($F638&lt;=EOMONTH(DATE(PlanYear,8,1),0),IF(ISNUMBER($G638),$G638,$F638)&gt;=DATE(PlanYear,8,1)),1,0))</f>
        <v>0</v>
      </c>
      <c r="W638">
        <f>IF($N638=0,0,IF(AND($F638&lt;=EOMONTH(DATE(PlanYear,9,1),0),IF(ISNUMBER($G638),$G638,$F638)&gt;=DATE(PlanYear,9,1)),1,0))</f>
        <v>0</v>
      </c>
      <c r="X638">
        <f>IF($N638=0,0,IF(AND($F638&lt;=EOMONTH(DATE(PlanYear,10,1),0),IF(ISNUMBER($G638),$G638,$F638)&gt;=DATE(PlanYear,10,1)),1,0))</f>
        <v>0</v>
      </c>
      <c r="Y638">
        <f>IF($N638=0,0,IF(AND($F638&lt;=EOMONTH(DATE(PlanYear,11,1),0),IF(ISNUMBER($G638),$G638,$F638)&gt;=DATE(PlanYear,11,1)),1,0))</f>
        <v>0</v>
      </c>
      <c r="Z638">
        <f>IF($N638=0,0,IF(AND($F638&lt;=EOMONTH(DATE(PlanYear,12,1),0),IF(ISNUMBER($G638),$G638,$F638)&gt;=DATE(PlanYear,12,1)),1,0))</f>
        <v>0</v>
      </c>
      <c r="AA638">
        <f>SUM($O638:$Z638)</f>
        <v>0</v>
      </c>
    </row>
    <row r="639" spans="1:27">
      <c r="A639" s="42">
        <f>IF($B639="","","ACT-"&amp;TEXT(ROW()-4,"000"))</f>
        <v>0</v>
      </c>
      <c r="M639" s="43">
        <f>IF(COUNTA($B639:$K639)=0,"",IF($B639="","Missing activity name",IF($C639="","Missing practice",IF(COUNTIF(PracticeNames,$C639)=0,"Practice not in Lists",IF($D639="","Missing motion",IF(NOT(ISNUMBER($F639)),"Missing or invalid start date",IF(AND(ISNUMBER($G639),$G639&lt;$F639),"End date before start",IF(AND($N639=1,$AA639=0),"Outside planning year","OK"))))))))</f>
        <v>0</v>
      </c>
      <c r="N639">
        <f>IF(AND($B639&lt;&gt;"",$C639&lt;&gt;"",$D639&lt;&gt;"",ISNUMBER($F639),COUNTIF(PracticeNames,$C639)&gt;0,COUNTIF(MotionNames,$D639)&gt;0,NOT(AND(ISNUMBER($G639),$G639&lt;$F639))),IF(StatusFilter="All (excl. Cancelled)",IF($H639="Cancelled",0,1),IF(StatusFilter="All",1,IF($H639=StatusFilter,1,0))),0)</f>
        <v>0</v>
      </c>
      <c r="O639">
        <f>IF($N639=0,0,IF(AND($F639&lt;=EOMONTH(DATE(PlanYear,1,1),0),IF(ISNUMBER($G639),$G639,$F639)&gt;=DATE(PlanYear,1,1)),1,0))</f>
        <v>0</v>
      </c>
      <c r="P639">
        <f>IF($N639=0,0,IF(AND($F639&lt;=EOMONTH(DATE(PlanYear,2,1),0),IF(ISNUMBER($G639),$G639,$F639)&gt;=DATE(PlanYear,2,1)),1,0))</f>
        <v>0</v>
      </c>
      <c r="Q639">
        <f>IF($N639=0,0,IF(AND($F639&lt;=EOMONTH(DATE(PlanYear,3,1),0),IF(ISNUMBER($G639),$G639,$F639)&gt;=DATE(PlanYear,3,1)),1,0))</f>
        <v>0</v>
      </c>
      <c r="R639">
        <f>IF($N639=0,0,IF(AND($F639&lt;=EOMONTH(DATE(PlanYear,4,1),0),IF(ISNUMBER($G639),$G639,$F639)&gt;=DATE(PlanYear,4,1)),1,0))</f>
        <v>0</v>
      </c>
      <c r="S639">
        <f>IF($N639=0,0,IF(AND($F639&lt;=EOMONTH(DATE(PlanYear,5,1),0),IF(ISNUMBER($G639),$G639,$F639)&gt;=DATE(PlanYear,5,1)),1,0))</f>
        <v>0</v>
      </c>
      <c r="T639">
        <f>IF($N639=0,0,IF(AND($F639&lt;=EOMONTH(DATE(PlanYear,6,1),0),IF(ISNUMBER($G639),$G639,$F639)&gt;=DATE(PlanYear,6,1)),1,0))</f>
        <v>0</v>
      </c>
      <c r="U639">
        <f>IF($N639=0,0,IF(AND($F639&lt;=EOMONTH(DATE(PlanYear,7,1),0),IF(ISNUMBER($G639),$G639,$F639)&gt;=DATE(PlanYear,7,1)),1,0))</f>
        <v>0</v>
      </c>
      <c r="V639">
        <f>IF($N639=0,0,IF(AND($F639&lt;=EOMONTH(DATE(PlanYear,8,1),0),IF(ISNUMBER($G639),$G639,$F639)&gt;=DATE(PlanYear,8,1)),1,0))</f>
        <v>0</v>
      </c>
      <c r="W639">
        <f>IF($N639=0,0,IF(AND($F639&lt;=EOMONTH(DATE(PlanYear,9,1),0),IF(ISNUMBER($G639),$G639,$F639)&gt;=DATE(PlanYear,9,1)),1,0))</f>
        <v>0</v>
      </c>
      <c r="X639">
        <f>IF($N639=0,0,IF(AND($F639&lt;=EOMONTH(DATE(PlanYear,10,1),0),IF(ISNUMBER($G639),$G639,$F639)&gt;=DATE(PlanYear,10,1)),1,0))</f>
        <v>0</v>
      </c>
      <c r="Y639">
        <f>IF($N639=0,0,IF(AND($F639&lt;=EOMONTH(DATE(PlanYear,11,1),0),IF(ISNUMBER($G639),$G639,$F639)&gt;=DATE(PlanYear,11,1)),1,0))</f>
        <v>0</v>
      </c>
      <c r="Z639">
        <f>IF($N639=0,0,IF(AND($F639&lt;=EOMONTH(DATE(PlanYear,12,1),0),IF(ISNUMBER($G639),$G639,$F639)&gt;=DATE(PlanYear,12,1)),1,0))</f>
        <v>0</v>
      </c>
      <c r="AA639">
        <f>SUM($O639:$Z639)</f>
        <v>0</v>
      </c>
    </row>
    <row r="640" spans="1:27">
      <c r="A640" s="42">
        <f>IF($B640="","","ACT-"&amp;TEXT(ROW()-4,"000"))</f>
        <v>0</v>
      </c>
      <c r="M640" s="43">
        <f>IF(COUNTA($B640:$K640)=0,"",IF($B640="","Missing activity name",IF($C640="","Missing practice",IF(COUNTIF(PracticeNames,$C640)=0,"Practice not in Lists",IF($D640="","Missing motion",IF(NOT(ISNUMBER($F640)),"Missing or invalid start date",IF(AND(ISNUMBER($G640),$G640&lt;$F640),"End date before start",IF(AND($N640=1,$AA640=0),"Outside planning year","OK"))))))))</f>
        <v>0</v>
      </c>
      <c r="N640">
        <f>IF(AND($B640&lt;&gt;"",$C640&lt;&gt;"",$D640&lt;&gt;"",ISNUMBER($F640),COUNTIF(PracticeNames,$C640)&gt;0,COUNTIF(MotionNames,$D640)&gt;0,NOT(AND(ISNUMBER($G640),$G640&lt;$F640))),IF(StatusFilter="All (excl. Cancelled)",IF($H640="Cancelled",0,1),IF(StatusFilter="All",1,IF($H640=StatusFilter,1,0))),0)</f>
        <v>0</v>
      </c>
      <c r="O640">
        <f>IF($N640=0,0,IF(AND($F640&lt;=EOMONTH(DATE(PlanYear,1,1),0),IF(ISNUMBER($G640),$G640,$F640)&gt;=DATE(PlanYear,1,1)),1,0))</f>
        <v>0</v>
      </c>
      <c r="P640">
        <f>IF($N640=0,0,IF(AND($F640&lt;=EOMONTH(DATE(PlanYear,2,1),0),IF(ISNUMBER($G640),$G640,$F640)&gt;=DATE(PlanYear,2,1)),1,0))</f>
        <v>0</v>
      </c>
      <c r="Q640">
        <f>IF($N640=0,0,IF(AND($F640&lt;=EOMONTH(DATE(PlanYear,3,1),0),IF(ISNUMBER($G640),$G640,$F640)&gt;=DATE(PlanYear,3,1)),1,0))</f>
        <v>0</v>
      </c>
      <c r="R640">
        <f>IF($N640=0,0,IF(AND($F640&lt;=EOMONTH(DATE(PlanYear,4,1),0),IF(ISNUMBER($G640),$G640,$F640)&gt;=DATE(PlanYear,4,1)),1,0))</f>
        <v>0</v>
      </c>
      <c r="S640">
        <f>IF($N640=0,0,IF(AND($F640&lt;=EOMONTH(DATE(PlanYear,5,1),0),IF(ISNUMBER($G640),$G640,$F640)&gt;=DATE(PlanYear,5,1)),1,0))</f>
        <v>0</v>
      </c>
      <c r="T640">
        <f>IF($N640=0,0,IF(AND($F640&lt;=EOMONTH(DATE(PlanYear,6,1),0),IF(ISNUMBER($G640),$G640,$F640)&gt;=DATE(PlanYear,6,1)),1,0))</f>
        <v>0</v>
      </c>
      <c r="U640">
        <f>IF($N640=0,0,IF(AND($F640&lt;=EOMONTH(DATE(PlanYear,7,1),0),IF(ISNUMBER($G640),$G640,$F640)&gt;=DATE(PlanYear,7,1)),1,0))</f>
        <v>0</v>
      </c>
      <c r="V640">
        <f>IF($N640=0,0,IF(AND($F640&lt;=EOMONTH(DATE(PlanYear,8,1),0),IF(ISNUMBER($G640),$G640,$F640)&gt;=DATE(PlanYear,8,1)),1,0))</f>
        <v>0</v>
      </c>
      <c r="W640">
        <f>IF($N640=0,0,IF(AND($F640&lt;=EOMONTH(DATE(PlanYear,9,1),0),IF(ISNUMBER($G640),$G640,$F640)&gt;=DATE(PlanYear,9,1)),1,0))</f>
        <v>0</v>
      </c>
      <c r="X640">
        <f>IF($N640=0,0,IF(AND($F640&lt;=EOMONTH(DATE(PlanYear,10,1),0),IF(ISNUMBER($G640),$G640,$F640)&gt;=DATE(PlanYear,10,1)),1,0))</f>
        <v>0</v>
      </c>
      <c r="Y640">
        <f>IF($N640=0,0,IF(AND($F640&lt;=EOMONTH(DATE(PlanYear,11,1),0),IF(ISNUMBER($G640),$G640,$F640)&gt;=DATE(PlanYear,11,1)),1,0))</f>
        <v>0</v>
      </c>
      <c r="Z640">
        <f>IF($N640=0,0,IF(AND($F640&lt;=EOMONTH(DATE(PlanYear,12,1),0),IF(ISNUMBER($G640),$G640,$F640)&gt;=DATE(PlanYear,12,1)),1,0))</f>
        <v>0</v>
      </c>
      <c r="AA640">
        <f>SUM($O640:$Z640)</f>
        <v>0</v>
      </c>
    </row>
    <row r="641" spans="1:27">
      <c r="A641" s="42">
        <f>IF($B641="","","ACT-"&amp;TEXT(ROW()-4,"000"))</f>
        <v>0</v>
      </c>
      <c r="M641" s="43">
        <f>IF(COUNTA($B641:$K641)=0,"",IF($B641="","Missing activity name",IF($C641="","Missing practice",IF(COUNTIF(PracticeNames,$C641)=0,"Practice not in Lists",IF($D641="","Missing motion",IF(NOT(ISNUMBER($F641)),"Missing or invalid start date",IF(AND(ISNUMBER($G641),$G641&lt;$F641),"End date before start",IF(AND($N641=1,$AA641=0),"Outside planning year","OK"))))))))</f>
        <v>0</v>
      </c>
      <c r="N641">
        <f>IF(AND($B641&lt;&gt;"",$C641&lt;&gt;"",$D641&lt;&gt;"",ISNUMBER($F641),COUNTIF(PracticeNames,$C641)&gt;0,COUNTIF(MotionNames,$D641)&gt;0,NOT(AND(ISNUMBER($G641),$G641&lt;$F641))),IF(StatusFilter="All (excl. Cancelled)",IF($H641="Cancelled",0,1),IF(StatusFilter="All",1,IF($H641=StatusFilter,1,0))),0)</f>
        <v>0</v>
      </c>
      <c r="O641">
        <f>IF($N641=0,0,IF(AND($F641&lt;=EOMONTH(DATE(PlanYear,1,1),0),IF(ISNUMBER($G641),$G641,$F641)&gt;=DATE(PlanYear,1,1)),1,0))</f>
        <v>0</v>
      </c>
      <c r="P641">
        <f>IF($N641=0,0,IF(AND($F641&lt;=EOMONTH(DATE(PlanYear,2,1),0),IF(ISNUMBER($G641),$G641,$F641)&gt;=DATE(PlanYear,2,1)),1,0))</f>
        <v>0</v>
      </c>
      <c r="Q641">
        <f>IF($N641=0,0,IF(AND($F641&lt;=EOMONTH(DATE(PlanYear,3,1),0),IF(ISNUMBER($G641),$G641,$F641)&gt;=DATE(PlanYear,3,1)),1,0))</f>
        <v>0</v>
      </c>
      <c r="R641">
        <f>IF($N641=0,0,IF(AND($F641&lt;=EOMONTH(DATE(PlanYear,4,1),0),IF(ISNUMBER($G641),$G641,$F641)&gt;=DATE(PlanYear,4,1)),1,0))</f>
        <v>0</v>
      </c>
      <c r="S641">
        <f>IF($N641=0,0,IF(AND($F641&lt;=EOMONTH(DATE(PlanYear,5,1),0),IF(ISNUMBER($G641),$G641,$F641)&gt;=DATE(PlanYear,5,1)),1,0))</f>
        <v>0</v>
      </c>
      <c r="T641">
        <f>IF($N641=0,0,IF(AND($F641&lt;=EOMONTH(DATE(PlanYear,6,1),0),IF(ISNUMBER($G641),$G641,$F641)&gt;=DATE(PlanYear,6,1)),1,0))</f>
        <v>0</v>
      </c>
      <c r="U641">
        <f>IF($N641=0,0,IF(AND($F641&lt;=EOMONTH(DATE(PlanYear,7,1),0),IF(ISNUMBER($G641),$G641,$F641)&gt;=DATE(PlanYear,7,1)),1,0))</f>
        <v>0</v>
      </c>
      <c r="V641">
        <f>IF($N641=0,0,IF(AND($F641&lt;=EOMONTH(DATE(PlanYear,8,1),0),IF(ISNUMBER($G641),$G641,$F641)&gt;=DATE(PlanYear,8,1)),1,0))</f>
        <v>0</v>
      </c>
      <c r="W641">
        <f>IF($N641=0,0,IF(AND($F641&lt;=EOMONTH(DATE(PlanYear,9,1),0),IF(ISNUMBER($G641),$G641,$F641)&gt;=DATE(PlanYear,9,1)),1,0))</f>
        <v>0</v>
      </c>
      <c r="X641">
        <f>IF($N641=0,0,IF(AND($F641&lt;=EOMONTH(DATE(PlanYear,10,1),0),IF(ISNUMBER($G641),$G641,$F641)&gt;=DATE(PlanYear,10,1)),1,0))</f>
        <v>0</v>
      </c>
      <c r="Y641">
        <f>IF($N641=0,0,IF(AND($F641&lt;=EOMONTH(DATE(PlanYear,11,1),0),IF(ISNUMBER($G641),$G641,$F641)&gt;=DATE(PlanYear,11,1)),1,0))</f>
        <v>0</v>
      </c>
      <c r="Z641">
        <f>IF($N641=0,0,IF(AND($F641&lt;=EOMONTH(DATE(PlanYear,12,1),0),IF(ISNUMBER($G641),$G641,$F641)&gt;=DATE(PlanYear,12,1)),1,0))</f>
        <v>0</v>
      </c>
      <c r="AA641">
        <f>SUM($O641:$Z641)</f>
        <v>0</v>
      </c>
    </row>
    <row r="642" spans="1:27">
      <c r="A642" s="42">
        <f>IF($B642="","","ACT-"&amp;TEXT(ROW()-4,"000"))</f>
        <v>0</v>
      </c>
      <c r="M642" s="43">
        <f>IF(COUNTA($B642:$K642)=0,"",IF($B642="","Missing activity name",IF($C642="","Missing practice",IF(COUNTIF(PracticeNames,$C642)=0,"Practice not in Lists",IF($D642="","Missing motion",IF(NOT(ISNUMBER($F642)),"Missing or invalid start date",IF(AND(ISNUMBER($G642),$G642&lt;$F642),"End date before start",IF(AND($N642=1,$AA642=0),"Outside planning year","OK"))))))))</f>
        <v>0</v>
      </c>
      <c r="N642">
        <f>IF(AND($B642&lt;&gt;"",$C642&lt;&gt;"",$D642&lt;&gt;"",ISNUMBER($F642),COUNTIF(PracticeNames,$C642)&gt;0,COUNTIF(MotionNames,$D642)&gt;0,NOT(AND(ISNUMBER($G642),$G642&lt;$F642))),IF(StatusFilter="All (excl. Cancelled)",IF($H642="Cancelled",0,1),IF(StatusFilter="All",1,IF($H642=StatusFilter,1,0))),0)</f>
        <v>0</v>
      </c>
      <c r="O642">
        <f>IF($N642=0,0,IF(AND($F642&lt;=EOMONTH(DATE(PlanYear,1,1),0),IF(ISNUMBER($G642),$G642,$F642)&gt;=DATE(PlanYear,1,1)),1,0))</f>
        <v>0</v>
      </c>
      <c r="P642">
        <f>IF($N642=0,0,IF(AND($F642&lt;=EOMONTH(DATE(PlanYear,2,1),0),IF(ISNUMBER($G642),$G642,$F642)&gt;=DATE(PlanYear,2,1)),1,0))</f>
        <v>0</v>
      </c>
      <c r="Q642">
        <f>IF($N642=0,0,IF(AND($F642&lt;=EOMONTH(DATE(PlanYear,3,1),0),IF(ISNUMBER($G642),$G642,$F642)&gt;=DATE(PlanYear,3,1)),1,0))</f>
        <v>0</v>
      </c>
      <c r="R642">
        <f>IF($N642=0,0,IF(AND($F642&lt;=EOMONTH(DATE(PlanYear,4,1),0),IF(ISNUMBER($G642),$G642,$F642)&gt;=DATE(PlanYear,4,1)),1,0))</f>
        <v>0</v>
      </c>
      <c r="S642">
        <f>IF($N642=0,0,IF(AND($F642&lt;=EOMONTH(DATE(PlanYear,5,1),0),IF(ISNUMBER($G642),$G642,$F642)&gt;=DATE(PlanYear,5,1)),1,0))</f>
        <v>0</v>
      </c>
      <c r="T642">
        <f>IF($N642=0,0,IF(AND($F642&lt;=EOMONTH(DATE(PlanYear,6,1),0),IF(ISNUMBER($G642),$G642,$F642)&gt;=DATE(PlanYear,6,1)),1,0))</f>
        <v>0</v>
      </c>
      <c r="U642">
        <f>IF($N642=0,0,IF(AND($F642&lt;=EOMONTH(DATE(PlanYear,7,1),0),IF(ISNUMBER($G642),$G642,$F642)&gt;=DATE(PlanYear,7,1)),1,0))</f>
        <v>0</v>
      </c>
      <c r="V642">
        <f>IF($N642=0,0,IF(AND($F642&lt;=EOMONTH(DATE(PlanYear,8,1),0),IF(ISNUMBER($G642),$G642,$F642)&gt;=DATE(PlanYear,8,1)),1,0))</f>
        <v>0</v>
      </c>
      <c r="W642">
        <f>IF($N642=0,0,IF(AND($F642&lt;=EOMONTH(DATE(PlanYear,9,1),0),IF(ISNUMBER($G642),$G642,$F642)&gt;=DATE(PlanYear,9,1)),1,0))</f>
        <v>0</v>
      </c>
      <c r="X642">
        <f>IF($N642=0,0,IF(AND($F642&lt;=EOMONTH(DATE(PlanYear,10,1),0),IF(ISNUMBER($G642),$G642,$F642)&gt;=DATE(PlanYear,10,1)),1,0))</f>
        <v>0</v>
      </c>
      <c r="Y642">
        <f>IF($N642=0,0,IF(AND($F642&lt;=EOMONTH(DATE(PlanYear,11,1),0),IF(ISNUMBER($G642),$G642,$F642)&gt;=DATE(PlanYear,11,1)),1,0))</f>
        <v>0</v>
      </c>
      <c r="Z642">
        <f>IF($N642=0,0,IF(AND($F642&lt;=EOMONTH(DATE(PlanYear,12,1),0),IF(ISNUMBER($G642),$G642,$F642)&gt;=DATE(PlanYear,12,1)),1,0))</f>
        <v>0</v>
      </c>
      <c r="AA642">
        <f>SUM($O642:$Z642)</f>
        <v>0</v>
      </c>
    </row>
    <row r="643" spans="1:27">
      <c r="A643" s="42">
        <f>IF($B643="","","ACT-"&amp;TEXT(ROW()-4,"000"))</f>
        <v>0</v>
      </c>
      <c r="M643" s="43">
        <f>IF(COUNTA($B643:$K643)=0,"",IF($B643="","Missing activity name",IF($C643="","Missing practice",IF(COUNTIF(PracticeNames,$C643)=0,"Practice not in Lists",IF($D643="","Missing motion",IF(NOT(ISNUMBER($F643)),"Missing or invalid start date",IF(AND(ISNUMBER($G643),$G643&lt;$F643),"End date before start",IF(AND($N643=1,$AA643=0),"Outside planning year","OK"))))))))</f>
        <v>0</v>
      </c>
      <c r="N643">
        <f>IF(AND($B643&lt;&gt;"",$C643&lt;&gt;"",$D643&lt;&gt;"",ISNUMBER($F643),COUNTIF(PracticeNames,$C643)&gt;0,COUNTIF(MotionNames,$D643)&gt;0,NOT(AND(ISNUMBER($G643),$G643&lt;$F643))),IF(StatusFilter="All (excl. Cancelled)",IF($H643="Cancelled",0,1),IF(StatusFilter="All",1,IF($H643=StatusFilter,1,0))),0)</f>
        <v>0</v>
      </c>
      <c r="O643">
        <f>IF($N643=0,0,IF(AND($F643&lt;=EOMONTH(DATE(PlanYear,1,1),0),IF(ISNUMBER($G643),$G643,$F643)&gt;=DATE(PlanYear,1,1)),1,0))</f>
        <v>0</v>
      </c>
      <c r="P643">
        <f>IF($N643=0,0,IF(AND($F643&lt;=EOMONTH(DATE(PlanYear,2,1),0),IF(ISNUMBER($G643),$G643,$F643)&gt;=DATE(PlanYear,2,1)),1,0))</f>
        <v>0</v>
      </c>
      <c r="Q643">
        <f>IF($N643=0,0,IF(AND($F643&lt;=EOMONTH(DATE(PlanYear,3,1),0),IF(ISNUMBER($G643),$G643,$F643)&gt;=DATE(PlanYear,3,1)),1,0))</f>
        <v>0</v>
      </c>
      <c r="R643">
        <f>IF($N643=0,0,IF(AND($F643&lt;=EOMONTH(DATE(PlanYear,4,1),0),IF(ISNUMBER($G643),$G643,$F643)&gt;=DATE(PlanYear,4,1)),1,0))</f>
        <v>0</v>
      </c>
      <c r="S643">
        <f>IF($N643=0,0,IF(AND($F643&lt;=EOMONTH(DATE(PlanYear,5,1),0),IF(ISNUMBER($G643),$G643,$F643)&gt;=DATE(PlanYear,5,1)),1,0))</f>
        <v>0</v>
      </c>
      <c r="T643">
        <f>IF($N643=0,0,IF(AND($F643&lt;=EOMONTH(DATE(PlanYear,6,1),0),IF(ISNUMBER($G643),$G643,$F643)&gt;=DATE(PlanYear,6,1)),1,0))</f>
        <v>0</v>
      </c>
      <c r="U643">
        <f>IF($N643=0,0,IF(AND($F643&lt;=EOMONTH(DATE(PlanYear,7,1),0),IF(ISNUMBER($G643),$G643,$F643)&gt;=DATE(PlanYear,7,1)),1,0))</f>
        <v>0</v>
      </c>
      <c r="V643">
        <f>IF($N643=0,0,IF(AND($F643&lt;=EOMONTH(DATE(PlanYear,8,1),0),IF(ISNUMBER($G643),$G643,$F643)&gt;=DATE(PlanYear,8,1)),1,0))</f>
        <v>0</v>
      </c>
      <c r="W643">
        <f>IF($N643=0,0,IF(AND($F643&lt;=EOMONTH(DATE(PlanYear,9,1),0),IF(ISNUMBER($G643),$G643,$F643)&gt;=DATE(PlanYear,9,1)),1,0))</f>
        <v>0</v>
      </c>
      <c r="X643">
        <f>IF($N643=0,0,IF(AND($F643&lt;=EOMONTH(DATE(PlanYear,10,1),0),IF(ISNUMBER($G643),$G643,$F643)&gt;=DATE(PlanYear,10,1)),1,0))</f>
        <v>0</v>
      </c>
      <c r="Y643">
        <f>IF($N643=0,0,IF(AND($F643&lt;=EOMONTH(DATE(PlanYear,11,1),0),IF(ISNUMBER($G643),$G643,$F643)&gt;=DATE(PlanYear,11,1)),1,0))</f>
        <v>0</v>
      </c>
      <c r="Z643">
        <f>IF($N643=0,0,IF(AND($F643&lt;=EOMONTH(DATE(PlanYear,12,1),0),IF(ISNUMBER($G643),$G643,$F643)&gt;=DATE(PlanYear,12,1)),1,0))</f>
        <v>0</v>
      </c>
      <c r="AA643">
        <f>SUM($O643:$Z643)</f>
        <v>0</v>
      </c>
    </row>
    <row r="644" spans="1:27">
      <c r="A644" s="42">
        <f>IF($B644="","","ACT-"&amp;TEXT(ROW()-4,"000"))</f>
        <v>0</v>
      </c>
      <c r="M644" s="43">
        <f>IF(COUNTA($B644:$K644)=0,"",IF($B644="","Missing activity name",IF($C644="","Missing practice",IF(COUNTIF(PracticeNames,$C644)=0,"Practice not in Lists",IF($D644="","Missing motion",IF(NOT(ISNUMBER($F644)),"Missing or invalid start date",IF(AND(ISNUMBER($G644),$G644&lt;$F644),"End date before start",IF(AND($N644=1,$AA644=0),"Outside planning year","OK"))))))))</f>
        <v>0</v>
      </c>
      <c r="N644">
        <f>IF(AND($B644&lt;&gt;"",$C644&lt;&gt;"",$D644&lt;&gt;"",ISNUMBER($F644),COUNTIF(PracticeNames,$C644)&gt;0,COUNTIF(MotionNames,$D644)&gt;0,NOT(AND(ISNUMBER($G644),$G644&lt;$F644))),IF(StatusFilter="All (excl. Cancelled)",IF($H644="Cancelled",0,1),IF(StatusFilter="All",1,IF($H644=StatusFilter,1,0))),0)</f>
        <v>0</v>
      </c>
      <c r="O644">
        <f>IF($N644=0,0,IF(AND($F644&lt;=EOMONTH(DATE(PlanYear,1,1),0),IF(ISNUMBER($G644),$G644,$F644)&gt;=DATE(PlanYear,1,1)),1,0))</f>
        <v>0</v>
      </c>
      <c r="P644">
        <f>IF($N644=0,0,IF(AND($F644&lt;=EOMONTH(DATE(PlanYear,2,1),0),IF(ISNUMBER($G644),$G644,$F644)&gt;=DATE(PlanYear,2,1)),1,0))</f>
        <v>0</v>
      </c>
      <c r="Q644">
        <f>IF($N644=0,0,IF(AND($F644&lt;=EOMONTH(DATE(PlanYear,3,1),0),IF(ISNUMBER($G644),$G644,$F644)&gt;=DATE(PlanYear,3,1)),1,0))</f>
        <v>0</v>
      </c>
      <c r="R644">
        <f>IF($N644=0,0,IF(AND($F644&lt;=EOMONTH(DATE(PlanYear,4,1),0),IF(ISNUMBER($G644),$G644,$F644)&gt;=DATE(PlanYear,4,1)),1,0))</f>
        <v>0</v>
      </c>
      <c r="S644">
        <f>IF($N644=0,0,IF(AND($F644&lt;=EOMONTH(DATE(PlanYear,5,1),0),IF(ISNUMBER($G644),$G644,$F644)&gt;=DATE(PlanYear,5,1)),1,0))</f>
        <v>0</v>
      </c>
      <c r="T644">
        <f>IF($N644=0,0,IF(AND($F644&lt;=EOMONTH(DATE(PlanYear,6,1),0),IF(ISNUMBER($G644),$G644,$F644)&gt;=DATE(PlanYear,6,1)),1,0))</f>
        <v>0</v>
      </c>
      <c r="U644">
        <f>IF($N644=0,0,IF(AND($F644&lt;=EOMONTH(DATE(PlanYear,7,1),0),IF(ISNUMBER($G644),$G644,$F644)&gt;=DATE(PlanYear,7,1)),1,0))</f>
        <v>0</v>
      </c>
      <c r="V644">
        <f>IF($N644=0,0,IF(AND($F644&lt;=EOMONTH(DATE(PlanYear,8,1),0),IF(ISNUMBER($G644),$G644,$F644)&gt;=DATE(PlanYear,8,1)),1,0))</f>
        <v>0</v>
      </c>
      <c r="W644">
        <f>IF($N644=0,0,IF(AND($F644&lt;=EOMONTH(DATE(PlanYear,9,1),0),IF(ISNUMBER($G644),$G644,$F644)&gt;=DATE(PlanYear,9,1)),1,0))</f>
        <v>0</v>
      </c>
      <c r="X644">
        <f>IF($N644=0,0,IF(AND($F644&lt;=EOMONTH(DATE(PlanYear,10,1),0),IF(ISNUMBER($G644),$G644,$F644)&gt;=DATE(PlanYear,10,1)),1,0))</f>
        <v>0</v>
      </c>
      <c r="Y644">
        <f>IF($N644=0,0,IF(AND($F644&lt;=EOMONTH(DATE(PlanYear,11,1),0),IF(ISNUMBER($G644),$G644,$F644)&gt;=DATE(PlanYear,11,1)),1,0))</f>
        <v>0</v>
      </c>
      <c r="Z644">
        <f>IF($N644=0,0,IF(AND($F644&lt;=EOMONTH(DATE(PlanYear,12,1),0),IF(ISNUMBER($G644),$G644,$F644)&gt;=DATE(PlanYear,12,1)),1,0))</f>
        <v>0</v>
      </c>
      <c r="AA644">
        <f>SUM($O644:$Z644)</f>
        <v>0</v>
      </c>
    </row>
    <row r="645" spans="1:27">
      <c r="A645" s="42">
        <f>IF($B645="","","ACT-"&amp;TEXT(ROW()-4,"000"))</f>
        <v>0</v>
      </c>
      <c r="M645" s="43">
        <f>IF(COUNTA($B645:$K645)=0,"",IF($B645="","Missing activity name",IF($C645="","Missing practice",IF(COUNTIF(PracticeNames,$C645)=0,"Practice not in Lists",IF($D645="","Missing motion",IF(NOT(ISNUMBER($F645)),"Missing or invalid start date",IF(AND(ISNUMBER($G645),$G645&lt;$F645),"End date before start",IF(AND($N645=1,$AA645=0),"Outside planning year","OK"))))))))</f>
        <v>0</v>
      </c>
      <c r="N645">
        <f>IF(AND($B645&lt;&gt;"",$C645&lt;&gt;"",$D645&lt;&gt;"",ISNUMBER($F645),COUNTIF(PracticeNames,$C645)&gt;0,COUNTIF(MotionNames,$D645)&gt;0,NOT(AND(ISNUMBER($G645),$G645&lt;$F645))),IF(StatusFilter="All (excl. Cancelled)",IF($H645="Cancelled",0,1),IF(StatusFilter="All",1,IF($H645=StatusFilter,1,0))),0)</f>
        <v>0</v>
      </c>
      <c r="O645">
        <f>IF($N645=0,0,IF(AND($F645&lt;=EOMONTH(DATE(PlanYear,1,1),0),IF(ISNUMBER($G645),$G645,$F645)&gt;=DATE(PlanYear,1,1)),1,0))</f>
        <v>0</v>
      </c>
      <c r="P645">
        <f>IF($N645=0,0,IF(AND($F645&lt;=EOMONTH(DATE(PlanYear,2,1),0),IF(ISNUMBER($G645),$G645,$F645)&gt;=DATE(PlanYear,2,1)),1,0))</f>
        <v>0</v>
      </c>
      <c r="Q645">
        <f>IF($N645=0,0,IF(AND($F645&lt;=EOMONTH(DATE(PlanYear,3,1),0),IF(ISNUMBER($G645),$G645,$F645)&gt;=DATE(PlanYear,3,1)),1,0))</f>
        <v>0</v>
      </c>
      <c r="R645">
        <f>IF($N645=0,0,IF(AND($F645&lt;=EOMONTH(DATE(PlanYear,4,1),0),IF(ISNUMBER($G645),$G645,$F645)&gt;=DATE(PlanYear,4,1)),1,0))</f>
        <v>0</v>
      </c>
      <c r="S645">
        <f>IF($N645=0,0,IF(AND($F645&lt;=EOMONTH(DATE(PlanYear,5,1),0),IF(ISNUMBER($G645),$G645,$F645)&gt;=DATE(PlanYear,5,1)),1,0))</f>
        <v>0</v>
      </c>
      <c r="T645">
        <f>IF($N645=0,0,IF(AND($F645&lt;=EOMONTH(DATE(PlanYear,6,1),0),IF(ISNUMBER($G645),$G645,$F645)&gt;=DATE(PlanYear,6,1)),1,0))</f>
        <v>0</v>
      </c>
      <c r="U645">
        <f>IF($N645=0,0,IF(AND($F645&lt;=EOMONTH(DATE(PlanYear,7,1),0),IF(ISNUMBER($G645),$G645,$F645)&gt;=DATE(PlanYear,7,1)),1,0))</f>
        <v>0</v>
      </c>
      <c r="V645">
        <f>IF($N645=0,0,IF(AND($F645&lt;=EOMONTH(DATE(PlanYear,8,1),0),IF(ISNUMBER($G645),$G645,$F645)&gt;=DATE(PlanYear,8,1)),1,0))</f>
        <v>0</v>
      </c>
      <c r="W645">
        <f>IF($N645=0,0,IF(AND($F645&lt;=EOMONTH(DATE(PlanYear,9,1),0),IF(ISNUMBER($G645),$G645,$F645)&gt;=DATE(PlanYear,9,1)),1,0))</f>
        <v>0</v>
      </c>
      <c r="X645">
        <f>IF($N645=0,0,IF(AND($F645&lt;=EOMONTH(DATE(PlanYear,10,1),0),IF(ISNUMBER($G645),$G645,$F645)&gt;=DATE(PlanYear,10,1)),1,0))</f>
        <v>0</v>
      </c>
      <c r="Y645">
        <f>IF($N645=0,0,IF(AND($F645&lt;=EOMONTH(DATE(PlanYear,11,1),0),IF(ISNUMBER($G645),$G645,$F645)&gt;=DATE(PlanYear,11,1)),1,0))</f>
        <v>0</v>
      </c>
      <c r="Z645">
        <f>IF($N645=0,0,IF(AND($F645&lt;=EOMONTH(DATE(PlanYear,12,1),0),IF(ISNUMBER($G645),$G645,$F645)&gt;=DATE(PlanYear,12,1)),1,0))</f>
        <v>0</v>
      </c>
      <c r="AA645">
        <f>SUM($O645:$Z645)</f>
        <v>0</v>
      </c>
    </row>
    <row r="646" spans="1:27">
      <c r="A646" s="42">
        <f>IF($B646="","","ACT-"&amp;TEXT(ROW()-4,"000"))</f>
        <v>0</v>
      </c>
      <c r="M646" s="43">
        <f>IF(COUNTA($B646:$K646)=0,"",IF($B646="","Missing activity name",IF($C646="","Missing practice",IF(COUNTIF(PracticeNames,$C646)=0,"Practice not in Lists",IF($D646="","Missing motion",IF(NOT(ISNUMBER($F646)),"Missing or invalid start date",IF(AND(ISNUMBER($G646),$G646&lt;$F646),"End date before start",IF(AND($N646=1,$AA646=0),"Outside planning year","OK"))))))))</f>
        <v>0</v>
      </c>
      <c r="N646">
        <f>IF(AND($B646&lt;&gt;"",$C646&lt;&gt;"",$D646&lt;&gt;"",ISNUMBER($F646),COUNTIF(PracticeNames,$C646)&gt;0,COUNTIF(MotionNames,$D646)&gt;0,NOT(AND(ISNUMBER($G646),$G646&lt;$F646))),IF(StatusFilter="All (excl. Cancelled)",IF($H646="Cancelled",0,1),IF(StatusFilter="All",1,IF($H646=StatusFilter,1,0))),0)</f>
        <v>0</v>
      </c>
      <c r="O646">
        <f>IF($N646=0,0,IF(AND($F646&lt;=EOMONTH(DATE(PlanYear,1,1),0),IF(ISNUMBER($G646),$G646,$F646)&gt;=DATE(PlanYear,1,1)),1,0))</f>
        <v>0</v>
      </c>
      <c r="P646">
        <f>IF($N646=0,0,IF(AND($F646&lt;=EOMONTH(DATE(PlanYear,2,1),0),IF(ISNUMBER($G646),$G646,$F646)&gt;=DATE(PlanYear,2,1)),1,0))</f>
        <v>0</v>
      </c>
      <c r="Q646">
        <f>IF($N646=0,0,IF(AND($F646&lt;=EOMONTH(DATE(PlanYear,3,1),0),IF(ISNUMBER($G646),$G646,$F646)&gt;=DATE(PlanYear,3,1)),1,0))</f>
        <v>0</v>
      </c>
      <c r="R646">
        <f>IF($N646=0,0,IF(AND($F646&lt;=EOMONTH(DATE(PlanYear,4,1),0),IF(ISNUMBER($G646),$G646,$F646)&gt;=DATE(PlanYear,4,1)),1,0))</f>
        <v>0</v>
      </c>
      <c r="S646">
        <f>IF($N646=0,0,IF(AND($F646&lt;=EOMONTH(DATE(PlanYear,5,1),0),IF(ISNUMBER($G646),$G646,$F646)&gt;=DATE(PlanYear,5,1)),1,0))</f>
        <v>0</v>
      </c>
      <c r="T646">
        <f>IF($N646=0,0,IF(AND($F646&lt;=EOMONTH(DATE(PlanYear,6,1),0),IF(ISNUMBER($G646),$G646,$F646)&gt;=DATE(PlanYear,6,1)),1,0))</f>
        <v>0</v>
      </c>
      <c r="U646">
        <f>IF($N646=0,0,IF(AND($F646&lt;=EOMONTH(DATE(PlanYear,7,1),0),IF(ISNUMBER($G646),$G646,$F646)&gt;=DATE(PlanYear,7,1)),1,0))</f>
        <v>0</v>
      </c>
      <c r="V646">
        <f>IF($N646=0,0,IF(AND($F646&lt;=EOMONTH(DATE(PlanYear,8,1),0),IF(ISNUMBER($G646),$G646,$F646)&gt;=DATE(PlanYear,8,1)),1,0))</f>
        <v>0</v>
      </c>
      <c r="W646">
        <f>IF($N646=0,0,IF(AND($F646&lt;=EOMONTH(DATE(PlanYear,9,1),0),IF(ISNUMBER($G646),$G646,$F646)&gt;=DATE(PlanYear,9,1)),1,0))</f>
        <v>0</v>
      </c>
      <c r="X646">
        <f>IF($N646=0,0,IF(AND($F646&lt;=EOMONTH(DATE(PlanYear,10,1),0),IF(ISNUMBER($G646),$G646,$F646)&gt;=DATE(PlanYear,10,1)),1,0))</f>
        <v>0</v>
      </c>
      <c r="Y646">
        <f>IF($N646=0,0,IF(AND($F646&lt;=EOMONTH(DATE(PlanYear,11,1),0),IF(ISNUMBER($G646),$G646,$F646)&gt;=DATE(PlanYear,11,1)),1,0))</f>
        <v>0</v>
      </c>
      <c r="Z646">
        <f>IF($N646=0,0,IF(AND($F646&lt;=EOMONTH(DATE(PlanYear,12,1),0),IF(ISNUMBER($G646),$G646,$F646)&gt;=DATE(PlanYear,12,1)),1,0))</f>
        <v>0</v>
      </c>
      <c r="AA646">
        <f>SUM($O646:$Z646)</f>
        <v>0</v>
      </c>
    </row>
    <row r="647" spans="1:27">
      <c r="A647" s="42">
        <f>IF($B647="","","ACT-"&amp;TEXT(ROW()-4,"000"))</f>
        <v>0</v>
      </c>
      <c r="M647" s="43">
        <f>IF(COUNTA($B647:$K647)=0,"",IF($B647="","Missing activity name",IF($C647="","Missing practice",IF(COUNTIF(PracticeNames,$C647)=0,"Practice not in Lists",IF($D647="","Missing motion",IF(NOT(ISNUMBER($F647)),"Missing or invalid start date",IF(AND(ISNUMBER($G647),$G647&lt;$F647),"End date before start",IF(AND($N647=1,$AA647=0),"Outside planning year","OK"))))))))</f>
        <v>0</v>
      </c>
      <c r="N647">
        <f>IF(AND($B647&lt;&gt;"",$C647&lt;&gt;"",$D647&lt;&gt;"",ISNUMBER($F647),COUNTIF(PracticeNames,$C647)&gt;0,COUNTIF(MotionNames,$D647)&gt;0,NOT(AND(ISNUMBER($G647),$G647&lt;$F647))),IF(StatusFilter="All (excl. Cancelled)",IF($H647="Cancelled",0,1),IF(StatusFilter="All",1,IF($H647=StatusFilter,1,0))),0)</f>
        <v>0</v>
      </c>
      <c r="O647">
        <f>IF($N647=0,0,IF(AND($F647&lt;=EOMONTH(DATE(PlanYear,1,1),0),IF(ISNUMBER($G647),$G647,$F647)&gt;=DATE(PlanYear,1,1)),1,0))</f>
        <v>0</v>
      </c>
      <c r="P647">
        <f>IF($N647=0,0,IF(AND($F647&lt;=EOMONTH(DATE(PlanYear,2,1),0),IF(ISNUMBER($G647),$G647,$F647)&gt;=DATE(PlanYear,2,1)),1,0))</f>
        <v>0</v>
      </c>
      <c r="Q647">
        <f>IF($N647=0,0,IF(AND($F647&lt;=EOMONTH(DATE(PlanYear,3,1),0),IF(ISNUMBER($G647),$G647,$F647)&gt;=DATE(PlanYear,3,1)),1,0))</f>
        <v>0</v>
      </c>
      <c r="R647">
        <f>IF($N647=0,0,IF(AND($F647&lt;=EOMONTH(DATE(PlanYear,4,1),0),IF(ISNUMBER($G647),$G647,$F647)&gt;=DATE(PlanYear,4,1)),1,0))</f>
        <v>0</v>
      </c>
      <c r="S647">
        <f>IF($N647=0,0,IF(AND($F647&lt;=EOMONTH(DATE(PlanYear,5,1),0),IF(ISNUMBER($G647),$G647,$F647)&gt;=DATE(PlanYear,5,1)),1,0))</f>
        <v>0</v>
      </c>
      <c r="T647">
        <f>IF($N647=0,0,IF(AND($F647&lt;=EOMONTH(DATE(PlanYear,6,1),0),IF(ISNUMBER($G647),$G647,$F647)&gt;=DATE(PlanYear,6,1)),1,0))</f>
        <v>0</v>
      </c>
      <c r="U647">
        <f>IF($N647=0,0,IF(AND($F647&lt;=EOMONTH(DATE(PlanYear,7,1),0),IF(ISNUMBER($G647),$G647,$F647)&gt;=DATE(PlanYear,7,1)),1,0))</f>
        <v>0</v>
      </c>
      <c r="V647">
        <f>IF($N647=0,0,IF(AND($F647&lt;=EOMONTH(DATE(PlanYear,8,1),0),IF(ISNUMBER($G647),$G647,$F647)&gt;=DATE(PlanYear,8,1)),1,0))</f>
        <v>0</v>
      </c>
      <c r="W647">
        <f>IF($N647=0,0,IF(AND($F647&lt;=EOMONTH(DATE(PlanYear,9,1),0),IF(ISNUMBER($G647),$G647,$F647)&gt;=DATE(PlanYear,9,1)),1,0))</f>
        <v>0</v>
      </c>
      <c r="X647">
        <f>IF($N647=0,0,IF(AND($F647&lt;=EOMONTH(DATE(PlanYear,10,1),0),IF(ISNUMBER($G647),$G647,$F647)&gt;=DATE(PlanYear,10,1)),1,0))</f>
        <v>0</v>
      </c>
      <c r="Y647">
        <f>IF($N647=0,0,IF(AND($F647&lt;=EOMONTH(DATE(PlanYear,11,1),0),IF(ISNUMBER($G647),$G647,$F647)&gt;=DATE(PlanYear,11,1)),1,0))</f>
        <v>0</v>
      </c>
      <c r="Z647">
        <f>IF($N647=0,0,IF(AND($F647&lt;=EOMONTH(DATE(PlanYear,12,1),0),IF(ISNUMBER($G647),$G647,$F647)&gt;=DATE(PlanYear,12,1)),1,0))</f>
        <v>0</v>
      </c>
      <c r="AA647">
        <f>SUM($O647:$Z647)</f>
        <v>0</v>
      </c>
    </row>
    <row r="648" spans="1:27">
      <c r="A648" s="42">
        <f>IF($B648="","","ACT-"&amp;TEXT(ROW()-4,"000"))</f>
        <v>0</v>
      </c>
      <c r="M648" s="43">
        <f>IF(COUNTA($B648:$K648)=0,"",IF($B648="","Missing activity name",IF($C648="","Missing practice",IF(COUNTIF(PracticeNames,$C648)=0,"Practice not in Lists",IF($D648="","Missing motion",IF(NOT(ISNUMBER($F648)),"Missing or invalid start date",IF(AND(ISNUMBER($G648),$G648&lt;$F648),"End date before start",IF(AND($N648=1,$AA648=0),"Outside planning year","OK"))))))))</f>
        <v>0</v>
      </c>
      <c r="N648">
        <f>IF(AND($B648&lt;&gt;"",$C648&lt;&gt;"",$D648&lt;&gt;"",ISNUMBER($F648),COUNTIF(PracticeNames,$C648)&gt;0,COUNTIF(MotionNames,$D648)&gt;0,NOT(AND(ISNUMBER($G648),$G648&lt;$F648))),IF(StatusFilter="All (excl. Cancelled)",IF($H648="Cancelled",0,1),IF(StatusFilter="All",1,IF($H648=StatusFilter,1,0))),0)</f>
        <v>0</v>
      </c>
      <c r="O648">
        <f>IF($N648=0,0,IF(AND($F648&lt;=EOMONTH(DATE(PlanYear,1,1),0),IF(ISNUMBER($G648),$G648,$F648)&gt;=DATE(PlanYear,1,1)),1,0))</f>
        <v>0</v>
      </c>
      <c r="P648">
        <f>IF($N648=0,0,IF(AND($F648&lt;=EOMONTH(DATE(PlanYear,2,1),0),IF(ISNUMBER($G648),$G648,$F648)&gt;=DATE(PlanYear,2,1)),1,0))</f>
        <v>0</v>
      </c>
      <c r="Q648">
        <f>IF($N648=0,0,IF(AND($F648&lt;=EOMONTH(DATE(PlanYear,3,1),0),IF(ISNUMBER($G648),$G648,$F648)&gt;=DATE(PlanYear,3,1)),1,0))</f>
        <v>0</v>
      </c>
      <c r="R648">
        <f>IF($N648=0,0,IF(AND($F648&lt;=EOMONTH(DATE(PlanYear,4,1),0),IF(ISNUMBER($G648),$G648,$F648)&gt;=DATE(PlanYear,4,1)),1,0))</f>
        <v>0</v>
      </c>
      <c r="S648">
        <f>IF($N648=0,0,IF(AND($F648&lt;=EOMONTH(DATE(PlanYear,5,1),0),IF(ISNUMBER($G648),$G648,$F648)&gt;=DATE(PlanYear,5,1)),1,0))</f>
        <v>0</v>
      </c>
      <c r="T648">
        <f>IF($N648=0,0,IF(AND($F648&lt;=EOMONTH(DATE(PlanYear,6,1),0),IF(ISNUMBER($G648),$G648,$F648)&gt;=DATE(PlanYear,6,1)),1,0))</f>
        <v>0</v>
      </c>
      <c r="U648">
        <f>IF($N648=0,0,IF(AND($F648&lt;=EOMONTH(DATE(PlanYear,7,1),0),IF(ISNUMBER($G648),$G648,$F648)&gt;=DATE(PlanYear,7,1)),1,0))</f>
        <v>0</v>
      </c>
      <c r="V648">
        <f>IF($N648=0,0,IF(AND($F648&lt;=EOMONTH(DATE(PlanYear,8,1),0),IF(ISNUMBER($G648),$G648,$F648)&gt;=DATE(PlanYear,8,1)),1,0))</f>
        <v>0</v>
      </c>
      <c r="W648">
        <f>IF($N648=0,0,IF(AND($F648&lt;=EOMONTH(DATE(PlanYear,9,1),0),IF(ISNUMBER($G648),$G648,$F648)&gt;=DATE(PlanYear,9,1)),1,0))</f>
        <v>0</v>
      </c>
      <c r="X648">
        <f>IF($N648=0,0,IF(AND($F648&lt;=EOMONTH(DATE(PlanYear,10,1),0),IF(ISNUMBER($G648),$G648,$F648)&gt;=DATE(PlanYear,10,1)),1,0))</f>
        <v>0</v>
      </c>
      <c r="Y648">
        <f>IF($N648=0,0,IF(AND($F648&lt;=EOMONTH(DATE(PlanYear,11,1),0),IF(ISNUMBER($G648),$G648,$F648)&gt;=DATE(PlanYear,11,1)),1,0))</f>
        <v>0</v>
      </c>
      <c r="Z648">
        <f>IF($N648=0,0,IF(AND($F648&lt;=EOMONTH(DATE(PlanYear,12,1),0),IF(ISNUMBER($G648),$G648,$F648)&gt;=DATE(PlanYear,12,1)),1,0))</f>
        <v>0</v>
      </c>
      <c r="AA648">
        <f>SUM($O648:$Z648)</f>
        <v>0</v>
      </c>
    </row>
    <row r="649" spans="1:27">
      <c r="A649" s="42">
        <f>IF($B649="","","ACT-"&amp;TEXT(ROW()-4,"000"))</f>
        <v>0</v>
      </c>
      <c r="M649" s="43">
        <f>IF(COUNTA($B649:$K649)=0,"",IF($B649="","Missing activity name",IF($C649="","Missing practice",IF(COUNTIF(PracticeNames,$C649)=0,"Practice not in Lists",IF($D649="","Missing motion",IF(NOT(ISNUMBER($F649)),"Missing or invalid start date",IF(AND(ISNUMBER($G649),$G649&lt;$F649),"End date before start",IF(AND($N649=1,$AA649=0),"Outside planning year","OK"))))))))</f>
        <v>0</v>
      </c>
      <c r="N649">
        <f>IF(AND($B649&lt;&gt;"",$C649&lt;&gt;"",$D649&lt;&gt;"",ISNUMBER($F649),COUNTIF(PracticeNames,$C649)&gt;0,COUNTIF(MotionNames,$D649)&gt;0,NOT(AND(ISNUMBER($G649),$G649&lt;$F649))),IF(StatusFilter="All (excl. Cancelled)",IF($H649="Cancelled",0,1),IF(StatusFilter="All",1,IF($H649=StatusFilter,1,0))),0)</f>
        <v>0</v>
      </c>
      <c r="O649">
        <f>IF($N649=0,0,IF(AND($F649&lt;=EOMONTH(DATE(PlanYear,1,1),0),IF(ISNUMBER($G649),$G649,$F649)&gt;=DATE(PlanYear,1,1)),1,0))</f>
        <v>0</v>
      </c>
      <c r="P649">
        <f>IF($N649=0,0,IF(AND($F649&lt;=EOMONTH(DATE(PlanYear,2,1),0),IF(ISNUMBER($G649),$G649,$F649)&gt;=DATE(PlanYear,2,1)),1,0))</f>
        <v>0</v>
      </c>
      <c r="Q649">
        <f>IF($N649=0,0,IF(AND($F649&lt;=EOMONTH(DATE(PlanYear,3,1),0),IF(ISNUMBER($G649),$G649,$F649)&gt;=DATE(PlanYear,3,1)),1,0))</f>
        <v>0</v>
      </c>
      <c r="R649">
        <f>IF($N649=0,0,IF(AND($F649&lt;=EOMONTH(DATE(PlanYear,4,1),0),IF(ISNUMBER($G649),$G649,$F649)&gt;=DATE(PlanYear,4,1)),1,0))</f>
        <v>0</v>
      </c>
      <c r="S649">
        <f>IF($N649=0,0,IF(AND($F649&lt;=EOMONTH(DATE(PlanYear,5,1),0),IF(ISNUMBER($G649),$G649,$F649)&gt;=DATE(PlanYear,5,1)),1,0))</f>
        <v>0</v>
      </c>
      <c r="T649">
        <f>IF($N649=0,0,IF(AND($F649&lt;=EOMONTH(DATE(PlanYear,6,1),0),IF(ISNUMBER($G649),$G649,$F649)&gt;=DATE(PlanYear,6,1)),1,0))</f>
        <v>0</v>
      </c>
      <c r="U649">
        <f>IF($N649=0,0,IF(AND($F649&lt;=EOMONTH(DATE(PlanYear,7,1),0),IF(ISNUMBER($G649),$G649,$F649)&gt;=DATE(PlanYear,7,1)),1,0))</f>
        <v>0</v>
      </c>
      <c r="V649">
        <f>IF($N649=0,0,IF(AND($F649&lt;=EOMONTH(DATE(PlanYear,8,1),0),IF(ISNUMBER($G649),$G649,$F649)&gt;=DATE(PlanYear,8,1)),1,0))</f>
        <v>0</v>
      </c>
      <c r="W649">
        <f>IF($N649=0,0,IF(AND($F649&lt;=EOMONTH(DATE(PlanYear,9,1),0),IF(ISNUMBER($G649),$G649,$F649)&gt;=DATE(PlanYear,9,1)),1,0))</f>
        <v>0</v>
      </c>
      <c r="X649">
        <f>IF($N649=0,0,IF(AND($F649&lt;=EOMONTH(DATE(PlanYear,10,1),0),IF(ISNUMBER($G649),$G649,$F649)&gt;=DATE(PlanYear,10,1)),1,0))</f>
        <v>0</v>
      </c>
      <c r="Y649">
        <f>IF($N649=0,0,IF(AND($F649&lt;=EOMONTH(DATE(PlanYear,11,1),0),IF(ISNUMBER($G649),$G649,$F649)&gt;=DATE(PlanYear,11,1)),1,0))</f>
        <v>0</v>
      </c>
      <c r="Z649">
        <f>IF($N649=0,0,IF(AND($F649&lt;=EOMONTH(DATE(PlanYear,12,1),0),IF(ISNUMBER($G649),$G649,$F649)&gt;=DATE(PlanYear,12,1)),1,0))</f>
        <v>0</v>
      </c>
      <c r="AA649">
        <f>SUM($O649:$Z649)</f>
        <v>0</v>
      </c>
    </row>
    <row r="650" spans="1:27">
      <c r="A650" s="42">
        <f>IF($B650="","","ACT-"&amp;TEXT(ROW()-4,"000"))</f>
        <v>0</v>
      </c>
      <c r="M650" s="43">
        <f>IF(COUNTA($B650:$K650)=0,"",IF($B650="","Missing activity name",IF($C650="","Missing practice",IF(COUNTIF(PracticeNames,$C650)=0,"Practice not in Lists",IF($D650="","Missing motion",IF(NOT(ISNUMBER($F650)),"Missing or invalid start date",IF(AND(ISNUMBER($G650),$G650&lt;$F650),"End date before start",IF(AND($N650=1,$AA650=0),"Outside planning year","OK"))))))))</f>
        <v>0</v>
      </c>
      <c r="N650">
        <f>IF(AND($B650&lt;&gt;"",$C650&lt;&gt;"",$D650&lt;&gt;"",ISNUMBER($F650),COUNTIF(PracticeNames,$C650)&gt;0,COUNTIF(MotionNames,$D650)&gt;0,NOT(AND(ISNUMBER($G650),$G650&lt;$F650))),IF(StatusFilter="All (excl. Cancelled)",IF($H650="Cancelled",0,1),IF(StatusFilter="All",1,IF($H650=StatusFilter,1,0))),0)</f>
        <v>0</v>
      </c>
      <c r="O650">
        <f>IF($N650=0,0,IF(AND($F650&lt;=EOMONTH(DATE(PlanYear,1,1),0),IF(ISNUMBER($G650),$G650,$F650)&gt;=DATE(PlanYear,1,1)),1,0))</f>
        <v>0</v>
      </c>
      <c r="P650">
        <f>IF($N650=0,0,IF(AND($F650&lt;=EOMONTH(DATE(PlanYear,2,1),0),IF(ISNUMBER($G650),$G650,$F650)&gt;=DATE(PlanYear,2,1)),1,0))</f>
        <v>0</v>
      </c>
      <c r="Q650">
        <f>IF($N650=0,0,IF(AND($F650&lt;=EOMONTH(DATE(PlanYear,3,1),0),IF(ISNUMBER($G650),$G650,$F650)&gt;=DATE(PlanYear,3,1)),1,0))</f>
        <v>0</v>
      </c>
      <c r="R650">
        <f>IF($N650=0,0,IF(AND($F650&lt;=EOMONTH(DATE(PlanYear,4,1),0),IF(ISNUMBER($G650),$G650,$F650)&gt;=DATE(PlanYear,4,1)),1,0))</f>
        <v>0</v>
      </c>
      <c r="S650">
        <f>IF($N650=0,0,IF(AND($F650&lt;=EOMONTH(DATE(PlanYear,5,1),0),IF(ISNUMBER($G650),$G650,$F650)&gt;=DATE(PlanYear,5,1)),1,0))</f>
        <v>0</v>
      </c>
      <c r="T650">
        <f>IF($N650=0,0,IF(AND($F650&lt;=EOMONTH(DATE(PlanYear,6,1),0),IF(ISNUMBER($G650),$G650,$F650)&gt;=DATE(PlanYear,6,1)),1,0))</f>
        <v>0</v>
      </c>
      <c r="U650">
        <f>IF($N650=0,0,IF(AND($F650&lt;=EOMONTH(DATE(PlanYear,7,1),0),IF(ISNUMBER($G650),$G650,$F650)&gt;=DATE(PlanYear,7,1)),1,0))</f>
        <v>0</v>
      </c>
      <c r="V650">
        <f>IF($N650=0,0,IF(AND($F650&lt;=EOMONTH(DATE(PlanYear,8,1),0),IF(ISNUMBER($G650),$G650,$F650)&gt;=DATE(PlanYear,8,1)),1,0))</f>
        <v>0</v>
      </c>
      <c r="W650">
        <f>IF($N650=0,0,IF(AND($F650&lt;=EOMONTH(DATE(PlanYear,9,1),0),IF(ISNUMBER($G650),$G650,$F650)&gt;=DATE(PlanYear,9,1)),1,0))</f>
        <v>0</v>
      </c>
      <c r="X650">
        <f>IF($N650=0,0,IF(AND($F650&lt;=EOMONTH(DATE(PlanYear,10,1),0),IF(ISNUMBER($G650),$G650,$F650)&gt;=DATE(PlanYear,10,1)),1,0))</f>
        <v>0</v>
      </c>
      <c r="Y650">
        <f>IF($N650=0,0,IF(AND($F650&lt;=EOMONTH(DATE(PlanYear,11,1),0),IF(ISNUMBER($G650),$G650,$F650)&gt;=DATE(PlanYear,11,1)),1,0))</f>
        <v>0</v>
      </c>
      <c r="Z650">
        <f>IF($N650=0,0,IF(AND($F650&lt;=EOMONTH(DATE(PlanYear,12,1),0),IF(ISNUMBER($G650),$G650,$F650)&gt;=DATE(PlanYear,12,1)),1,0))</f>
        <v>0</v>
      </c>
      <c r="AA650">
        <f>SUM($O650:$Z650)</f>
        <v>0</v>
      </c>
    </row>
    <row r="651" spans="1:27">
      <c r="A651" s="42">
        <f>IF($B651="","","ACT-"&amp;TEXT(ROW()-4,"000"))</f>
        <v>0</v>
      </c>
      <c r="M651" s="43">
        <f>IF(COUNTA($B651:$K651)=0,"",IF($B651="","Missing activity name",IF($C651="","Missing practice",IF(COUNTIF(PracticeNames,$C651)=0,"Practice not in Lists",IF($D651="","Missing motion",IF(NOT(ISNUMBER($F651)),"Missing or invalid start date",IF(AND(ISNUMBER($G651),$G651&lt;$F651),"End date before start",IF(AND($N651=1,$AA651=0),"Outside planning year","OK"))))))))</f>
        <v>0</v>
      </c>
      <c r="N651">
        <f>IF(AND($B651&lt;&gt;"",$C651&lt;&gt;"",$D651&lt;&gt;"",ISNUMBER($F651),COUNTIF(PracticeNames,$C651)&gt;0,COUNTIF(MotionNames,$D651)&gt;0,NOT(AND(ISNUMBER($G651),$G651&lt;$F651))),IF(StatusFilter="All (excl. Cancelled)",IF($H651="Cancelled",0,1),IF(StatusFilter="All",1,IF($H651=StatusFilter,1,0))),0)</f>
        <v>0</v>
      </c>
      <c r="O651">
        <f>IF($N651=0,0,IF(AND($F651&lt;=EOMONTH(DATE(PlanYear,1,1),0),IF(ISNUMBER($G651),$G651,$F651)&gt;=DATE(PlanYear,1,1)),1,0))</f>
        <v>0</v>
      </c>
      <c r="P651">
        <f>IF($N651=0,0,IF(AND($F651&lt;=EOMONTH(DATE(PlanYear,2,1),0),IF(ISNUMBER($G651),$G651,$F651)&gt;=DATE(PlanYear,2,1)),1,0))</f>
        <v>0</v>
      </c>
      <c r="Q651">
        <f>IF($N651=0,0,IF(AND($F651&lt;=EOMONTH(DATE(PlanYear,3,1),0),IF(ISNUMBER($G651),$G651,$F651)&gt;=DATE(PlanYear,3,1)),1,0))</f>
        <v>0</v>
      </c>
      <c r="R651">
        <f>IF($N651=0,0,IF(AND($F651&lt;=EOMONTH(DATE(PlanYear,4,1),0),IF(ISNUMBER($G651),$G651,$F651)&gt;=DATE(PlanYear,4,1)),1,0))</f>
        <v>0</v>
      </c>
      <c r="S651">
        <f>IF($N651=0,0,IF(AND($F651&lt;=EOMONTH(DATE(PlanYear,5,1),0),IF(ISNUMBER($G651),$G651,$F651)&gt;=DATE(PlanYear,5,1)),1,0))</f>
        <v>0</v>
      </c>
      <c r="T651">
        <f>IF($N651=0,0,IF(AND($F651&lt;=EOMONTH(DATE(PlanYear,6,1),0),IF(ISNUMBER($G651),$G651,$F651)&gt;=DATE(PlanYear,6,1)),1,0))</f>
        <v>0</v>
      </c>
      <c r="U651">
        <f>IF($N651=0,0,IF(AND($F651&lt;=EOMONTH(DATE(PlanYear,7,1),0),IF(ISNUMBER($G651),$G651,$F651)&gt;=DATE(PlanYear,7,1)),1,0))</f>
        <v>0</v>
      </c>
      <c r="V651">
        <f>IF($N651=0,0,IF(AND($F651&lt;=EOMONTH(DATE(PlanYear,8,1),0),IF(ISNUMBER($G651),$G651,$F651)&gt;=DATE(PlanYear,8,1)),1,0))</f>
        <v>0</v>
      </c>
      <c r="W651">
        <f>IF($N651=0,0,IF(AND($F651&lt;=EOMONTH(DATE(PlanYear,9,1),0),IF(ISNUMBER($G651),$G651,$F651)&gt;=DATE(PlanYear,9,1)),1,0))</f>
        <v>0</v>
      </c>
      <c r="X651">
        <f>IF($N651=0,0,IF(AND($F651&lt;=EOMONTH(DATE(PlanYear,10,1),0),IF(ISNUMBER($G651),$G651,$F651)&gt;=DATE(PlanYear,10,1)),1,0))</f>
        <v>0</v>
      </c>
      <c r="Y651">
        <f>IF($N651=0,0,IF(AND($F651&lt;=EOMONTH(DATE(PlanYear,11,1),0),IF(ISNUMBER($G651),$G651,$F651)&gt;=DATE(PlanYear,11,1)),1,0))</f>
        <v>0</v>
      </c>
      <c r="Z651">
        <f>IF($N651=0,0,IF(AND($F651&lt;=EOMONTH(DATE(PlanYear,12,1),0),IF(ISNUMBER($G651),$G651,$F651)&gt;=DATE(PlanYear,12,1)),1,0))</f>
        <v>0</v>
      </c>
      <c r="AA651">
        <f>SUM($O651:$Z651)</f>
        <v>0</v>
      </c>
    </row>
    <row r="652" spans="1:27">
      <c r="A652" s="42">
        <f>IF($B652="","","ACT-"&amp;TEXT(ROW()-4,"000"))</f>
        <v>0</v>
      </c>
      <c r="M652" s="43">
        <f>IF(COUNTA($B652:$K652)=0,"",IF($B652="","Missing activity name",IF($C652="","Missing practice",IF(COUNTIF(PracticeNames,$C652)=0,"Practice not in Lists",IF($D652="","Missing motion",IF(NOT(ISNUMBER($F652)),"Missing or invalid start date",IF(AND(ISNUMBER($G652),$G652&lt;$F652),"End date before start",IF(AND($N652=1,$AA652=0),"Outside planning year","OK"))))))))</f>
        <v>0</v>
      </c>
      <c r="N652">
        <f>IF(AND($B652&lt;&gt;"",$C652&lt;&gt;"",$D652&lt;&gt;"",ISNUMBER($F652),COUNTIF(PracticeNames,$C652)&gt;0,COUNTIF(MotionNames,$D652)&gt;0,NOT(AND(ISNUMBER($G652),$G652&lt;$F652))),IF(StatusFilter="All (excl. Cancelled)",IF($H652="Cancelled",0,1),IF(StatusFilter="All",1,IF($H652=StatusFilter,1,0))),0)</f>
        <v>0</v>
      </c>
      <c r="O652">
        <f>IF($N652=0,0,IF(AND($F652&lt;=EOMONTH(DATE(PlanYear,1,1),0),IF(ISNUMBER($G652),$G652,$F652)&gt;=DATE(PlanYear,1,1)),1,0))</f>
        <v>0</v>
      </c>
      <c r="P652">
        <f>IF($N652=0,0,IF(AND($F652&lt;=EOMONTH(DATE(PlanYear,2,1),0),IF(ISNUMBER($G652),$G652,$F652)&gt;=DATE(PlanYear,2,1)),1,0))</f>
        <v>0</v>
      </c>
      <c r="Q652">
        <f>IF($N652=0,0,IF(AND($F652&lt;=EOMONTH(DATE(PlanYear,3,1),0),IF(ISNUMBER($G652),$G652,$F652)&gt;=DATE(PlanYear,3,1)),1,0))</f>
        <v>0</v>
      </c>
      <c r="R652">
        <f>IF($N652=0,0,IF(AND($F652&lt;=EOMONTH(DATE(PlanYear,4,1),0),IF(ISNUMBER($G652),$G652,$F652)&gt;=DATE(PlanYear,4,1)),1,0))</f>
        <v>0</v>
      </c>
      <c r="S652">
        <f>IF($N652=0,0,IF(AND($F652&lt;=EOMONTH(DATE(PlanYear,5,1),0),IF(ISNUMBER($G652),$G652,$F652)&gt;=DATE(PlanYear,5,1)),1,0))</f>
        <v>0</v>
      </c>
      <c r="T652">
        <f>IF($N652=0,0,IF(AND($F652&lt;=EOMONTH(DATE(PlanYear,6,1),0),IF(ISNUMBER($G652),$G652,$F652)&gt;=DATE(PlanYear,6,1)),1,0))</f>
        <v>0</v>
      </c>
      <c r="U652">
        <f>IF($N652=0,0,IF(AND($F652&lt;=EOMONTH(DATE(PlanYear,7,1),0),IF(ISNUMBER($G652),$G652,$F652)&gt;=DATE(PlanYear,7,1)),1,0))</f>
        <v>0</v>
      </c>
      <c r="V652">
        <f>IF($N652=0,0,IF(AND($F652&lt;=EOMONTH(DATE(PlanYear,8,1),0),IF(ISNUMBER($G652),$G652,$F652)&gt;=DATE(PlanYear,8,1)),1,0))</f>
        <v>0</v>
      </c>
      <c r="W652">
        <f>IF($N652=0,0,IF(AND($F652&lt;=EOMONTH(DATE(PlanYear,9,1),0),IF(ISNUMBER($G652),$G652,$F652)&gt;=DATE(PlanYear,9,1)),1,0))</f>
        <v>0</v>
      </c>
      <c r="X652">
        <f>IF($N652=0,0,IF(AND($F652&lt;=EOMONTH(DATE(PlanYear,10,1),0),IF(ISNUMBER($G652),$G652,$F652)&gt;=DATE(PlanYear,10,1)),1,0))</f>
        <v>0</v>
      </c>
      <c r="Y652">
        <f>IF($N652=0,0,IF(AND($F652&lt;=EOMONTH(DATE(PlanYear,11,1),0),IF(ISNUMBER($G652),$G652,$F652)&gt;=DATE(PlanYear,11,1)),1,0))</f>
        <v>0</v>
      </c>
      <c r="Z652">
        <f>IF($N652=0,0,IF(AND($F652&lt;=EOMONTH(DATE(PlanYear,12,1),0),IF(ISNUMBER($G652),$G652,$F652)&gt;=DATE(PlanYear,12,1)),1,0))</f>
        <v>0</v>
      </c>
      <c r="AA652">
        <f>SUM($O652:$Z652)</f>
        <v>0</v>
      </c>
    </row>
    <row r="653" spans="1:27">
      <c r="A653" s="42">
        <f>IF($B653="","","ACT-"&amp;TEXT(ROW()-4,"000"))</f>
        <v>0</v>
      </c>
      <c r="M653" s="43">
        <f>IF(COUNTA($B653:$K653)=0,"",IF($B653="","Missing activity name",IF($C653="","Missing practice",IF(COUNTIF(PracticeNames,$C653)=0,"Practice not in Lists",IF($D653="","Missing motion",IF(NOT(ISNUMBER($F653)),"Missing or invalid start date",IF(AND(ISNUMBER($G653),$G653&lt;$F653),"End date before start",IF(AND($N653=1,$AA653=0),"Outside planning year","OK"))))))))</f>
        <v>0</v>
      </c>
      <c r="N653">
        <f>IF(AND($B653&lt;&gt;"",$C653&lt;&gt;"",$D653&lt;&gt;"",ISNUMBER($F653),COUNTIF(PracticeNames,$C653)&gt;0,COUNTIF(MotionNames,$D653)&gt;0,NOT(AND(ISNUMBER($G653),$G653&lt;$F653))),IF(StatusFilter="All (excl. Cancelled)",IF($H653="Cancelled",0,1),IF(StatusFilter="All",1,IF($H653=StatusFilter,1,0))),0)</f>
        <v>0</v>
      </c>
      <c r="O653">
        <f>IF($N653=0,0,IF(AND($F653&lt;=EOMONTH(DATE(PlanYear,1,1),0),IF(ISNUMBER($G653),$G653,$F653)&gt;=DATE(PlanYear,1,1)),1,0))</f>
        <v>0</v>
      </c>
      <c r="P653">
        <f>IF($N653=0,0,IF(AND($F653&lt;=EOMONTH(DATE(PlanYear,2,1),0),IF(ISNUMBER($G653),$G653,$F653)&gt;=DATE(PlanYear,2,1)),1,0))</f>
        <v>0</v>
      </c>
      <c r="Q653">
        <f>IF($N653=0,0,IF(AND($F653&lt;=EOMONTH(DATE(PlanYear,3,1),0),IF(ISNUMBER($G653),$G653,$F653)&gt;=DATE(PlanYear,3,1)),1,0))</f>
        <v>0</v>
      </c>
      <c r="R653">
        <f>IF($N653=0,0,IF(AND($F653&lt;=EOMONTH(DATE(PlanYear,4,1),0),IF(ISNUMBER($G653),$G653,$F653)&gt;=DATE(PlanYear,4,1)),1,0))</f>
        <v>0</v>
      </c>
      <c r="S653">
        <f>IF($N653=0,0,IF(AND($F653&lt;=EOMONTH(DATE(PlanYear,5,1),0),IF(ISNUMBER($G653),$G653,$F653)&gt;=DATE(PlanYear,5,1)),1,0))</f>
        <v>0</v>
      </c>
      <c r="T653">
        <f>IF($N653=0,0,IF(AND($F653&lt;=EOMONTH(DATE(PlanYear,6,1),0),IF(ISNUMBER($G653),$G653,$F653)&gt;=DATE(PlanYear,6,1)),1,0))</f>
        <v>0</v>
      </c>
      <c r="U653">
        <f>IF($N653=0,0,IF(AND($F653&lt;=EOMONTH(DATE(PlanYear,7,1),0),IF(ISNUMBER($G653),$G653,$F653)&gt;=DATE(PlanYear,7,1)),1,0))</f>
        <v>0</v>
      </c>
      <c r="V653">
        <f>IF($N653=0,0,IF(AND($F653&lt;=EOMONTH(DATE(PlanYear,8,1),0),IF(ISNUMBER($G653),$G653,$F653)&gt;=DATE(PlanYear,8,1)),1,0))</f>
        <v>0</v>
      </c>
      <c r="W653">
        <f>IF($N653=0,0,IF(AND($F653&lt;=EOMONTH(DATE(PlanYear,9,1),0),IF(ISNUMBER($G653),$G653,$F653)&gt;=DATE(PlanYear,9,1)),1,0))</f>
        <v>0</v>
      </c>
      <c r="X653">
        <f>IF($N653=0,0,IF(AND($F653&lt;=EOMONTH(DATE(PlanYear,10,1),0),IF(ISNUMBER($G653),$G653,$F653)&gt;=DATE(PlanYear,10,1)),1,0))</f>
        <v>0</v>
      </c>
      <c r="Y653">
        <f>IF($N653=0,0,IF(AND($F653&lt;=EOMONTH(DATE(PlanYear,11,1),0),IF(ISNUMBER($G653),$G653,$F653)&gt;=DATE(PlanYear,11,1)),1,0))</f>
        <v>0</v>
      </c>
      <c r="Z653">
        <f>IF($N653=0,0,IF(AND($F653&lt;=EOMONTH(DATE(PlanYear,12,1),0),IF(ISNUMBER($G653),$G653,$F653)&gt;=DATE(PlanYear,12,1)),1,0))</f>
        <v>0</v>
      </c>
      <c r="AA653">
        <f>SUM($O653:$Z653)</f>
        <v>0</v>
      </c>
    </row>
    <row r="654" spans="1:27">
      <c r="A654" s="42">
        <f>IF($B654="","","ACT-"&amp;TEXT(ROW()-4,"000"))</f>
        <v>0</v>
      </c>
      <c r="M654" s="43">
        <f>IF(COUNTA($B654:$K654)=0,"",IF($B654="","Missing activity name",IF($C654="","Missing practice",IF(COUNTIF(PracticeNames,$C654)=0,"Practice not in Lists",IF($D654="","Missing motion",IF(NOT(ISNUMBER($F654)),"Missing or invalid start date",IF(AND(ISNUMBER($G654),$G654&lt;$F654),"End date before start",IF(AND($N654=1,$AA654=0),"Outside planning year","OK"))))))))</f>
        <v>0</v>
      </c>
      <c r="N654">
        <f>IF(AND($B654&lt;&gt;"",$C654&lt;&gt;"",$D654&lt;&gt;"",ISNUMBER($F654),COUNTIF(PracticeNames,$C654)&gt;0,COUNTIF(MotionNames,$D654)&gt;0,NOT(AND(ISNUMBER($G654),$G654&lt;$F654))),IF(StatusFilter="All (excl. Cancelled)",IF($H654="Cancelled",0,1),IF(StatusFilter="All",1,IF($H654=StatusFilter,1,0))),0)</f>
        <v>0</v>
      </c>
      <c r="O654">
        <f>IF($N654=0,0,IF(AND($F654&lt;=EOMONTH(DATE(PlanYear,1,1),0),IF(ISNUMBER($G654),$G654,$F654)&gt;=DATE(PlanYear,1,1)),1,0))</f>
        <v>0</v>
      </c>
      <c r="P654">
        <f>IF($N654=0,0,IF(AND($F654&lt;=EOMONTH(DATE(PlanYear,2,1),0),IF(ISNUMBER($G654),$G654,$F654)&gt;=DATE(PlanYear,2,1)),1,0))</f>
        <v>0</v>
      </c>
      <c r="Q654">
        <f>IF($N654=0,0,IF(AND($F654&lt;=EOMONTH(DATE(PlanYear,3,1),0),IF(ISNUMBER($G654),$G654,$F654)&gt;=DATE(PlanYear,3,1)),1,0))</f>
        <v>0</v>
      </c>
      <c r="R654">
        <f>IF($N654=0,0,IF(AND($F654&lt;=EOMONTH(DATE(PlanYear,4,1),0),IF(ISNUMBER($G654),$G654,$F654)&gt;=DATE(PlanYear,4,1)),1,0))</f>
        <v>0</v>
      </c>
      <c r="S654">
        <f>IF($N654=0,0,IF(AND($F654&lt;=EOMONTH(DATE(PlanYear,5,1),0),IF(ISNUMBER($G654),$G654,$F654)&gt;=DATE(PlanYear,5,1)),1,0))</f>
        <v>0</v>
      </c>
      <c r="T654">
        <f>IF($N654=0,0,IF(AND($F654&lt;=EOMONTH(DATE(PlanYear,6,1),0),IF(ISNUMBER($G654),$G654,$F654)&gt;=DATE(PlanYear,6,1)),1,0))</f>
        <v>0</v>
      </c>
      <c r="U654">
        <f>IF($N654=0,0,IF(AND($F654&lt;=EOMONTH(DATE(PlanYear,7,1),0),IF(ISNUMBER($G654),$G654,$F654)&gt;=DATE(PlanYear,7,1)),1,0))</f>
        <v>0</v>
      </c>
      <c r="V654">
        <f>IF($N654=0,0,IF(AND($F654&lt;=EOMONTH(DATE(PlanYear,8,1),0),IF(ISNUMBER($G654),$G654,$F654)&gt;=DATE(PlanYear,8,1)),1,0))</f>
        <v>0</v>
      </c>
      <c r="W654">
        <f>IF($N654=0,0,IF(AND($F654&lt;=EOMONTH(DATE(PlanYear,9,1),0),IF(ISNUMBER($G654),$G654,$F654)&gt;=DATE(PlanYear,9,1)),1,0))</f>
        <v>0</v>
      </c>
      <c r="X654">
        <f>IF($N654=0,0,IF(AND($F654&lt;=EOMONTH(DATE(PlanYear,10,1),0),IF(ISNUMBER($G654),$G654,$F654)&gt;=DATE(PlanYear,10,1)),1,0))</f>
        <v>0</v>
      </c>
      <c r="Y654">
        <f>IF($N654=0,0,IF(AND($F654&lt;=EOMONTH(DATE(PlanYear,11,1),0),IF(ISNUMBER($G654),$G654,$F654)&gt;=DATE(PlanYear,11,1)),1,0))</f>
        <v>0</v>
      </c>
      <c r="Z654">
        <f>IF($N654=0,0,IF(AND($F654&lt;=EOMONTH(DATE(PlanYear,12,1),0),IF(ISNUMBER($G654),$G654,$F654)&gt;=DATE(PlanYear,12,1)),1,0))</f>
        <v>0</v>
      </c>
      <c r="AA654">
        <f>SUM($O654:$Z654)</f>
        <v>0</v>
      </c>
    </row>
    <row r="655" spans="1:27">
      <c r="A655" s="42">
        <f>IF($B655="","","ACT-"&amp;TEXT(ROW()-4,"000"))</f>
        <v>0</v>
      </c>
      <c r="M655" s="43">
        <f>IF(COUNTA($B655:$K655)=0,"",IF($B655="","Missing activity name",IF($C655="","Missing practice",IF(COUNTIF(PracticeNames,$C655)=0,"Practice not in Lists",IF($D655="","Missing motion",IF(NOT(ISNUMBER($F655)),"Missing or invalid start date",IF(AND(ISNUMBER($G655),$G655&lt;$F655),"End date before start",IF(AND($N655=1,$AA655=0),"Outside planning year","OK"))))))))</f>
        <v>0</v>
      </c>
      <c r="N655">
        <f>IF(AND($B655&lt;&gt;"",$C655&lt;&gt;"",$D655&lt;&gt;"",ISNUMBER($F655),COUNTIF(PracticeNames,$C655)&gt;0,COUNTIF(MotionNames,$D655)&gt;0,NOT(AND(ISNUMBER($G655),$G655&lt;$F655))),IF(StatusFilter="All (excl. Cancelled)",IF($H655="Cancelled",0,1),IF(StatusFilter="All",1,IF($H655=StatusFilter,1,0))),0)</f>
        <v>0</v>
      </c>
      <c r="O655">
        <f>IF($N655=0,0,IF(AND($F655&lt;=EOMONTH(DATE(PlanYear,1,1),0),IF(ISNUMBER($G655),$G655,$F655)&gt;=DATE(PlanYear,1,1)),1,0))</f>
        <v>0</v>
      </c>
      <c r="P655">
        <f>IF($N655=0,0,IF(AND($F655&lt;=EOMONTH(DATE(PlanYear,2,1),0),IF(ISNUMBER($G655),$G655,$F655)&gt;=DATE(PlanYear,2,1)),1,0))</f>
        <v>0</v>
      </c>
      <c r="Q655">
        <f>IF($N655=0,0,IF(AND($F655&lt;=EOMONTH(DATE(PlanYear,3,1),0),IF(ISNUMBER($G655),$G655,$F655)&gt;=DATE(PlanYear,3,1)),1,0))</f>
        <v>0</v>
      </c>
      <c r="R655">
        <f>IF($N655=0,0,IF(AND($F655&lt;=EOMONTH(DATE(PlanYear,4,1),0),IF(ISNUMBER($G655),$G655,$F655)&gt;=DATE(PlanYear,4,1)),1,0))</f>
        <v>0</v>
      </c>
      <c r="S655">
        <f>IF($N655=0,0,IF(AND($F655&lt;=EOMONTH(DATE(PlanYear,5,1),0),IF(ISNUMBER($G655),$G655,$F655)&gt;=DATE(PlanYear,5,1)),1,0))</f>
        <v>0</v>
      </c>
      <c r="T655">
        <f>IF($N655=0,0,IF(AND($F655&lt;=EOMONTH(DATE(PlanYear,6,1),0),IF(ISNUMBER($G655),$G655,$F655)&gt;=DATE(PlanYear,6,1)),1,0))</f>
        <v>0</v>
      </c>
      <c r="U655">
        <f>IF($N655=0,0,IF(AND($F655&lt;=EOMONTH(DATE(PlanYear,7,1),0),IF(ISNUMBER($G655),$G655,$F655)&gt;=DATE(PlanYear,7,1)),1,0))</f>
        <v>0</v>
      </c>
      <c r="V655">
        <f>IF($N655=0,0,IF(AND($F655&lt;=EOMONTH(DATE(PlanYear,8,1),0),IF(ISNUMBER($G655),$G655,$F655)&gt;=DATE(PlanYear,8,1)),1,0))</f>
        <v>0</v>
      </c>
      <c r="W655">
        <f>IF($N655=0,0,IF(AND($F655&lt;=EOMONTH(DATE(PlanYear,9,1),0),IF(ISNUMBER($G655),$G655,$F655)&gt;=DATE(PlanYear,9,1)),1,0))</f>
        <v>0</v>
      </c>
      <c r="X655">
        <f>IF($N655=0,0,IF(AND($F655&lt;=EOMONTH(DATE(PlanYear,10,1),0),IF(ISNUMBER($G655),$G655,$F655)&gt;=DATE(PlanYear,10,1)),1,0))</f>
        <v>0</v>
      </c>
      <c r="Y655">
        <f>IF($N655=0,0,IF(AND($F655&lt;=EOMONTH(DATE(PlanYear,11,1),0),IF(ISNUMBER($G655),$G655,$F655)&gt;=DATE(PlanYear,11,1)),1,0))</f>
        <v>0</v>
      </c>
      <c r="Z655">
        <f>IF($N655=0,0,IF(AND($F655&lt;=EOMONTH(DATE(PlanYear,12,1),0),IF(ISNUMBER($G655),$G655,$F655)&gt;=DATE(PlanYear,12,1)),1,0))</f>
        <v>0</v>
      </c>
      <c r="AA655">
        <f>SUM($O655:$Z655)</f>
        <v>0</v>
      </c>
    </row>
    <row r="656" spans="1:27">
      <c r="A656" s="42">
        <f>IF($B656="","","ACT-"&amp;TEXT(ROW()-4,"000"))</f>
        <v>0</v>
      </c>
      <c r="M656" s="43">
        <f>IF(COUNTA($B656:$K656)=0,"",IF($B656="","Missing activity name",IF($C656="","Missing practice",IF(COUNTIF(PracticeNames,$C656)=0,"Practice not in Lists",IF($D656="","Missing motion",IF(NOT(ISNUMBER($F656)),"Missing or invalid start date",IF(AND(ISNUMBER($G656),$G656&lt;$F656),"End date before start",IF(AND($N656=1,$AA656=0),"Outside planning year","OK"))))))))</f>
        <v>0</v>
      </c>
      <c r="N656">
        <f>IF(AND($B656&lt;&gt;"",$C656&lt;&gt;"",$D656&lt;&gt;"",ISNUMBER($F656),COUNTIF(PracticeNames,$C656)&gt;0,COUNTIF(MotionNames,$D656)&gt;0,NOT(AND(ISNUMBER($G656),$G656&lt;$F656))),IF(StatusFilter="All (excl. Cancelled)",IF($H656="Cancelled",0,1),IF(StatusFilter="All",1,IF($H656=StatusFilter,1,0))),0)</f>
        <v>0</v>
      </c>
      <c r="O656">
        <f>IF($N656=0,0,IF(AND($F656&lt;=EOMONTH(DATE(PlanYear,1,1),0),IF(ISNUMBER($G656),$G656,$F656)&gt;=DATE(PlanYear,1,1)),1,0))</f>
        <v>0</v>
      </c>
      <c r="P656">
        <f>IF($N656=0,0,IF(AND($F656&lt;=EOMONTH(DATE(PlanYear,2,1),0),IF(ISNUMBER($G656),$G656,$F656)&gt;=DATE(PlanYear,2,1)),1,0))</f>
        <v>0</v>
      </c>
      <c r="Q656">
        <f>IF($N656=0,0,IF(AND($F656&lt;=EOMONTH(DATE(PlanYear,3,1),0),IF(ISNUMBER($G656),$G656,$F656)&gt;=DATE(PlanYear,3,1)),1,0))</f>
        <v>0</v>
      </c>
      <c r="R656">
        <f>IF($N656=0,0,IF(AND($F656&lt;=EOMONTH(DATE(PlanYear,4,1),0),IF(ISNUMBER($G656),$G656,$F656)&gt;=DATE(PlanYear,4,1)),1,0))</f>
        <v>0</v>
      </c>
      <c r="S656">
        <f>IF($N656=0,0,IF(AND($F656&lt;=EOMONTH(DATE(PlanYear,5,1),0),IF(ISNUMBER($G656),$G656,$F656)&gt;=DATE(PlanYear,5,1)),1,0))</f>
        <v>0</v>
      </c>
      <c r="T656">
        <f>IF($N656=0,0,IF(AND($F656&lt;=EOMONTH(DATE(PlanYear,6,1),0),IF(ISNUMBER($G656),$G656,$F656)&gt;=DATE(PlanYear,6,1)),1,0))</f>
        <v>0</v>
      </c>
      <c r="U656">
        <f>IF($N656=0,0,IF(AND($F656&lt;=EOMONTH(DATE(PlanYear,7,1),0),IF(ISNUMBER($G656),$G656,$F656)&gt;=DATE(PlanYear,7,1)),1,0))</f>
        <v>0</v>
      </c>
      <c r="V656">
        <f>IF($N656=0,0,IF(AND($F656&lt;=EOMONTH(DATE(PlanYear,8,1),0),IF(ISNUMBER($G656),$G656,$F656)&gt;=DATE(PlanYear,8,1)),1,0))</f>
        <v>0</v>
      </c>
      <c r="W656">
        <f>IF($N656=0,0,IF(AND($F656&lt;=EOMONTH(DATE(PlanYear,9,1),0),IF(ISNUMBER($G656),$G656,$F656)&gt;=DATE(PlanYear,9,1)),1,0))</f>
        <v>0</v>
      </c>
      <c r="X656">
        <f>IF($N656=0,0,IF(AND($F656&lt;=EOMONTH(DATE(PlanYear,10,1),0),IF(ISNUMBER($G656),$G656,$F656)&gt;=DATE(PlanYear,10,1)),1,0))</f>
        <v>0</v>
      </c>
      <c r="Y656">
        <f>IF($N656=0,0,IF(AND($F656&lt;=EOMONTH(DATE(PlanYear,11,1),0),IF(ISNUMBER($G656),$G656,$F656)&gt;=DATE(PlanYear,11,1)),1,0))</f>
        <v>0</v>
      </c>
      <c r="Z656">
        <f>IF($N656=0,0,IF(AND($F656&lt;=EOMONTH(DATE(PlanYear,12,1),0),IF(ISNUMBER($G656),$G656,$F656)&gt;=DATE(PlanYear,12,1)),1,0))</f>
        <v>0</v>
      </c>
      <c r="AA656">
        <f>SUM($O656:$Z656)</f>
        <v>0</v>
      </c>
    </row>
    <row r="657" spans="1:27">
      <c r="A657" s="42">
        <f>IF($B657="","","ACT-"&amp;TEXT(ROW()-4,"000"))</f>
        <v>0</v>
      </c>
      <c r="M657" s="43">
        <f>IF(COUNTA($B657:$K657)=0,"",IF($B657="","Missing activity name",IF($C657="","Missing practice",IF(COUNTIF(PracticeNames,$C657)=0,"Practice not in Lists",IF($D657="","Missing motion",IF(NOT(ISNUMBER($F657)),"Missing or invalid start date",IF(AND(ISNUMBER($G657),$G657&lt;$F657),"End date before start",IF(AND($N657=1,$AA657=0),"Outside planning year","OK"))))))))</f>
        <v>0</v>
      </c>
      <c r="N657">
        <f>IF(AND($B657&lt;&gt;"",$C657&lt;&gt;"",$D657&lt;&gt;"",ISNUMBER($F657),COUNTIF(PracticeNames,$C657)&gt;0,COUNTIF(MotionNames,$D657)&gt;0,NOT(AND(ISNUMBER($G657),$G657&lt;$F657))),IF(StatusFilter="All (excl. Cancelled)",IF($H657="Cancelled",0,1),IF(StatusFilter="All",1,IF($H657=StatusFilter,1,0))),0)</f>
        <v>0</v>
      </c>
      <c r="O657">
        <f>IF($N657=0,0,IF(AND($F657&lt;=EOMONTH(DATE(PlanYear,1,1),0),IF(ISNUMBER($G657),$G657,$F657)&gt;=DATE(PlanYear,1,1)),1,0))</f>
        <v>0</v>
      </c>
      <c r="P657">
        <f>IF($N657=0,0,IF(AND($F657&lt;=EOMONTH(DATE(PlanYear,2,1),0),IF(ISNUMBER($G657),$G657,$F657)&gt;=DATE(PlanYear,2,1)),1,0))</f>
        <v>0</v>
      </c>
      <c r="Q657">
        <f>IF($N657=0,0,IF(AND($F657&lt;=EOMONTH(DATE(PlanYear,3,1),0),IF(ISNUMBER($G657),$G657,$F657)&gt;=DATE(PlanYear,3,1)),1,0))</f>
        <v>0</v>
      </c>
      <c r="R657">
        <f>IF($N657=0,0,IF(AND($F657&lt;=EOMONTH(DATE(PlanYear,4,1),0),IF(ISNUMBER($G657),$G657,$F657)&gt;=DATE(PlanYear,4,1)),1,0))</f>
        <v>0</v>
      </c>
      <c r="S657">
        <f>IF($N657=0,0,IF(AND($F657&lt;=EOMONTH(DATE(PlanYear,5,1),0),IF(ISNUMBER($G657),$G657,$F657)&gt;=DATE(PlanYear,5,1)),1,0))</f>
        <v>0</v>
      </c>
      <c r="T657">
        <f>IF($N657=0,0,IF(AND($F657&lt;=EOMONTH(DATE(PlanYear,6,1),0),IF(ISNUMBER($G657),$G657,$F657)&gt;=DATE(PlanYear,6,1)),1,0))</f>
        <v>0</v>
      </c>
      <c r="U657">
        <f>IF($N657=0,0,IF(AND($F657&lt;=EOMONTH(DATE(PlanYear,7,1),0),IF(ISNUMBER($G657),$G657,$F657)&gt;=DATE(PlanYear,7,1)),1,0))</f>
        <v>0</v>
      </c>
      <c r="V657">
        <f>IF($N657=0,0,IF(AND($F657&lt;=EOMONTH(DATE(PlanYear,8,1),0),IF(ISNUMBER($G657),$G657,$F657)&gt;=DATE(PlanYear,8,1)),1,0))</f>
        <v>0</v>
      </c>
      <c r="W657">
        <f>IF($N657=0,0,IF(AND($F657&lt;=EOMONTH(DATE(PlanYear,9,1),0),IF(ISNUMBER($G657),$G657,$F657)&gt;=DATE(PlanYear,9,1)),1,0))</f>
        <v>0</v>
      </c>
      <c r="X657">
        <f>IF($N657=0,0,IF(AND($F657&lt;=EOMONTH(DATE(PlanYear,10,1),0),IF(ISNUMBER($G657),$G657,$F657)&gt;=DATE(PlanYear,10,1)),1,0))</f>
        <v>0</v>
      </c>
      <c r="Y657">
        <f>IF($N657=0,0,IF(AND($F657&lt;=EOMONTH(DATE(PlanYear,11,1),0),IF(ISNUMBER($G657),$G657,$F657)&gt;=DATE(PlanYear,11,1)),1,0))</f>
        <v>0</v>
      </c>
      <c r="Z657">
        <f>IF($N657=0,0,IF(AND($F657&lt;=EOMONTH(DATE(PlanYear,12,1),0),IF(ISNUMBER($G657),$G657,$F657)&gt;=DATE(PlanYear,12,1)),1,0))</f>
        <v>0</v>
      </c>
      <c r="AA657">
        <f>SUM($O657:$Z657)</f>
        <v>0</v>
      </c>
    </row>
    <row r="658" spans="1:27">
      <c r="A658" s="42">
        <f>IF($B658="","","ACT-"&amp;TEXT(ROW()-4,"000"))</f>
        <v>0</v>
      </c>
      <c r="M658" s="43">
        <f>IF(COUNTA($B658:$K658)=0,"",IF($B658="","Missing activity name",IF($C658="","Missing practice",IF(COUNTIF(PracticeNames,$C658)=0,"Practice not in Lists",IF($D658="","Missing motion",IF(NOT(ISNUMBER($F658)),"Missing or invalid start date",IF(AND(ISNUMBER($G658),$G658&lt;$F658),"End date before start",IF(AND($N658=1,$AA658=0),"Outside planning year","OK"))))))))</f>
        <v>0</v>
      </c>
      <c r="N658">
        <f>IF(AND($B658&lt;&gt;"",$C658&lt;&gt;"",$D658&lt;&gt;"",ISNUMBER($F658),COUNTIF(PracticeNames,$C658)&gt;0,COUNTIF(MotionNames,$D658)&gt;0,NOT(AND(ISNUMBER($G658),$G658&lt;$F658))),IF(StatusFilter="All (excl. Cancelled)",IF($H658="Cancelled",0,1),IF(StatusFilter="All",1,IF($H658=StatusFilter,1,0))),0)</f>
        <v>0</v>
      </c>
      <c r="O658">
        <f>IF($N658=0,0,IF(AND($F658&lt;=EOMONTH(DATE(PlanYear,1,1),0),IF(ISNUMBER($G658),$G658,$F658)&gt;=DATE(PlanYear,1,1)),1,0))</f>
        <v>0</v>
      </c>
      <c r="P658">
        <f>IF($N658=0,0,IF(AND($F658&lt;=EOMONTH(DATE(PlanYear,2,1),0),IF(ISNUMBER($G658),$G658,$F658)&gt;=DATE(PlanYear,2,1)),1,0))</f>
        <v>0</v>
      </c>
      <c r="Q658">
        <f>IF($N658=0,0,IF(AND($F658&lt;=EOMONTH(DATE(PlanYear,3,1),0),IF(ISNUMBER($G658),$G658,$F658)&gt;=DATE(PlanYear,3,1)),1,0))</f>
        <v>0</v>
      </c>
      <c r="R658">
        <f>IF($N658=0,0,IF(AND($F658&lt;=EOMONTH(DATE(PlanYear,4,1),0),IF(ISNUMBER($G658),$G658,$F658)&gt;=DATE(PlanYear,4,1)),1,0))</f>
        <v>0</v>
      </c>
      <c r="S658">
        <f>IF($N658=0,0,IF(AND($F658&lt;=EOMONTH(DATE(PlanYear,5,1),0),IF(ISNUMBER($G658),$G658,$F658)&gt;=DATE(PlanYear,5,1)),1,0))</f>
        <v>0</v>
      </c>
      <c r="T658">
        <f>IF($N658=0,0,IF(AND($F658&lt;=EOMONTH(DATE(PlanYear,6,1),0),IF(ISNUMBER($G658),$G658,$F658)&gt;=DATE(PlanYear,6,1)),1,0))</f>
        <v>0</v>
      </c>
      <c r="U658">
        <f>IF($N658=0,0,IF(AND($F658&lt;=EOMONTH(DATE(PlanYear,7,1),0),IF(ISNUMBER($G658),$G658,$F658)&gt;=DATE(PlanYear,7,1)),1,0))</f>
        <v>0</v>
      </c>
      <c r="V658">
        <f>IF($N658=0,0,IF(AND($F658&lt;=EOMONTH(DATE(PlanYear,8,1),0),IF(ISNUMBER($G658),$G658,$F658)&gt;=DATE(PlanYear,8,1)),1,0))</f>
        <v>0</v>
      </c>
      <c r="W658">
        <f>IF($N658=0,0,IF(AND($F658&lt;=EOMONTH(DATE(PlanYear,9,1),0),IF(ISNUMBER($G658),$G658,$F658)&gt;=DATE(PlanYear,9,1)),1,0))</f>
        <v>0</v>
      </c>
      <c r="X658">
        <f>IF($N658=0,0,IF(AND($F658&lt;=EOMONTH(DATE(PlanYear,10,1),0),IF(ISNUMBER($G658),$G658,$F658)&gt;=DATE(PlanYear,10,1)),1,0))</f>
        <v>0</v>
      </c>
      <c r="Y658">
        <f>IF($N658=0,0,IF(AND($F658&lt;=EOMONTH(DATE(PlanYear,11,1),0),IF(ISNUMBER($G658),$G658,$F658)&gt;=DATE(PlanYear,11,1)),1,0))</f>
        <v>0</v>
      </c>
      <c r="Z658">
        <f>IF($N658=0,0,IF(AND($F658&lt;=EOMONTH(DATE(PlanYear,12,1),0),IF(ISNUMBER($G658),$G658,$F658)&gt;=DATE(PlanYear,12,1)),1,0))</f>
        <v>0</v>
      </c>
      <c r="AA658">
        <f>SUM($O658:$Z658)</f>
        <v>0</v>
      </c>
    </row>
    <row r="659" spans="1:27">
      <c r="A659" s="42">
        <f>IF($B659="","","ACT-"&amp;TEXT(ROW()-4,"000"))</f>
        <v>0</v>
      </c>
      <c r="M659" s="43">
        <f>IF(COUNTA($B659:$K659)=0,"",IF($B659="","Missing activity name",IF($C659="","Missing practice",IF(COUNTIF(PracticeNames,$C659)=0,"Practice not in Lists",IF($D659="","Missing motion",IF(NOT(ISNUMBER($F659)),"Missing or invalid start date",IF(AND(ISNUMBER($G659),$G659&lt;$F659),"End date before start",IF(AND($N659=1,$AA659=0),"Outside planning year","OK"))))))))</f>
        <v>0</v>
      </c>
      <c r="N659">
        <f>IF(AND($B659&lt;&gt;"",$C659&lt;&gt;"",$D659&lt;&gt;"",ISNUMBER($F659),COUNTIF(PracticeNames,$C659)&gt;0,COUNTIF(MotionNames,$D659)&gt;0,NOT(AND(ISNUMBER($G659),$G659&lt;$F659))),IF(StatusFilter="All (excl. Cancelled)",IF($H659="Cancelled",0,1),IF(StatusFilter="All",1,IF($H659=StatusFilter,1,0))),0)</f>
        <v>0</v>
      </c>
      <c r="O659">
        <f>IF($N659=0,0,IF(AND($F659&lt;=EOMONTH(DATE(PlanYear,1,1),0),IF(ISNUMBER($G659),$G659,$F659)&gt;=DATE(PlanYear,1,1)),1,0))</f>
        <v>0</v>
      </c>
      <c r="P659">
        <f>IF($N659=0,0,IF(AND($F659&lt;=EOMONTH(DATE(PlanYear,2,1),0),IF(ISNUMBER($G659),$G659,$F659)&gt;=DATE(PlanYear,2,1)),1,0))</f>
        <v>0</v>
      </c>
      <c r="Q659">
        <f>IF($N659=0,0,IF(AND($F659&lt;=EOMONTH(DATE(PlanYear,3,1),0),IF(ISNUMBER($G659),$G659,$F659)&gt;=DATE(PlanYear,3,1)),1,0))</f>
        <v>0</v>
      </c>
      <c r="R659">
        <f>IF($N659=0,0,IF(AND($F659&lt;=EOMONTH(DATE(PlanYear,4,1),0),IF(ISNUMBER($G659),$G659,$F659)&gt;=DATE(PlanYear,4,1)),1,0))</f>
        <v>0</v>
      </c>
      <c r="S659">
        <f>IF($N659=0,0,IF(AND($F659&lt;=EOMONTH(DATE(PlanYear,5,1),0),IF(ISNUMBER($G659),$G659,$F659)&gt;=DATE(PlanYear,5,1)),1,0))</f>
        <v>0</v>
      </c>
      <c r="T659">
        <f>IF($N659=0,0,IF(AND($F659&lt;=EOMONTH(DATE(PlanYear,6,1),0),IF(ISNUMBER($G659),$G659,$F659)&gt;=DATE(PlanYear,6,1)),1,0))</f>
        <v>0</v>
      </c>
      <c r="U659">
        <f>IF($N659=0,0,IF(AND($F659&lt;=EOMONTH(DATE(PlanYear,7,1),0),IF(ISNUMBER($G659),$G659,$F659)&gt;=DATE(PlanYear,7,1)),1,0))</f>
        <v>0</v>
      </c>
      <c r="V659">
        <f>IF($N659=0,0,IF(AND($F659&lt;=EOMONTH(DATE(PlanYear,8,1),0),IF(ISNUMBER($G659),$G659,$F659)&gt;=DATE(PlanYear,8,1)),1,0))</f>
        <v>0</v>
      </c>
      <c r="W659">
        <f>IF($N659=0,0,IF(AND($F659&lt;=EOMONTH(DATE(PlanYear,9,1),0),IF(ISNUMBER($G659),$G659,$F659)&gt;=DATE(PlanYear,9,1)),1,0))</f>
        <v>0</v>
      </c>
      <c r="X659">
        <f>IF($N659=0,0,IF(AND($F659&lt;=EOMONTH(DATE(PlanYear,10,1),0),IF(ISNUMBER($G659),$G659,$F659)&gt;=DATE(PlanYear,10,1)),1,0))</f>
        <v>0</v>
      </c>
      <c r="Y659">
        <f>IF($N659=0,0,IF(AND($F659&lt;=EOMONTH(DATE(PlanYear,11,1),0),IF(ISNUMBER($G659),$G659,$F659)&gt;=DATE(PlanYear,11,1)),1,0))</f>
        <v>0</v>
      </c>
      <c r="Z659">
        <f>IF($N659=0,0,IF(AND($F659&lt;=EOMONTH(DATE(PlanYear,12,1),0),IF(ISNUMBER($G659),$G659,$F659)&gt;=DATE(PlanYear,12,1)),1,0))</f>
        <v>0</v>
      </c>
      <c r="AA659">
        <f>SUM($O659:$Z659)</f>
        <v>0</v>
      </c>
    </row>
    <row r="660" spans="1:27">
      <c r="A660" s="42">
        <f>IF($B660="","","ACT-"&amp;TEXT(ROW()-4,"000"))</f>
        <v>0</v>
      </c>
      <c r="M660" s="43">
        <f>IF(COUNTA($B660:$K660)=0,"",IF($B660="","Missing activity name",IF($C660="","Missing practice",IF(COUNTIF(PracticeNames,$C660)=0,"Practice not in Lists",IF($D660="","Missing motion",IF(NOT(ISNUMBER($F660)),"Missing or invalid start date",IF(AND(ISNUMBER($G660),$G660&lt;$F660),"End date before start",IF(AND($N660=1,$AA660=0),"Outside planning year","OK"))))))))</f>
        <v>0</v>
      </c>
      <c r="N660">
        <f>IF(AND($B660&lt;&gt;"",$C660&lt;&gt;"",$D660&lt;&gt;"",ISNUMBER($F660),COUNTIF(PracticeNames,$C660)&gt;0,COUNTIF(MotionNames,$D660)&gt;0,NOT(AND(ISNUMBER($G660),$G660&lt;$F660))),IF(StatusFilter="All (excl. Cancelled)",IF($H660="Cancelled",0,1),IF(StatusFilter="All",1,IF($H660=StatusFilter,1,0))),0)</f>
        <v>0</v>
      </c>
      <c r="O660">
        <f>IF($N660=0,0,IF(AND($F660&lt;=EOMONTH(DATE(PlanYear,1,1),0),IF(ISNUMBER($G660),$G660,$F660)&gt;=DATE(PlanYear,1,1)),1,0))</f>
        <v>0</v>
      </c>
      <c r="P660">
        <f>IF($N660=0,0,IF(AND($F660&lt;=EOMONTH(DATE(PlanYear,2,1),0),IF(ISNUMBER($G660),$G660,$F660)&gt;=DATE(PlanYear,2,1)),1,0))</f>
        <v>0</v>
      </c>
      <c r="Q660">
        <f>IF($N660=0,0,IF(AND($F660&lt;=EOMONTH(DATE(PlanYear,3,1),0),IF(ISNUMBER($G660),$G660,$F660)&gt;=DATE(PlanYear,3,1)),1,0))</f>
        <v>0</v>
      </c>
      <c r="R660">
        <f>IF($N660=0,0,IF(AND($F660&lt;=EOMONTH(DATE(PlanYear,4,1),0),IF(ISNUMBER($G660),$G660,$F660)&gt;=DATE(PlanYear,4,1)),1,0))</f>
        <v>0</v>
      </c>
      <c r="S660">
        <f>IF($N660=0,0,IF(AND($F660&lt;=EOMONTH(DATE(PlanYear,5,1),0),IF(ISNUMBER($G660),$G660,$F660)&gt;=DATE(PlanYear,5,1)),1,0))</f>
        <v>0</v>
      </c>
      <c r="T660">
        <f>IF($N660=0,0,IF(AND($F660&lt;=EOMONTH(DATE(PlanYear,6,1),0),IF(ISNUMBER($G660),$G660,$F660)&gt;=DATE(PlanYear,6,1)),1,0))</f>
        <v>0</v>
      </c>
      <c r="U660">
        <f>IF($N660=0,0,IF(AND($F660&lt;=EOMONTH(DATE(PlanYear,7,1),0),IF(ISNUMBER($G660),$G660,$F660)&gt;=DATE(PlanYear,7,1)),1,0))</f>
        <v>0</v>
      </c>
      <c r="V660">
        <f>IF($N660=0,0,IF(AND($F660&lt;=EOMONTH(DATE(PlanYear,8,1),0),IF(ISNUMBER($G660),$G660,$F660)&gt;=DATE(PlanYear,8,1)),1,0))</f>
        <v>0</v>
      </c>
      <c r="W660">
        <f>IF($N660=0,0,IF(AND($F660&lt;=EOMONTH(DATE(PlanYear,9,1),0),IF(ISNUMBER($G660),$G660,$F660)&gt;=DATE(PlanYear,9,1)),1,0))</f>
        <v>0</v>
      </c>
      <c r="X660">
        <f>IF($N660=0,0,IF(AND($F660&lt;=EOMONTH(DATE(PlanYear,10,1),0),IF(ISNUMBER($G660),$G660,$F660)&gt;=DATE(PlanYear,10,1)),1,0))</f>
        <v>0</v>
      </c>
      <c r="Y660">
        <f>IF($N660=0,0,IF(AND($F660&lt;=EOMONTH(DATE(PlanYear,11,1),0),IF(ISNUMBER($G660),$G660,$F660)&gt;=DATE(PlanYear,11,1)),1,0))</f>
        <v>0</v>
      </c>
      <c r="Z660">
        <f>IF($N660=0,0,IF(AND($F660&lt;=EOMONTH(DATE(PlanYear,12,1),0),IF(ISNUMBER($G660),$G660,$F660)&gt;=DATE(PlanYear,12,1)),1,0))</f>
        <v>0</v>
      </c>
      <c r="AA660">
        <f>SUM($O660:$Z660)</f>
        <v>0</v>
      </c>
    </row>
    <row r="661" spans="1:27">
      <c r="A661" s="42">
        <f>IF($B661="","","ACT-"&amp;TEXT(ROW()-4,"000"))</f>
        <v>0</v>
      </c>
      <c r="M661" s="43">
        <f>IF(COUNTA($B661:$K661)=0,"",IF($B661="","Missing activity name",IF($C661="","Missing practice",IF(COUNTIF(PracticeNames,$C661)=0,"Practice not in Lists",IF($D661="","Missing motion",IF(NOT(ISNUMBER($F661)),"Missing or invalid start date",IF(AND(ISNUMBER($G661),$G661&lt;$F661),"End date before start",IF(AND($N661=1,$AA661=0),"Outside planning year","OK"))))))))</f>
        <v>0</v>
      </c>
      <c r="N661">
        <f>IF(AND($B661&lt;&gt;"",$C661&lt;&gt;"",$D661&lt;&gt;"",ISNUMBER($F661),COUNTIF(PracticeNames,$C661)&gt;0,COUNTIF(MotionNames,$D661)&gt;0,NOT(AND(ISNUMBER($G661),$G661&lt;$F661))),IF(StatusFilter="All (excl. Cancelled)",IF($H661="Cancelled",0,1),IF(StatusFilter="All",1,IF($H661=StatusFilter,1,0))),0)</f>
        <v>0</v>
      </c>
      <c r="O661">
        <f>IF($N661=0,0,IF(AND($F661&lt;=EOMONTH(DATE(PlanYear,1,1),0),IF(ISNUMBER($G661),$G661,$F661)&gt;=DATE(PlanYear,1,1)),1,0))</f>
        <v>0</v>
      </c>
      <c r="P661">
        <f>IF($N661=0,0,IF(AND($F661&lt;=EOMONTH(DATE(PlanYear,2,1),0),IF(ISNUMBER($G661),$G661,$F661)&gt;=DATE(PlanYear,2,1)),1,0))</f>
        <v>0</v>
      </c>
      <c r="Q661">
        <f>IF($N661=0,0,IF(AND($F661&lt;=EOMONTH(DATE(PlanYear,3,1),0),IF(ISNUMBER($G661),$G661,$F661)&gt;=DATE(PlanYear,3,1)),1,0))</f>
        <v>0</v>
      </c>
      <c r="R661">
        <f>IF($N661=0,0,IF(AND($F661&lt;=EOMONTH(DATE(PlanYear,4,1),0),IF(ISNUMBER($G661),$G661,$F661)&gt;=DATE(PlanYear,4,1)),1,0))</f>
        <v>0</v>
      </c>
      <c r="S661">
        <f>IF($N661=0,0,IF(AND($F661&lt;=EOMONTH(DATE(PlanYear,5,1),0),IF(ISNUMBER($G661),$G661,$F661)&gt;=DATE(PlanYear,5,1)),1,0))</f>
        <v>0</v>
      </c>
      <c r="T661">
        <f>IF($N661=0,0,IF(AND($F661&lt;=EOMONTH(DATE(PlanYear,6,1),0),IF(ISNUMBER($G661),$G661,$F661)&gt;=DATE(PlanYear,6,1)),1,0))</f>
        <v>0</v>
      </c>
      <c r="U661">
        <f>IF($N661=0,0,IF(AND($F661&lt;=EOMONTH(DATE(PlanYear,7,1),0),IF(ISNUMBER($G661),$G661,$F661)&gt;=DATE(PlanYear,7,1)),1,0))</f>
        <v>0</v>
      </c>
      <c r="V661">
        <f>IF($N661=0,0,IF(AND($F661&lt;=EOMONTH(DATE(PlanYear,8,1),0),IF(ISNUMBER($G661),$G661,$F661)&gt;=DATE(PlanYear,8,1)),1,0))</f>
        <v>0</v>
      </c>
      <c r="W661">
        <f>IF($N661=0,0,IF(AND($F661&lt;=EOMONTH(DATE(PlanYear,9,1),0),IF(ISNUMBER($G661),$G661,$F661)&gt;=DATE(PlanYear,9,1)),1,0))</f>
        <v>0</v>
      </c>
      <c r="X661">
        <f>IF($N661=0,0,IF(AND($F661&lt;=EOMONTH(DATE(PlanYear,10,1),0),IF(ISNUMBER($G661),$G661,$F661)&gt;=DATE(PlanYear,10,1)),1,0))</f>
        <v>0</v>
      </c>
      <c r="Y661">
        <f>IF($N661=0,0,IF(AND($F661&lt;=EOMONTH(DATE(PlanYear,11,1),0),IF(ISNUMBER($G661),$G661,$F661)&gt;=DATE(PlanYear,11,1)),1,0))</f>
        <v>0</v>
      </c>
      <c r="Z661">
        <f>IF($N661=0,0,IF(AND($F661&lt;=EOMONTH(DATE(PlanYear,12,1),0),IF(ISNUMBER($G661),$G661,$F661)&gt;=DATE(PlanYear,12,1)),1,0))</f>
        <v>0</v>
      </c>
      <c r="AA661">
        <f>SUM($O661:$Z661)</f>
        <v>0</v>
      </c>
    </row>
    <row r="662" spans="1:27">
      <c r="A662" s="42">
        <f>IF($B662="","","ACT-"&amp;TEXT(ROW()-4,"000"))</f>
        <v>0</v>
      </c>
      <c r="M662" s="43">
        <f>IF(COUNTA($B662:$K662)=0,"",IF($B662="","Missing activity name",IF($C662="","Missing practice",IF(COUNTIF(PracticeNames,$C662)=0,"Practice not in Lists",IF($D662="","Missing motion",IF(NOT(ISNUMBER($F662)),"Missing or invalid start date",IF(AND(ISNUMBER($G662),$G662&lt;$F662),"End date before start",IF(AND($N662=1,$AA662=0),"Outside planning year","OK"))))))))</f>
        <v>0</v>
      </c>
      <c r="N662">
        <f>IF(AND($B662&lt;&gt;"",$C662&lt;&gt;"",$D662&lt;&gt;"",ISNUMBER($F662),COUNTIF(PracticeNames,$C662)&gt;0,COUNTIF(MotionNames,$D662)&gt;0,NOT(AND(ISNUMBER($G662),$G662&lt;$F662))),IF(StatusFilter="All (excl. Cancelled)",IF($H662="Cancelled",0,1),IF(StatusFilter="All",1,IF($H662=StatusFilter,1,0))),0)</f>
        <v>0</v>
      </c>
      <c r="O662">
        <f>IF($N662=0,0,IF(AND($F662&lt;=EOMONTH(DATE(PlanYear,1,1),0),IF(ISNUMBER($G662),$G662,$F662)&gt;=DATE(PlanYear,1,1)),1,0))</f>
        <v>0</v>
      </c>
      <c r="P662">
        <f>IF($N662=0,0,IF(AND($F662&lt;=EOMONTH(DATE(PlanYear,2,1),0),IF(ISNUMBER($G662),$G662,$F662)&gt;=DATE(PlanYear,2,1)),1,0))</f>
        <v>0</v>
      </c>
      <c r="Q662">
        <f>IF($N662=0,0,IF(AND($F662&lt;=EOMONTH(DATE(PlanYear,3,1),0),IF(ISNUMBER($G662),$G662,$F662)&gt;=DATE(PlanYear,3,1)),1,0))</f>
        <v>0</v>
      </c>
      <c r="R662">
        <f>IF($N662=0,0,IF(AND($F662&lt;=EOMONTH(DATE(PlanYear,4,1),0),IF(ISNUMBER($G662),$G662,$F662)&gt;=DATE(PlanYear,4,1)),1,0))</f>
        <v>0</v>
      </c>
      <c r="S662">
        <f>IF($N662=0,0,IF(AND($F662&lt;=EOMONTH(DATE(PlanYear,5,1),0),IF(ISNUMBER($G662),$G662,$F662)&gt;=DATE(PlanYear,5,1)),1,0))</f>
        <v>0</v>
      </c>
      <c r="T662">
        <f>IF($N662=0,0,IF(AND($F662&lt;=EOMONTH(DATE(PlanYear,6,1),0),IF(ISNUMBER($G662),$G662,$F662)&gt;=DATE(PlanYear,6,1)),1,0))</f>
        <v>0</v>
      </c>
      <c r="U662">
        <f>IF($N662=0,0,IF(AND($F662&lt;=EOMONTH(DATE(PlanYear,7,1),0),IF(ISNUMBER($G662),$G662,$F662)&gt;=DATE(PlanYear,7,1)),1,0))</f>
        <v>0</v>
      </c>
      <c r="V662">
        <f>IF($N662=0,0,IF(AND($F662&lt;=EOMONTH(DATE(PlanYear,8,1),0),IF(ISNUMBER($G662),$G662,$F662)&gt;=DATE(PlanYear,8,1)),1,0))</f>
        <v>0</v>
      </c>
      <c r="W662">
        <f>IF($N662=0,0,IF(AND($F662&lt;=EOMONTH(DATE(PlanYear,9,1),0),IF(ISNUMBER($G662),$G662,$F662)&gt;=DATE(PlanYear,9,1)),1,0))</f>
        <v>0</v>
      </c>
      <c r="X662">
        <f>IF($N662=0,0,IF(AND($F662&lt;=EOMONTH(DATE(PlanYear,10,1),0),IF(ISNUMBER($G662),$G662,$F662)&gt;=DATE(PlanYear,10,1)),1,0))</f>
        <v>0</v>
      </c>
      <c r="Y662">
        <f>IF($N662=0,0,IF(AND($F662&lt;=EOMONTH(DATE(PlanYear,11,1),0),IF(ISNUMBER($G662),$G662,$F662)&gt;=DATE(PlanYear,11,1)),1,0))</f>
        <v>0</v>
      </c>
      <c r="Z662">
        <f>IF($N662=0,0,IF(AND($F662&lt;=EOMONTH(DATE(PlanYear,12,1),0),IF(ISNUMBER($G662),$G662,$F662)&gt;=DATE(PlanYear,12,1)),1,0))</f>
        <v>0</v>
      </c>
      <c r="AA662">
        <f>SUM($O662:$Z662)</f>
        <v>0</v>
      </c>
    </row>
    <row r="663" spans="1:27">
      <c r="A663" s="42">
        <f>IF($B663="","","ACT-"&amp;TEXT(ROW()-4,"000"))</f>
        <v>0</v>
      </c>
      <c r="M663" s="43">
        <f>IF(COUNTA($B663:$K663)=0,"",IF($B663="","Missing activity name",IF($C663="","Missing practice",IF(COUNTIF(PracticeNames,$C663)=0,"Practice not in Lists",IF($D663="","Missing motion",IF(NOT(ISNUMBER($F663)),"Missing or invalid start date",IF(AND(ISNUMBER($G663),$G663&lt;$F663),"End date before start",IF(AND($N663=1,$AA663=0),"Outside planning year","OK"))))))))</f>
        <v>0</v>
      </c>
      <c r="N663">
        <f>IF(AND($B663&lt;&gt;"",$C663&lt;&gt;"",$D663&lt;&gt;"",ISNUMBER($F663),COUNTIF(PracticeNames,$C663)&gt;0,COUNTIF(MotionNames,$D663)&gt;0,NOT(AND(ISNUMBER($G663),$G663&lt;$F663))),IF(StatusFilter="All (excl. Cancelled)",IF($H663="Cancelled",0,1),IF(StatusFilter="All",1,IF($H663=StatusFilter,1,0))),0)</f>
        <v>0</v>
      </c>
      <c r="O663">
        <f>IF($N663=0,0,IF(AND($F663&lt;=EOMONTH(DATE(PlanYear,1,1),0),IF(ISNUMBER($G663),$G663,$F663)&gt;=DATE(PlanYear,1,1)),1,0))</f>
        <v>0</v>
      </c>
      <c r="P663">
        <f>IF($N663=0,0,IF(AND($F663&lt;=EOMONTH(DATE(PlanYear,2,1),0),IF(ISNUMBER($G663),$G663,$F663)&gt;=DATE(PlanYear,2,1)),1,0))</f>
        <v>0</v>
      </c>
      <c r="Q663">
        <f>IF($N663=0,0,IF(AND($F663&lt;=EOMONTH(DATE(PlanYear,3,1),0),IF(ISNUMBER($G663),$G663,$F663)&gt;=DATE(PlanYear,3,1)),1,0))</f>
        <v>0</v>
      </c>
      <c r="R663">
        <f>IF($N663=0,0,IF(AND($F663&lt;=EOMONTH(DATE(PlanYear,4,1),0),IF(ISNUMBER($G663),$G663,$F663)&gt;=DATE(PlanYear,4,1)),1,0))</f>
        <v>0</v>
      </c>
      <c r="S663">
        <f>IF($N663=0,0,IF(AND($F663&lt;=EOMONTH(DATE(PlanYear,5,1),0),IF(ISNUMBER($G663),$G663,$F663)&gt;=DATE(PlanYear,5,1)),1,0))</f>
        <v>0</v>
      </c>
      <c r="T663">
        <f>IF($N663=0,0,IF(AND($F663&lt;=EOMONTH(DATE(PlanYear,6,1),0),IF(ISNUMBER($G663),$G663,$F663)&gt;=DATE(PlanYear,6,1)),1,0))</f>
        <v>0</v>
      </c>
      <c r="U663">
        <f>IF($N663=0,0,IF(AND($F663&lt;=EOMONTH(DATE(PlanYear,7,1),0),IF(ISNUMBER($G663),$G663,$F663)&gt;=DATE(PlanYear,7,1)),1,0))</f>
        <v>0</v>
      </c>
      <c r="V663">
        <f>IF($N663=0,0,IF(AND($F663&lt;=EOMONTH(DATE(PlanYear,8,1),0),IF(ISNUMBER($G663),$G663,$F663)&gt;=DATE(PlanYear,8,1)),1,0))</f>
        <v>0</v>
      </c>
      <c r="W663">
        <f>IF($N663=0,0,IF(AND($F663&lt;=EOMONTH(DATE(PlanYear,9,1),0),IF(ISNUMBER($G663),$G663,$F663)&gt;=DATE(PlanYear,9,1)),1,0))</f>
        <v>0</v>
      </c>
      <c r="X663">
        <f>IF($N663=0,0,IF(AND($F663&lt;=EOMONTH(DATE(PlanYear,10,1),0),IF(ISNUMBER($G663),$G663,$F663)&gt;=DATE(PlanYear,10,1)),1,0))</f>
        <v>0</v>
      </c>
      <c r="Y663">
        <f>IF($N663=0,0,IF(AND($F663&lt;=EOMONTH(DATE(PlanYear,11,1),0),IF(ISNUMBER($G663),$G663,$F663)&gt;=DATE(PlanYear,11,1)),1,0))</f>
        <v>0</v>
      </c>
      <c r="Z663">
        <f>IF($N663=0,0,IF(AND($F663&lt;=EOMONTH(DATE(PlanYear,12,1),0),IF(ISNUMBER($G663),$G663,$F663)&gt;=DATE(PlanYear,12,1)),1,0))</f>
        <v>0</v>
      </c>
      <c r="AA663">
        <f>SUM($O663:$Z663)</f>
        <v>0</v>
      </c>
    </row>
    <row r="664" spans="1:27">
      <c r="A664" s="42">
        <f>IF($B664="","","ACT-"&amp;TEXT(ROW()-4,"000"))</f>
        <v>0</v>
      </c>
      <c r="M664" s="43">
        <f>IF(COUNTA($B664:$K664)=0,"",IF($B664="","Missing activity name",IF($C664="","Missing practice",IF(COUNTIF(PracticeNames,$C664)=0,"Practice not in Lists",IF($D664="","Missing motion",IF(NOT(ISNUMBER($F664)),"Missing or invalid start date",IF(AND(ISNUMBER($G664),$G664&lt;$F664),"End date before start",IF(AND($N664=1,$AA664=0),"Outside planning year","OK"))))))))</f>
        <v>0</v>
      </c>
      <c r="N664">
        <f>IF(AND($B664&lt;&gt;"",$C664&lt;&gt;"",$D664&lt;&gt;"",ISNUMBER($F664),COUNTIF(PracticeNames,$C664)&gt;0,COUNTIF(MotionNames,$D664)&gt;0,NOT(AND(ISNUMBER($G664),$G664&lt;$F664))),IF(StatusFilter="All (excl. Cancelled)",IF($H664="Cancelled",0,1),IF(StatusFilter="All",1,IF($H664=StatusFilter,1,0))),0)</f>
        <v>0</v>
      </c>
      <c r="O664">
        <f>IF($N664=0,0,IF(AND($F664&lt;=EOMONTH(DATE(PlanYear,1,1),0),IF(ISNUMBER($G664),$G664,$F664)&gt;=DATE(PlanYear,1,1)),1,0))</f>
        <v>0</v>
      </c>
      <c r="P664">
        <f>IF($N664=0,0,IF(AND($F664&lt;=EOMONTH(DATE(PlanYear,2,1),0),IF(ISNUMBER($G664),$G664,$F664)&gt;=DATE(PlanYear,2,1)),1,0))</f>
        <v>0</v>
      </c>
      <c r="Q664">
        <f>IF($N664=0,0,IF(AND($F664&lt;=EOMONTH(DATE(PlanYear,3,1),0),IF(ISNUMBER($G664),$G664,$F664)&gt;=DATE(PlanYear,3,1)),1,0))</f>
        <v>0</v>
      </c>
      <c r="R664">
        <f>IF($N664=0,0,IF(AND($F664&lt;=EOMONTH(DATE(PlanYear,4,1),0),IF(ISNUMBER($G664),$G664,$F664)&gt;=DATE(PlanYear,4,1)),1,0))</f>
        <v>0</v>
      </c>
      <c r="S664">
        <f>IF($N664=0,0,IF(AND($F664&lt;=EOMONTH(DATE(PlanYear,5,1),0),IF(ISNUMBER($G664),$G664,$F664)&gt;=DATE(PlanYear,5,1)),1,0))</f>
        <v>0</v>
      </c>
      <c r="T664">
        <f>IF($N664=0,0,IF(AND($F664&lt;=EOMONTH(DATE(PlanYear,6,1),0),IF(ISNUMBER($G664),$G664,$F664)&gt;=DATE(PlanYear,6,1)),1,0))</f>
        <v>0</v>
      </c>
      <c r="U664">
        <f>IF($N664=0,0,IF(AND($F664&lt;=EOMONTH(DATE(PlanYear,7,1),0),IF(ISNUMBER($G664),$G664,$F664)&gt;=DATE(PlanYear,7,1)),1,0))</f>
        <v>0</v>
      </c>
      <c r="V664">
        <f>IF($N664=0,0,IF(AND($F664&lt;=EOMONTH(DATE(PlanYear,8,1),0),IF(ISNUMBER($G664),$G664,$F664)&gt;=DATE(PlanYear,8,1)),1,0))</f>
        <v>0</v>
      </c>
      <c r="W664">
        <f>IF($N664=0,0,IF(AND($F664&lt;=EOMONTH(DATE(PlanYear,9,1),0),IF(ISNUMBER($G664),$G664,$F664)&gt;=DATE(PlanYear,9,1)),1,0))</f>
        <v>0</v>
      </c>
      <c r="X664">
        <f>IF($N664=0,0,IF(AND($F664&lt;=EOMONTH(DATE(PlanYear,10,1),0),IF(ISNUMBER($G664),$G664,$F664)&gt;=DATE(PlanYear,10,1)),1,0))</f>
        <v>0</v>
      </c>
      <c r="Y664">
        <f>IF($N664=0,0,IF(AND($F664&lt;=EOMONTH(DATE(PlanYear,11,1),0),IF(ISNUMBER($G664),$G664,$F664)&gt;=DATE(PlanYear,11,1)),1,0))</f>
        <v>0</v>
      </c>
      <c r="Z664">
        <f>IF($N664=0,0,IF(AND($F664&lt;=EOMONTH(DATE(PlanYear,12,1),0),IF(ISNUMBER($G664),$G664,$F664)&gt;=DATE(PlanYear,12,1)),1,0))</f>
        <v>0</v>
      </c>
      <c r="AA664">
        <f>SUM($O664:$Z664)</f>
        <v>0</v>
      </c>
    </row>
    <row r="665" spans="1:27">
      <c r="A665" s="42">
        <f>IF($B665="","","ACT-"&amp;TEXT(ROW()-4,"000"))</f>
        <v>0</v>
      </c>
      <c r="M665" s="43">
        <f>IF(COUNTA($B665:$K665)=0,"",IF($B665="","Missing activity name",IF($C665="","Missing practice",IF(COUNTIF(PracticeNames,$C665)=0,"Practice not in Lists",IF($D665="","Missing motion",IF(NOT(ISNUMBER($F665)),"Missing or invalid start date",IF(AND(ISNUMBER($G665),$G665&lt;$F665),"End date before start",IF(AND($N665=1,$AA665=0),"Outside planning year","OK"))))))))</f>
        <v>0</v>
      </c>
      <c r="N665">
        <f>IF(AND($B665&lt;&gt;"",$C665&lt;&gt;"",$D665&lt;&gt;"",ISNUMBER($F665),COUNTIF(PracticeNames,$C665)&gt;0,COUNTIF(MotionNames,$D665)&gt;0,NOT(AND(ISNUMBER($G665),$G665&lt;$F665))),IF(StatusFilter="All (excl. Cancelled)",IF($H665="Cancelled",0,1),IF(StatusFilter="All",1,IF($H665=StatusFilter,1,0))),0)</f>
        <v>0</v>
      </c>
      <c r="O665">
        <f>IF($N665=0,0,IF(AND($F665&lt;=EOMONTH(DATE(PlanYear,1,1),0),IF(ISNUMBER($G665),$G665,$F665)&gt;=DATE(PlanYear,1,1)),1,0))</f>
        <v>0</v>
      </c>
      <c r="P665">
        <f>IF($N665=0,0,IF(AND($F665&lt;=EOMONTH(DATE(PlanYear,2,1),0),IF(ISNUMBER($G665),$G665,$F665)&gt;=DATE(PlanYear,2,1)),1,0))</f>
        <v>0</v>
      </c>
      <c r="Q665">
        <f>IF($N665=0,0,IF(AND($F665&lt;=EOMONTH(DATE(PlanYear,3,1),0),IF(ISNUMBER($G665),$G665,$F665)&gt;=DATE(PlanYear,3,1)),1,0))</f>
        <v>0</v>
      </c>
      <c r="R665">
        <f>IF($N665=0,0,IF(AND($F665&lt;=EOMONTH(DATE(PlanYear,4,1),0),IF(ISNUMBER($G665),$G665,$F665)&gt;=DATE(PlanYear,4,1)),1,0))</f>
        <v>0</v>
      </c>
      <c r="S665">
        <f>IF($N665=0,0,IF(AND($F665&lt;=EOMONTH(DATE(PlanYear,5,1),0),IF(ISNUMBER($G665),$G665,$F665)&gt;=DATE(PlanYear,5,1)),1,0))</f>
        <v>0</v>
      </c>
      <c r="T665">
        <f>IF($N665=0,0,IF(AND($F665&lt;=EOMONTH(DATE(PlanYear,6,1),0),IF(ISNUMBER($G665),$G665,$F665)&gt;=DATE(PlanYear,6,1)),1,0))</f>
        <v>0</v>
      </c>
      <c r="U665">
        <f>IF($N665=0,0,IF(AND($F665&lt;=EOMONTH(DATE(PlanYear,7,1),0),IF(ISNUMBER($G665),$G665,$F665)&gt;=DATE(PlanYear,7,1)),1,0))</f>
        <v>0</v>
      </c>
      <c r="V665">
        <f>IF($N665=0,0,IF(AND($F665&lt;=EOMONTH(DATE(PlanYear,8,1),0),IF(ISNUMBER($G665),$G665,$F665)&gt;=DATE(PlanYear,8,1)),1,0))</f>
        <v>0</v>
      </c>
      <c r="W665">
        <f>IF($N665=0,0,IF(AND($F665&lt;=EOMONTH(DATE(PlanYear,9,1),0),IF(ISNUMBER($G665),$G665,$F665)&gt;=DATE(PlanYear,9,1)),1,0))</f>
        <v>0</v>
      </c>
      <c r="X665">
        <f>IF($N665=0,0,IF(AND($F665&lt;=EOMONTH(DATE(PlanYear,10,1),0),IF(ISNUMBER($G665),$G665,$F665)&gt;=DATE(PlanYear,10,1)),1,0))</f>
        <v>0</v>
      </c>
      <c r="Y665">
        <f>IF($N665=0,0,IF(AND($F665&lt;=EOMONTH(DATE(PlanYear,11,1),0),IF(ISNUMBER($G665),$G665,$F665)&gt;=DATE(PlanYear,11,1)),1,0))</f>
        <v>0</v>
      </c>
      <c r="Z665">
        <f>IF($N665=0,0,IF(AND($F665&lt;=EOMONTH(DATE(PlanYear,12,1),0),IF(ISNUMBER($G665),$G665,$F665)&gt;=DATE(PlanYear,12,1)),1,0))</f>
        <v>0</v>
      </c>
      <c r="AA665">
        <f>SUM($O665:$Z665)</f>
        <v>0</v>
      </c>
    </row>
    <row r="666" spans="1:27">
      <c r="A666" s="42">
        <f>IF($B666="","","ACT-"&amp;TEXT(ROW()-4,"000"))</f>
        <v>0</v>
      </c>
      <c r="M666" s="43">
        <f>IF(COUNTA($B666:$K666)=0,"",IF($B666="","Missing activity name",IF($C666="","Missing practice",IF(COUNTIF(PracticeNames,$C666)=0,"Practice not in Lists",IF($D666="","Missing motion",IF(NOT(ISNUMBER($F666)),"Missing or invalid start date",IF(AND(ISNUMBER($G666),$G666&lt;$F666),"End date before start",IF(AND($N666=1,$AA666=0),"Outside planning year","OK"))))))))</f>
        <v>0</v>
      </c>
      <c r="N666">
        <f>IF(AND($B666&lt;&gt;"",$C666&lt;&gt;"",$D666&lt;&gt;"",ISNUMBER($F666),COUNTIF(PracticeNames,$C666)&gt;0,COUNTIF(MotionNames,$D666)&gt;0,NOT(AND(ISNUMBER($G666),$G666&lt;$F666))),IF(StatusFilter="All (excl. Cancelled)",IF($H666="Cancelled",0,1),IF(StatusFilter="All",1,IF($H666=StatusFilter,1,0))),0)</f>
        <v>0</v>
      </c>
      <c r="O666">
        <f>IF($N666=0,0,IF(AND($F666&lt;=EOMONTH(DATE(PlanYear,1,1),0),IF(ISNUMBER($G666),$G666,$F666)&gt;=DATE(PlanYear,1,1)),1,0))</f>
        <v>0</v>
      </c>
      <c r="P666">
        <f>IF($N666=0,0,IF(AND($F666&lt;=EOMONTH(DATE(PlanYear,2,1),0),IF(ISNUMBER($G666),$G666,$F666)&gt;=DATE(PlanYear,2,1)),1,0))</f>
        <v>0</v>
      </c>
      <c r="Q666">
        <f>IF($N666=0,0,IF(AND($F666&lt;=EOMONTH(DATE(PlanYear,3,1),0),IF(ISNUMBER($G666),$G666,$F666)&gt;=DATE(PlanYear,3,1)),1,0))</f>
        <v>0</v>
      </c>
      <c r="R666">
        <f>IF($N666=0,0,IF(AND($F666&lt;=EOMONTH(DATE(PlanYear,4,1),0),IF(ISNUMBER($G666),$G666,$F666)&gt;=DATE(PlanYear,4,1)),1,0))</f>
        <v>0</v>
      </c>
      <c r="S666">
        <f>IF($N666=0,0,IF(AND($F666&lt;=EOMONTH(DATE(PlanYear,5,1),0),IF(ISNUMBER($G666),$G666,$F666)&gt;=DATE(PlanYear,5,1)),1,0))</f>
        <v>0</v>
      </c>
      <c r="T666">
        <f>IF($N666=0,0,IF(AND($F666&lt;=EOMONTH(DATE(PlanYear,6,1),0),IF(ISNUMBER($G666),$G666,$F666)&gt;=DATE(PlanYear,6,1)),1,0))</f>
        <v>0</v>
      </c>
      <c r="U666">
        <f>IF($N666=0,0,IF(AND($F666&lt;=EOMONTH(DATE(PlanYear,7,1),0),IF(ISNUMBER($G666),$G666,$F666)&gt;=DATE(PlanYear,7,1)),1,0))</f>
        <v>0</v>
      </c>
      <c r="V666">
        <f>IF($N666=0,0,IF(AND($F666&lt;=EOMONTH(DATE(PlanYear,8,1),0),IF(ISNUMBER($G666),$G666,$F666)&gt;=DATE(PlanYear,8,1)),1,0))</f>
        <v>0</v>
      </c>
      <c r="W666">
        <f>IF($N666=0,0,IF(AND($F666&lt;=EOMONTH(DATE(PlanYear,9,1),0),IF(ISNUMBER($G666),$G666,$F666)&gt;=DATE(PlanYear,9,1)),1,0))</f>
        <v>0</v>
      </c>
      <c r="X666">
        <f>IF($N666=0,0,IF(AND($F666&lt;=EOMONTH(DATE(PlanYear,10,1),0),IF(ISNUMBER($G666),$G666,$F666)&gt;=DATE(PlanYear,10,1)),1,0))</f>
        <v>0</v>
      </c>
      <c r="Y666">
        <f>IF($N666=0,0,IF(AND($F666&lt;=EOMONTH(DATE(PlanYear,11,1),0),IF(ISNUMBER($G666),$G666,$F666)&gt;=DATE(PlanYear,11,1)),1,0))</f>
        <v>0</v>
      </c>
      <c r="Z666">
        <f>IF($N666=0,0,IF(AND($F666&lt;=EOMONTH(DATE(PlanYear,12,1),0),IF(ISNUMBER($G666),$G666,$F666)&gt;=DATE(PlanYear,12,1)),1,0))</f>
        <v>0</v>
      </c>
      <c r="AA666">
        <f>SUM($O666:$Z666)</f>
        <v>0</v>
      </c>
    </row>
    <row r="667" spans="1:27">
      <c r="A667" s="42">
        <f>IF($B667="","","ACT-"&amp;TEXT(ROW()-4,"000"))</f>
        <v>0</v>
      </c>
      <c r="M667" s="43">
        <f>IF(COUNTA($B667:$K667)=0,"",IF($B667="","Missing activity name",IF($C667="","Missing practice",IF(COUNTIF(PracticeNames,$C667)=0,"Practice not in Lists",IF($D667="","Missing motion",IF(NOT(ISNUMBER($F667)),"Missing or invalid start date",IF(AND(ISNUMBER($G667),$G667&lt;$F667),"End date before start",IF(AND($N667=1,$AA667=0),"Outside planning year","OK"))))))))</f>
        <v>0</v>
      </c>
      <c r="N667">
        <f>IF(AND($B667&lt;&gt;"",$C667&lt;&gt;"",$D667&lt;&gt;"",ISNUMBER($F667),COUNTIF(PracticeNames,$C667)&gt;0,COUNTIF(MotionNames,$D667)&gt;0,NOT(AND(ISNUMBER($G667),$G667&lt;$F667))),IF(StatusFilter="All (excl. Cancelled)",IF($H667="Cancelled",0,1),IF(StatusFilter="All",1,IF($H667=StatusFilter,1,0))),0)</f>
        <v>0</v>
      </c>
      <c r="O667">
        <f>IF($N667=0,0,IF(AND($F667&lt;=EOMONTH(DATE(PlanYear,1,1),0),IF(ISNUMBER($G667),$G667,$F667)&gt;=DATE(PlanYear,1,1)),1,0))</f>
        <v>0</v>
      </c>
      <c r="P667">
        <f>IF($N667=0,0,IF(AND($F667&lt;=EOMONTH(DATE(PlanYear,2,1),0),IF(ISNUMBER($G667),$G667,$F667)&gt;=DATE(PlanYear,2,1)),1,0))</f>
        <v>0</v>
      </c>
      <c r="Q667">
        <f>IF($N667=0,0,IF(AND($F667&lt;=EOMONTH(DATE(PlanYear,3,1),0),IF(ISNUMBER($G667),$G667,$F667)&gt;=DATE(PlanYear,3,1)),1,0))</f>
        <v>0</v>
      </c>
      <c r="R667">
        <f>IF($N667=0,0,IF(AND($F667&lt;=EOMONTH(DATE(PlanYear,4,1),0),IF(ISNUMBER($G667),$G667,$F667)&gt;=DATE(PlanYear,4,1)),1,0))</f>
        <v>0</v>
      </c>
      <c r="S667">
        <f>IF($N667=0,0,IF(AND($F667&lt;=EOMONTH(DATE(PlanYear,5,1),0),IF(ISNUMBER($G667),$G667,$F667)&gt;=DATE(PlanYear,5,1)),1,0))</f>
        <v>0</v>
      </c>
      <c r="T667">
        <f>IF($N667=0,0,IF(AND($F667&lt;=EOMONTH(DATE(PlanYear,6,1),0),IF(ISNUMBER($G667),$G667,$F667)&gt;=DATE(PlanYear,6,1)),1,0))</f>
        <v>0</v>
      </c>
      <c r="U667">
        <f>IF($N667=0,0,IF(AND($F667&lt;=EOMONTH(DATE(PlanYear,7,1),0),IF(ISNUMBER($G667),$G667,$F667)&gt;=DATE(PlanYear,7,1)),1,0))</f>
        <v>0</v>
      </c>
      <c r="V667">
        <f>IF($N667=0,0,IF(AND($F667&lt;=EOMONTH(DATE(PlanYear,8,1),0),IF(ISNUMBER($G667),$G667,$F667)&gt;=DATE(PlanYear,8,1)),1,0))</f>
        <v>0</v>
      </c>
      <c r="W667">
        <f>IF($N667=0,0,IF(AND($F667&lt;=EOMONTH(DATE(PlanYear,9,1),0),IF(ISNUMBER($G667),$G667,$F667)&gt;=DATE(PlanYear,9,1)),1,0))</f>
        <v>0</v>
      </c>
      <c r="X667">
        <f>IF($N667=0,0,IF(AND($F667&lt;=EOMONTH(DATE(PlanYear,10,1),0),IF(ISNUMBER($G667),$G667,$F667)&gt;=DATE(PlanYear,10,1)),1,0))</f>
        <v>0</v>
      </c>
      <c r="Y667">
        <f>IF($N667=0,0,IF(AND($F667&lt;=EOMONTH(DATE(PlanYear,11,1),0),IF(ISNUMBER($G667),$G667,$F667)&gt;=DATE(PlanYear,11,1)),1,0))</f>
        <v>0</v>
      </c>
      <c r="Z667">
        <f>IF($N667=0,0,IF(AND($F667&lt;=EOMONTH(DATE(PlanYear,12,1),0),IF(ISNUMBER($G667),$G667,$F667)&gt;=DATE(PlanYear,12,1)),1,0))</f>
        <v>0</v>
      </c>
      <c r="AA667">
        <f>SUM($O667:$Z667)</f>
        <v>0</v>
      </c>
    </row>
    <row r="668" spans="1:27">
      <c r="A668" s="42">
        <f>IF($B668="","","ACT-"&amp;TEXT(ROW()-4,"000"))</f>
        <v>0</v>
      </c>
      <c r="M668" s="43">
        <f>IF(COUNTA($B668:$K668)=0,"",IF($B668="","Missing activity name",IF($C668="","Missing practice",IF(COUNTIF(PracticeNames,$C668)=0,"Practice not in Lists",IF($D668="","Missing motion",IF(NOT(ISNUMBER($F668)),"Missing or invalid start date",IF(AND(ISNUMBER($G668),$G668&lt;$F668),"End date before start",IF(AND($N668=1,$AA668=0),"Outside planning year","OK"))))))))</f>
        <v>0</v>
      </c>
      <c r="N668">
        <f>IF(AND($B668&lt;&gt;"",$C668&lt;&gt;"",$D668&lt;&gt;"",ISNUMBER($F668),COUNTIF(PracticeNames,$C668)&gt;0,COUNTIF(MotionNames,$D668)&gt;0,NOT(AND(ISNUMBER($G668),$G668&lt;$F668))),IF(StatusFilter="All (excl. Cancelled)",IF($H668="Cancelled",0,1),IF(StatusFilter="All",1,IF($H668=StatusFilter,1,0))),0)</f>
        <v>0</v>
      </c>
      <c r="O668">
        <f>IF($N668=0,0,IF(AND($F668&lt;=EOMONTH(DATE(PlanYear,1,1),0),IF(ISNUMBER($G668),$G668,$F668)&gt;=DATE(PlanYear,1,1)),1,0))</f>
        <v>0</v>
      </c>
      <c r="P668">
        <f>IF($N668=0,0,IF(AND($F668&lt;=EOMONTH(DATE(PlanYear,2,1),0),IF(ISNUMBER($G668),$G668,$F668)&gt;=DATE(PlanYear,2,1)),1,0))</f>
        <v>0</v>
      </c>
      <c r="Q668">
        <f>IF($N668=0,0,IF(AND($F668&lt;=EOMONTH(DATE(PlanYear,3,1),0),IF(ISNUMBER($G668),$G668,$F668)&gt;=DATE(PlanYear,3,1)),1,0))</f>
        <v>0</v>
      </c>
      <c r="R668">
        <f>IF($N668=0,0,IF(AND($F668&lt;=EOMONTH(DATE(PlanYear,4,1),0),IF(ISNUMBER($G668),$G668,$F668)&gt;=DATE(PlanYear,4,1)),1,0))</f>
        <v>0</v>
      </c>
      <c r="S668">
        <f>IF($N668=0,0,IF(AND($F668&lt;=EOMONTH(DATE(PlanYear,5,1),0),IF(ISNUMBER($G668),$G668,$F668)&gt;=DATE(PlanYear,5,1)),1,0))</f>
        <v>0</v>
      </c>
      <c r="T668">
        <f>IF($N668=0,0,IF(AND($F668&lt;=EOMONTH(DATE(PlanYear,6,1),0),IF(ISNUMBER($G668),$G668,$F668)&gt;=DATE(PlanYear,6,1)),1,0))</f>
        <v>0</v>
      </c>
      <c r="U668">
        <f>IF($N668=0,0,IF(AND($F668&lt;=EOMONTH(DATE(PlanYear,7,1),0),IF(ISNUMBER($G668),$G668,$F668)&gt;=DATE(PlanYear,7,1)),1,0))</f>
        <v>0</v>
      </c>
      <c r="V668">
        <f>IF($N668=0,0,IF(AND($F668&lt;=EOMONTH(DATE(PlanYear,8,1),0),IF(ISNUMBER($G668),$G668,$F668)&gt;=DATE(PlanYear,8,1)),1,0))</f>
        <v>0</v>
      </c>
      <c r="W668">
        <f>IF($N668=0,0,IF(AND($F668&lt;=EOMONTH(DATE(PlanYear,9,1),0),IF(ISNUMBER($G668),$G668,$F668)&gt;=DATE(PlanYear,9,1)),1,0))</f>
        <v>0</v>
      </c>
      <c r="X668">
        <f>IF($N668=0,0,IF(AND($F668&lt;=EOMONTH(DATE(PlanYear,10,1),0),IF(ISNUMBER($G668),$G668,$F668)&gt;=DATE(PlanYear,10,1)),1,0))</f>
        <v>0</v>
      </c>
      <c r="Y668">
        <f>IF($N668=0,0,IF(AND($F668&lt;=EOMONTH(DATE(PlanYear,11,1),0),IF(ISNUMBER($G668),$G668,$F668)&gt;=DATE(PlanYear,11,1)),1,0))</f>
        <v>0</v>
      </c>
      <c r="Z668">
        <f>IF($N668=0,0,IF(AND($F668&lt;=EOMONTH(DATE(PlanYear,12,1),0),IF(ISNUMBER($G668),$G668,$F668)&gt;=DATE(PlanYear,12,1)),1,0))</f>
        <v>0</v>
      </c>
      <c r="AA668">
        <f>SUM($O668:$Z668)</f>
        <v>0</v>
      </c>
    </row>
    <row r="669" spans="1:27">
      <c r="A669" s="42">
        <f>IF($B669="","","ACT-"&amp;TEXT(ROW()-4,"000"))</f>
        <v>0</v>
      </c>
      <c r="M669" s="43">
        <f>IF(COUNTA($B669:$K669)=0,"",IF($B669="","Missing activity name",IF($C669="","Missing practice",IF(COUNTIF(PracticeNames,$C669)=0,"Practice not in Lists",IF($D669="","Missing motion",IF(NOT(ISNUMBER($F669)),"Missing or invalid start date",IF(AND(ISNUMBER($G669),$G669&lt;$F669),"End date before start",IF(AND($N669=1,$AA669=0),"Outside planning year","OK"))))))))</f>
        <v>0</v>
      </c>
      <c r="N669">
        <f>IF(AND($B669&lt;&gt;"",$C669&lt;&gt;"",$D669&lt;&gt;"",ISNUMBER($F669),COUNTIF(PracticeNames,$C669)&gt;0,COUNTIF(MotionNames,$D669)&gt;0,NOT(AND(ISNUMBER($G669),$G669&lt;$F669))),IF(StatusFilter="All (excl. Cancelled)",IF($H669="Cancelled",0,1),IF(StatusFilter="All",1,IF($H669=StatusFilter,1,0))),0)</f>
        <v>0</v>
      </c>
      <c r="O669">
        <f>IF($N669=0,0,IF(AND($F669&lt;=EOMONTH(DATE(PlanYear,1,1),0),IF(ISNUMBER($G669),$G669,$F669)&gt;=DATE(PlanYear,1,1)),1,0))</f>
        <v>0</v>
      </c>
      <c r="P669">
        <f>IF($N669=0,0,IF(AND($F669&lt;=EOMONTH(DATE(PlanYear,2,1),0),IF(ISNUMBER($G669),$G669,$F669)&gt;=DATE(PlanYear,2,1)),1,0))</f>
        <v>0</v>
      </c>
      <c r="Q669">
        <f>IF($N669=0,0,IF(AND($F669&lt;=EOMONTH(DATE(PlanYear,3,1),0),IF(ISNUMBER($G669),$G669,$F669)&gt;=DATE(PlanYear,3,1)),1,0))</f>
        <v>0</v>
      </c>
      <c r="R669">
        <f>IF($N669=0,0,IF(AND($F669&lt;=EOMONTH(DATE(PlanYear,4,1),0),IF(ISNUMBER($G669),$G669,$F669)&gt;=DATE(PlanYear,4,1)),1,0))</f>
        <v>0</v>
      </c>
      <c r="S669">
        <f>IF($N669=0,0,IF(AND($F669&lt;=EOMONTH(DATE(PlanYear,5,1),0),IF(ISNUMBER($G669),$G669,$F669)&gt;=DATE(PlanYear,5,1)),1,0))</f>
        <v>0</v>
      </c>
      <c r="T669">
        <f>IF($N669=0,0,IF(AND($F669&lt;=EOMONTH(DATE(PlanYear,6,1),0),IF(ISNUMBER($G669),$G669,$F669)&gt;=DATE(PlanYear,6,1)),1,0))</f>
        <v>0</v>
      </c>
      <c r="U669">
        <f>IF($N669=0,0,IF(AND($F669&lt;=EOMONTH(DATE(PlanYear,7,1),0),IF(ISNUMBER($G669),$G669,$F669)&gt;=DATE(PlanYear,7,1)),1,0))</f>
        <v>0</v>
      </c>
      <c r="V669">
        <f>IF($N669=0,0,IF(AND($F669&lt;=EOMONTH(DATE(PlanYear,8,1),0),IF(ISNUMBER($G669),$G669,$F669)&gt;=DATE(PlanYear,8,1)),1,0))</f>
        <v>0</v>
      </c>
      <c r="W669">
        <f>IF($N669=0,0,IF(AND($F669&lt;=EOMONTH(DATE(PlanYear,9,1),0),IF(ISNUMBER($G669),$G669,$F669)&gt;=DATE(PlanYear,9,1)),1,0))</f>
        <v>0</v>
      </c>
      <c r="X669">
        <f>IF($N669=0,0,IF(AND($F669&lt;=EOMONTH(DATE(PlanYear,10,1),0),IF(ISNUMBER($G669),$G669,$F669)&gt;=DATE(PlanYear,10,1)),1,0))</f>
        <v>0</v>
      </c>
      <c r="Y669">
        <f>IF($N669=0,0,IF(AND($F669&lt;=EOMONTH(DATE(PlanYear,11,1),0),IF(ISNUMBER($G669),$G669,$F669)&gt;=DATE(PlanYear,11,1)),1,0))</f>
        <v>0</v>
      </c>
      <c r="Z669">
        <f>IF($N669=0,0,IF(AND($F669&lt;=EOMONTH(DATE(PlanYear,12,1),0),IF(ISNUMBER($G669),$G669,$F669)&gt;=DATE(PlanYear,12,1)),1,0))</f>
        <v>0</v>
      </c>
      <c r="AA669">
        <f>SUM($O669:$Z669)</f>
        <v>0</v>
      </c>
    </row>
    <row r="670" spans="1:27">
      <c r="A670" s="42">
        <f>IF($B670="","","ACT-"&amp;TEXT(ROW()-4,"000"))</f>
        <v>0</v>
      </c>
      <c r="M670" s="43">
        <f>IF(COUNTA($B670:$K670)=0,"",IF($B670="","Missing activity name",IF($C670="","Missing practice",IF(COUNTIF(PracticeNames,$C670)=0,"Practice not in Lists",IF($D670="","Missing motion",IF(NOT(ISNUMBER($F670)),"Missing or invalid start date",IF(AND(ISNUMBER($G670),$G670&lt;$F670),"End date before start",IF(AND($N670=1,$AA670=0),"Outside planning year","OK"))))))))</f>
        <v>0</v>
      </c>
      <c r="N670">
        <f>IF(AND($B670&lt;&gt;"",$C670&lt;&gt;"",$D670&lt;&gt;"",ISNUMBER($F670),COUNTIF(PracticeNames,$C670)&gt;0,COUNTIF(MotionNames,$D670)&gt;0,NOT(AND(ISNUMBER($G670),$G670&lt;$F670))),IF(StatusFilter="All (excl. Cancelled)",IF($H670="Cancelled",0,1),IF(StatusFilter="All",1,IF($H670=StatusFilter,1,0))),0)</f>
        <v>0</v>
      </c>
      <c r="O670">
        <f>IF($N670=0,0,IF(AND($F670&lt;=EOMONTH(DATE(PlanYear,1,1),0),IF(ISNUMBER($G670),$G670,$F670)&gt;=DATE(PlanYear,1,1)),1,0))</f>
        <v>0</v>
      </c>
      <c r="P670">
        <f>IF($N670=0,0,IF(AND($F670&lt;=EOMONTH(DATE(PlanYear,2,1),0),IF(ISNUMBER($G670),$G670,$F670)&gt;=DATE(PlanYear,2,1)),1,0))</f>
        <v>0</v>
      </c>
      <c r="Q670">
        <f>IF($N670=0,0,IF(AND($F670&lt;=EOMONTH(DATE(PlanYear,3,1),0),IF(ISNUMBER($G670),$G670,$F670)&gt;=DATE(PlanYear,3,1)),1,0))</f>
        <v>0</v>
      </c>
      <c r="R670">
        <f>IF($N670=0,0,IF(AND($F670&lt;=EOMONTH(DATE(PlanYear,4,1),0),IF(ISNUMBER($G670),$G670,$F670)&gt;=DATE(PlanYear,4,1)),1,0))</f>
        <v>0</v>
      </c>
      <c r="S670">
        <f>IF($N670=0,0,IF(AND($F670&lt;=EOMONTH(DATE(PlanYear,5,1),0),IF(ISNUMBER($G670),$G670,$F670)&gt;=DATE(PlanYear,5,1)),1,0))</f>
        <v>0</v>
      </c>
      <c r="T670">
        <f>IF($N670=0,0,IF(AND($F670&lt;=EOMONTH(DATE(PlanYear,6,1),0),IF(ISNUMBER($G670),$G670,$F670)&gt;=DATE(PlanYear,6,1)),1,0))</f>
        <v>0</v>
      </c>
      <c r="U670">
        <f>IF($N670=0,0,IF(AND($F670&lt;=EOMONTH(DATE(PlanYear,7,1),0),IF(ISNUMBER($G670),$G670,$F670)&gt;=DATE(PlanYear,7,1)),1,0))</f>
        <v>0</v>
      </c>
      <c r="V670">
        <f>IF($N670=0,0,IF(AND($F670&lt;=EOMONTH(DATE(PlanYear,8,1),0),IF(ISNUMBER($G670),$G670,$F670)&gt;=DATE(PlanYear,8,1)),1,0))</f>
        <v>0</v>
      </c>
      <c r="W670">
        <f>IF($N670=0,0,IF(AND($F670&lt;=EOMONTH(DATE(PlanYear,9,1),0),IF(ISNUMBER($G670),$G670,$F670)&gt;=DATE(PlanYear,9,1)),1,0))</f>
        <v>0</v>
      </c>
      <c r="X670">
        <f>IF($N670=0,0,IF(AND($F670&lt;=EOMONTH(DATE(PlanYear,10,1),0),IF(ISNUMBER($G670),$G670,$F670)&gt;=DATE(PlanYear,10,1)),1,0))</f>
        <v>0</v>
      </c>
      <c r="Y670">
        <f>IF($N670=0,0,IF(AND($F670&lt;=EOMONTH(DATE(PlanYear,11,1),0),IF(ISNUMBER($G670),$G670,$F670)&gt;=DATE(PlanYear,11,1)),1,0))</f>
        <v>0</v>
      </c>
      <c r="Z670">
        <f>IF($N670=0,0,IF(AND($F670&lt;=EOMONTH(DATE(PlanYear,12,1),0),IF(ISNUMBER($G670),$G670,$F670)&gt;=DATE(PlanYear,12,1)),1,0))</f>
        <v>0</v>
      </c>
      <c r="AA670">
        <f>SUM($O670:$Z670)</f>
        <v>0</v>
      </c>
    </row>
    <row r="671" spans="1:27">
      <c r="A671" s="42">
        <f>IF($B671="","","ACT-"&amp;TEXT(ROW()-4,"000"))</f>
        <v>0</v>
      </c>
      <c r="M671" s="43">
        <f>IF(COUNTA($B671:$K671)=0,"",IF($B671="","Missing activity name",IF($C671="","Missing practice",IF(COUNTIF(PracticeNames,$C671)=0,"Practice not in Lists",IF($D671="","Missing motion",IF(NOT(ISNUMBER($F671)),"Missing or invalid start date",IF(AND(ISNUMBER($G671),$G671&lt;$F671),"End date before start",IF(AND($N671=1,$AA671=0),"Outside planning year","OK"))))))))</f>
        <v>0</v>
      </c>
      <c r="N671">
        <f>IF(AND($B671&lt;&gt;"",$C671&lt;&gt;"",$D671&lt;&gt;"",ISNUMBER($F671),COUNTIF(PracticeNames,$C671)&gt;0,COUNTIF(MotionNames,$D671)&gt;0,NOT(AND(ISNUMBER($G671),$G671&lt;$F671))),IF(StatusFilter="All (excl. Cancelled)",IF($H671="Cancelled",0,1),IF(StatusFilter="All",1,IF($H671=StatusFilter,1,0))),0)</f>
        <v>0</v>
      </c>
      <c r="O671">
        <f>IF($N671=0,0,IF(AND($F671&lt;=EOMONTH(DATE(PlanYear,1,1),0),IF(ISNUMBER($G671),$G671,$F671)&gt;=DATE(PlanYear,1,1)),1,0))</f>
        <v>0</v>
      </c>
      <c r="P671">
        <f>IF($N671=0,0,IF(AND($F671&lt;=EOMONTH(DATE(PlanYear,2,1),0),IF(ISNUMBER($G671),$G671,$F671)&gt;=DATE(PlanYear,2,1)),1,0))</f>
        <v>0</v>
      </c>
      <c r="Q671">
        <f>IF($N671=0,0,IF(AND($F671&lt;=EOMONTH(DATE(PlanYear,3,1),0),IF(ISNUMBER($G671),$G671,$F671)&gt;=DATE(PlanYear,3,1)),1,0))</f>
        <v>0</v>
      </c>
      <c r="R671">
        <f>IF($N671=0,0,IF(AND($F671&lt;=EOMONTH(DATE(PlanYear,4,1),0),IF(ISNUMBER($G671),$G671,$F671)&gt;=DATE(PlanYear,4,1)),1,0))</f>
        <v>0</v>
      </c>
      <c r="S671">
        <f>IF($N671=0,0,IF(AND($F671&lt;=EOMONTH(DATE(PlanYear,5,1),0),IF(ISNUMBER($G671),$G671,$F671)&gt;=DATE(PlanYear,5,1)),1,0))</f>
        <v>0</v>
      </c>
      <c r="T671">
        <f>IF($N671=0,0,IF(AND($F671&lt;=EOMONTH(DATE(PlanYear,6,1),0),IF(ISNUMBER($G671),$G671,$F671)&gt;=DATE(PlanYear,6,1)),1,0))</f>
        <v>0</v>
      </c>
      <c r="U671">
        <f>IF($N671=0,0,IF(AND($F671&lt;=EOMONTH(DATE(PlanYear,7,1),0),IF(ISNUMBER($G671),$G671,$F671)&gt;=DATE(PlanYear,7,1)),1,0))</f>
        <v>0</v>
      </c>
      <c r="V671">
        <f>IF($N671=0,0,IF(AND($F671&lt;=EOMONTH(DATE(PlanYear,8,1),0),IF(ISNUMBER($G671),$G671,$F671)&gt;=DATE(PlanYear,8,1)),1,0))</f>
        <v>0</v>
      </c>
      <c r="W671">
        <f>IF($N671=0,0,IF(AND($F671&lt;=EOMONTH(DATE(PlanYear,9,1),0),IF(ISNUMBER($G671),$G671,$F671)&gt;=DATE(PlanYear,9,1)),1,0))</f>
        <v>0</v>
      </c>
      <c r="X671">
        <f>IF($N671=0,0,IF(AND($F671&lt;=EOMONTH(DATE(PlanYear,10,1),0),IF(ISNUMBER($G671),$G671,$F671)&gt;=DATE(PlanYear,10,1)),1,0))</f>
        <v>0</v>
      </c>
      <c r="Y671">
        <f>IF($N671=0,0,IF(AND($F671&lt;=EOMONTH(DATE(PlanYear,11,1),0),IF(ISNUMBER($G671),$G671,$F671)&gt;=DATE(PlanYear,11,1)),1,0))</f>
        <v>0</v>
      </c>
      <c r="Z671">
        <f>IF($N671=0,0,IF(AND($F671&lt;=EOMONTH(DATE(PlanYear,12,1),0),IF(ISNUMBER($G671),$G671,$F671)&gt;=DATE(PlanYear,12,1)),1,0))</f>
        <v>0</v>
      </c>
      <c r="AA671">
        <f>SUM($O671:$Z671)</f>
        <v>0</v>
      </c>
    </row>
    <row r="672" spans="1:27">
      <c r="A672" s="42">
        <f>IF($B672="","","ACT-"&amp;TEXT(ROW()-4,"000"))</f>
        <v>0</v>
      </c>
      <c r="M672" s="43">
        <f>IF(COUNTA($B672:$K672)=0,"",IF($B672="","Missing activity name",IF($C672="","Missing practice",IF(COUNTIF(PracticeNames,$C672)=0,"Practice not in Lists",IF($D672="","Missing motion",IF(NOT(ISNUMBER($F672)),"Missing or invalid start date",IF(AND(ISNUMBER($G672),$G672&lt;$F672),"End date before start",IF(AND($N672=1,$AA672=0),"Outside planning year","OK"))))))))</f>
        <v>0</v>
      </c>
      <c r="N672">
        <f>IF(AND($B672&lt;&gt;"",$C672&lt;&gt;"",$D672&lt;&gt;"",ISNUMBER($F672),COUNTIF(PracticeNames,$C672)&gt;0,COUNTIF(MotionNames,$D672)&gt;0,NOT(AND(ISNUMBER($G672),$G672&lt;$F672))),IF(StatusFilter="All (excl. Cancelled)",IF($H672="Cancelled",0,1),IF(StatusFilter="All",1,IF($H672=StatusFilter,1,0))),0)</f>
        <v>0</v>
      </c>
      <c r="O672">
        <f>IF($N672=0,0,IF(AND($F672&lt;=EOMONTH(DATE(PlanYear,1,1),0),IF(ISNUMBER($G672),$G672,$F672)&gt;=DATE(PlanYear,1,1)),1,0))</f>
        <v>0</v>
      </c>
      <c r="P672">
        <f>IF($N672=0,0,IF(AND($F672&lt;=EOMONTH(DATE(PlanYear,2,1),0),IF(ISNUMBER($G672),$G672,$F672)&gt;=DATE(PlanYear,2,1)),1,0))</f>
        <v>0</v>
      </c>
      <c r="Q672">
        <f>IF($N672=0,0,IF(AND($F672&lt;=EOMONTH(DATE(PlanYear,3,1),0),IF(ISNUMBER($G672),$G672,$F672)&gt;=DATE(PlanYear,3,1)),1,0))</f>
        <v>0</v>
      </c>
      <c r="R672">
        <f>IF($N672=0,0,IF(AND($F672&lt;=EOMONTH(DATE(PlanYear,4,1),0),IF(ISNUMBER($G672),$G672,$F672)&gt;=DATE(PlanYear,4,1)),1,0))</f>
        <v>0</v>
      </c>
      <c r="S672">
        <f>IF($N672=0,0,IF(AND($F672&lt;=EOMONTH(DATE(PlanYear,5,1),0),IF(ISNUMBER($G672),$G672,$F672)&gt;=DATE(PlanYear,5,1)),1,0))</f>
        <v>0</v>
      </c>
      <c r="T672">
        <f>IF($N672=0,0,IF(AND($F672&lt;=EOMONTH(DATE(PlanYear,6,1),0),IF(ISNUMBER($G672),$G672,$F672)&gt;=DATE(PlanYear,6,1)),1,0))</f>
        <v>0</v>
      </c>
      <c r="U672">
        <f>IF($N672=0,0,IF(AND($F672&lt;=EOMONTH(DATE(PlanYear,7,1),0),IF(ISNUMBER($G672),$G672,$F672)&gt;=DATE(PlanYear,7,1)),1,0))</f>
        <v>0</v>
      </c>
      <c r="V672">
        <f>IF($N672=0,0,IF(AND($F672&lt;=EOMONTH(DATE(PlanYear,8,1),0),IF(ISNUMBER($G672),$G672,$F672)&gt;=DATE(PlanYear,8,1)),1,0))</f>
        <v>0</v>
      </c>
      <c r="W672">
        <f>IF($N672=0,0,IF(AND($F672&lt;=EOMONTH(DATE(PlanYear,9,1),0),IF(ISNUMBER($G672),$G672,$F672)&gt;=DATE(PlanYear,9,1)),1,0))</f>
        <v>0</v>
      </c>
      <c r="X672">
        <f>IF($N672=0,0,IF(AND($F672&lt;=EOMONTH(DATE(PlanYear,10,1),0),IF(ISNUMBER($G672),$G672,$F672)&gt;=DATE(PlanYear,10,1)),1,0))</f>
        <v>0</v>
      </c>
      <c r="Y672">
        <f>IF($N672=0,0,IF(AND($F672&lt;=EOMONTH(DATE(PlanYear,11,1),0),IF(ISNUMBER($G672),$G672,$F672)&gt;=DATE(PlanYear,11,1)),1,0))</f>
        <v>0</v>
      </c>
      <c r="Z672">
        <f>IF($N672=0,0,IF(AND($F672&lt;=EOMONTH(DATE(PlanYear,12,1),0),IF(ISNUMBER($G672),$G672,$F672)&gt;=DATE(PlanYear,12,1)),1,0))</f>
        <v>0</v>
      </c>
      <c r="AA672">
        <f>SUM($O672:$Z672)</f>
        <v>0</v>
      </c>
    </row>
    <row r="673" spans="1:27">
      <c r="A673" s="42">
        <f>IF($B673="","","ACT-"&amp;TEXT(ROW()-4,"000"))</f>
        <v>0</v>
      </c>
      <c r="M673" s="43">
        <f>IF(COUNTA($B673:$K673)=0,"",IF($B673="","Missing activity name",IF($C673="","Missing practice",IF(COUNTIF(PracticeNames,$C673)=0,"Practice not in Lists",IF($D673="","Missing motion",IF(NOT(ISNUMBER($F673)),"Missing or invalid start date",IF(AND(ISNUMBER($G673),$G673&lt;$F673),"End date before start",IF(AND($N673=1,$AA673=0),"Outside planning year","OK"))))))))</f>
        <v>0</v>
      </c>
      <c r="N673">
        <f>IF(AND($B673&lt;&gt;"",$C673&lt;&gt;"",$D673&lt;&gt;"",ISNUMBER($F673),COUNTIF(PracticeNames,$C673)&gt;0,COUNTIF(MotionNames,$D673)&gt;0,NOT(AND(ISNUMBER($G673),$G673&lt;$F673))),IF(StatusFilter="All (excl. Cancelled)",IF($H673="Cancelled",0,1),IF(StatusFilter="All",1,IF($H673=StatusFilter,1,0))),0)</f>
        <v>0</v>
      </c>
      <c r="O673">
        <f>IF($N673=0,0,IF(AND($F673&lt;=EOMONTH(DATE(PlanYear,1,1),0),IF(ISNUMBER($G673),$G673,$F673)&gt;=DATE(PlanYear,1,1)),1,0))</f>
        <v>0</v>
      </c>
      <c r="P673">
        <f>IF($N673=0,0,IF(AND($F673&lt;=EOMONTH(DATE(PlanYear,2,1),0),IF(ISNUMBER($G673),$G673,$F673)&gt;=DATE(PlanYear,2,1)),1,0))</f>
        <v>0</v>
      </c>
      <c r="Q673">
        <f>IF($N673=0,0,IF(AND($F673&lt;=EOMONTH(DATE(PlanYear,3,1),0),IF(ISNUMBER($G673),$G673,$F673)&gt;=DATE(PlanYear,3,1)),1,0))</f>
        <v>0</v>
      </c>
      <c r="R673">
        <f>IF($N673=0,0,IF(AND($F673&lt;=EOMONTH(DATE(PlanYear,4,1),0),IF(ISNUMBER($G673),$G673,$F673)&gt;=DATE(PlanYear,4,1)),1,0))</f>
        <v>0</v>
      </c>
      <c r="S673">
        <f>IF($N673=0,0,IF(AND($F673&lt;=EOMONTH(DATE(PlanYear,5,1),0),IF(ISNUMBER($G673),$G673,$F673)&gt;=DATE(PlanYear,5,1)),1,0))</f>
        <v>0</v>
      </c>
      <c r="T673">
        <f>IF($N673=0,0,IF(AND($F673&lt;=EOMONTH(DATE(PlanYear,6,1),0),IF(ISNUMBER($G673),$G673,$F673)&gt;=DATE(PlanYear,6,1)),1,0))</f>
        <v>0</v>
      </c>
      <c r="U673">
        <f>IF($N673=0,0,IF(AND($F673&lt;=EOMONTH(DATE(PlanYear,7,1),0),IF(ISNUMBER($G673),$G673,$F673)&gt;=DATE(PlanYear,7,1)),1,0))</f>
        <v>0</v>
      </c>
      <c r="V673">
        <f>IF($N673=0,0,IF(AND($F673&lt;=EOMONTH(DATE(PlanYear,8,1),0),IF(ISNUMBER($G673),$G673,$F673)&gt;=DATE(PlanYear,8,1)),1,0))</f>
        <v>0</v>
      </c>
      <c r="W673">
        <f>IF($N673=0,0,IF(AND($F673&lt;=EOMONTH(DATE(PlanYear,9,1),0),IF(ISNUMBER($G673),$G673,$F673)&gt;=DATE(PlanYear,9,1)),1,0))</f>
        <v>0</v>
      </c>
      <c r="X673">
        <f>IF($N673=0,0,IF(AND($F673&lt;=EOMONTH(DATE(PlanYear,10,1),0),IF(ISNUMBER($G673),$G673,$F673)&gt;=DATE(PlanYear,10,1)),1,0))</f>
        <v>0</v>
      </c>
      <c r="Y673">
        <f>IF($N673=0,0,IF(AND($F673&lt;=EOMONTH(DATE(PlanYear,11,1),0),IF(ISNUMBER($G673),$G673,$F673)&gt;=DATE(PlanYear,11,1)),1,0))</f>
        <v>0</v>
      </c>
      <c r="Z673">
        <f>IF($N673=0,0,IF(AND($F673&lt;=EOMONTH(DATE(PlanYear,12,1),0),IF(ISNUMBER($G673),$G673,$F673)&gt;=DATE(PlanYear,12,1)),1,0))</f>
        <v>0</v>
      </c>
      <c r="AA673">
        <f>SUM($O673:$Z673)</f>
        <v>0</v>
      </c>
    </row>
    <row r="674" spans="1:27">
      <c r="A674" s="42">
        <f>IF($B674="","","ACT-"&amp;TEXT(ROW()-4,"000"))</f>
        <v>0</v>
      </c>
      <c r="M674" s="43">
        <f>IF(COUNTA($B674:$K674)=0,"",IF($B674="","Missing activity name",IF($C674="","Missing practice",IF(COUNTIF(PracticeNames,$C674)=0,"Practice not in Lists",IF($D674="","Missing motion",IF(NOT(ISNUMBER($F674)),"Missing or invalid start date",IF(AND(ISNUMBER($G674),$G674&lt;$F674),"End date before start",IF(AND($N674=1,$AA674=0),"Outside planning year","OK"))))))))</f>
        <v>0</v>
      </c>
      <c r="N674">
        <f>IF(AND($B674&lt;&gt;"",$C674&lt;&gt;"",$D674&lt;&gt;"",ISNUMBER($F674),COUNTIF(PracticeNames,$C674)&gt;0,COUNTIF(MotionNames,$D674)&gt;0,NOT(AND(ISNUMBER($G674),$G674&lt;$F674))),IF(StatusFilter="All (excl. Cancelled)",IF($H674="Cancelled",0,1),IF(StatusFilter="All",1,IF($H674=StatusFilter,1,0))),0)</f>
        <v>0</v>
      </c>
      <c r="O674">
        <f>IF($N674=0,0,IF(AND($F674&lt;=EOMONTH(DATE(PlanYear,1,1),0),IF(ISNUMBER($G674),$G674,$F674)&gt;=DATE(PlanYear,1,1)),1,0))</f>
        <v>0</v>
      </c>
      <c r="P674">
        <f>IF($N674=0,0,IF(AND($F674&lt;=EOMONTH(DATE(PlanYear,2,1),0),IF(ISNUMBER($G674),$G674,$F674)&gt;=DATE(PlanYear,2,1)),1,0))</f>
        <v>0</v>
      </c>
      <c r="Q674">
        <f>IF($N674=0,0,IF(AND($F674&lt;=EOMONTH(DATE(PlanYear,3,1),0),IF(ISNUMBER($G674),$G674,$F674)&gt;=DATE(PlanYear,3,1)),1,0))</f>
        <v>0</v>
      </c>
      <c r="R674">
        <f>IF($N674=0,0,IF(AND($F674&lt;=EOMONTH(DATE(PlanYear,4,1),0),IF(ISNUMBER($G674),$G674,$F674)&gt;=DATE(PlanYear,4,1)),1,0))</f>
        <v>0</v>
      </c>
      <c r="S674">
        <f>IF($N674=0,0,IF(AND($F674&lt;=EOMONTH(DATE(PlanYear,5,1),0),IF(ISNUMBER($G674),$G674,$F674)&gt;=DATE(PlanYear,5,1)),1,0))</f>
        <v>0</v>
      </c>
      <c r="T674">
        <f>IF($N674=0,0,IF(AND($F674&lt;=EOMONTH(DATE(PlanYear,6,1),0),IF(ISNUMBER($G674),$G674,$F674)&gt;=DATE(PlanYear,6,1)),1,0))</f>
        <v>0</v>
      </c>
      <c r="U674">
        <f>IF($N674=0,0,IF(AND($F674&lt;=EOMONTH(DATE(PlanYear,7,1),0),IF(ISNUMBER($G674),$G674,$F674)&gt;=DATE(PlanYear,7,1)),1,0))</f>
        <v>0</v>
      </c>
      <c r="V674">
        <f>IF($N674=0,0,IF(AND($F674&lt;=EOMONTH(DATE(PlanYear,8,1),0),IF(ISNUMBER($G674),$G674,$F674)&gt;=DATE(PlanYear,8,1)),1,0))</f>
        <v>0</v>
      </c>
      <c r="W674">
        <f>IF($N674=0,0,IF(AND($F674&lt;=EOMONTH(DATE(PlanYear,9,1),0),IF(ISNUMBER($G674),$G674,$F674)&gt;=DATE(PlanYear,9,1)),1,0))</f>
        <v>0</v>
      </c>
      <c r="X674">
        <f>IF($N674=0,0,IF(AND($F674&lt;=EOMONTH(DATE(PlanYear,10,1),0),IF(ISNUMBER($G674),$G674,$F674)&gt;=DATE(PlanYear,10,1)),1,0))</f>
        <v>0</v>
      </c>
      <c r="Y674">
        <f>IF($N674=0,0,IF(AND($F674&lt;=EOMONTH(DATE(PlanYear,11,1),0),IF(ISNUMBER($G674),$G674,$F674)&gt;=DATE(PlanYear,11,1)),1,0))</f>
        <v>0</v>
      </c>
      <c r="Z674">
        <f>IF($N674=0,0,IF(AND($F674&lt;=EOMONTH(DATE(PlanYear,12,1),0),IF(ISNUMBER($G674),$G674,$F674)&gt;=DATE(PlanYear,12,1)),1,0))</f>
        <v>0</v>
      </c>
      <c r="AA674">
        <f>SUM($O674:$Z674)</f>
        <v>0</v>
      </c>
    </row>
    <row r="675" spans="1:27">
      <c r="A675" s="42">
        <f>IF($B675="","","ACT-"&amp;TEXT(ROW()-4,"000"))</f>
        <v>0</v>
      </c>
      <c r="M675" s="43">
        <f>IF(COUNTA($B675:$K675)=0,"",IF($B675="","Missing activity name",IF($C675="","Missing practice",IF(COUNTIF(PracticeNames,$C675)=0,"Practice not in Lists",IF($D675="","Missing motion",IF(NOT(ISNUMBER($F675)),"Missing or invalid start date",IF(AND(ISNUMBER($G675),$G675&lt;$F675),"End date before start",IF(AND($N675=1,$AA675=0),"Outside planning year","OK"))))))))</f>
        <v>0</v>
      </c>
      <c r="N675">
        <f>IF(AND($B675&lt;&gt;"",$C675&lt;&gt;"",$D675&lt;&gt;"",ISNUMBER($F675),COUNTIF(PracticeNames,$C675)&gt;0,COUNTIF(MotionNames,$D675)&gt;0,NOT(AND(ISNUMBER($G675),$G675&lt;$F675))),IF(StatusFilter="All (excl. Cancelled)",IF($H675="Cancelled",0,1),IF(StatusFilter="All",1,IF($H675=StatusFilter,1,0))),0)</f>
        <v>0</v>
      </c>
      <c r="O675">
        <f>IF($N675=0,0,IF(AND($F675&lt;=EOMONTH(DATE(PlanYear,1,1),0),IF(ISNUMBER($G675),$G675,$F675)&gt;=DATE(PlanYear,1,1)),1,0))</f>
        <v>0</v>
      </c>
      <c r="P675">
        <f>IF($N675=0,0,IF(AND($F675&lt;=EOMONTH(DATE(PlanYear,2,1),0),IF(ISNUMBER($G675),$G675,$F675)&gt;=DATE(PlanYear,2,1)),1,0))</f>
        <v>0</v>
      </c>
      <c r="Q675">
        <f>IF($N675=0,0,IF(AND($F675&lt;=EOMONTH(DATE(PlanYear,3,1),0),IF(ISNUMBER($G675),$G675,$F675)&gt;=DATE(PlanYear,3,1)),1,0))</f>
        <v>0</v>
      </c>
      <c r="R675">
        <f>IF($N675=0,0,IF(AND($F675&lt;=EOMONTH(DATE(PlanYear,4,1),0),IF(ISNUMBER($G675),$G675,$F675)&gt;=DATE(PlanYear,4,1)),1,0))</f>
        <v>0</v>
      </c>
      <c r="S675">
        <f>IF($N675=0,0,IF(AND($F675&lt;=EOMONTH(DATE(PlanYear,5,1),0),IF(ISNUMBER($G675),$G675,$F675)&gt;=DATE(PlanYear,5,1)),1,0))</f>
        <v>0</v>
      </c>
      <c r="T675">
        <f>IF($N675=0,0,IF(AND($F675&lt;=EOMONTH(DATE(PlanYear,6,1),0),IF(ISNUMBER($G675),$G675,$F675)&gt;=DATE(PlanYear,6,1)),1,0))</f>
        <v>0</v>
      </c>
      <c r="U675">
        <f>IF($N675=0,0,IF(AND($F675&lt;=EOMONTH(DATE(PlanYear,7,1),0),IF(ISNUMBER($G675),$G675,$F675)&gt;=DATE(PlanYear,7,1)),1,0))</f>
        <v>0</v>
      </c>
      <c r="V675">
        <f>IF($N675=0,0,IF(AND($F675&lt;=EOMONTH(DATE(PlanYear,8,1),0),IF(ISNUMBER($G675),$G675,$F675)&gt;=DATE(PlanYear,8,1)),1,0))</f>
        <v>0</v>
      </c>
      <c r="W675">
        <f>IF($N675=0,0,IF(AND($F675&lt;=EOMONTH(DATE(PlanYear,9,1),0),IF(ISNUMBER($G675),$G675,$F675)&gt;=DATE(PlanYear,9,1)),1,0))</f>
        <v>0</v>
      </c>
      <c r="X675">
        <f>IF($N675=0,0,IF(AND($F675&lt;=EOMONTH(DATE(PlanYear,10,1),0),IF(ISNUMBER($G675),$G675,$F675)&gt;=DATE(PlanYear,10,1)),1,0))</f>
        <v>0</v>
      </c>
      <c r="Y675">
        <f>IF($N675=0,0,IF(AND($F675&lt;=EOMONTH(DATE(PlanYear,11,1),0),IF(ISNUMBER($G675),$G675,$F675)&gt;=DATE(PlanYear,11,1)),1,0))</f>
        <v>0</v>
      </c>
      <c r="Z675">
        <f>IF($N675=0,0,IF(AND($F675&lt;=EOMONTH(DATE(PlanYear,12,1),0),IF(ISNUMBER($G675),$G675,$F675)&gt;=DATE(PlanYear,12,1)),1,0))</f>
        <v>0</v>
      </c>
      <c r="AA675">
        <f>SUM($O675:$Z675)</f>
        <v>0</v>
      </c>
    </row>
    <row r="676" spans="1:27">
      <c r="A676" s="42">
        <f>IF($B676="","","ACT-"&amp;TEXT(ROW()-4,"000"))</f>
        <v>0</v>
      </c>
      <c r="M676" s="43">
        <f>IF(COUNTA($B676:$K676)=0,"",IF($B676="","Missing activity name",IF($C676="","Missing practice",IF(COUNTIF(PracticeNames,$C676)=0,"Practice not in Lists",IF($D676="","Missing motion",IF(NOT(ISNUMBER($F676)),"Missing or invalid start date",IF(AND(ISNUMBER($G676),$G676&lt;$F676),"End date before start",IF(AND($N676=1,$AA676=0),"Outside planning year","OK"))))))))</f>
        <v>0</v>
      </c>
      <c r="N676">
        <f>IF(AND($B676&lt;&gt;"",$C676&lt;&gt;"",$D676&lt;&gt;"",ISNUMBER($F676),COUNTIF(PracticeNames,$C676)&gt;0,COUNTIF(MotionNames,$D676)&gt;0,NOT(AND(ISNUMBER($G676),$G676&lt;$F676))),IF(StatusFilter="All (excl. Cancelled)",IF($H676="Cancelled",0,1),IF(StatusFilter="All",1,IF($H676=StatusFilter,1,0))),0)</f>
        <v>0</v>
      </c>
      <c r="O676">
        <f>IF($N676=0,0,IF(AND($F676&lt;=EOMONTH(DATE(PlanYear,1,1),0),IF(ISNUMBER($G676),$G676,$F676)&gt;=DATE(PlanYear,1,1)),1,0))</f>
        <v>0</v>
      </c>
      <c r="P676">
        <f>IF($N676=0,0,IF(AND($F676&lt;=EOMONTH(DATE(PlanYear,2,1),0),IF(ISNUMBER($G676),$G676,$F676)&gt;=DATE(PlanYear,2,1)),1,0))</f>
        <v>0</v>
      </c>
      <c r="Q676">
        <f>IF($N676=0,0,IF(AND($F676&lt;=EOMONTH(DATE(PlanYear,3,1),0),IF(ISNUMBER($G676),$G676,$F676)&gt;=DATE(PlanYear,3,1)),1,0))</f>
        <v>0</v>
      </c>
      <c r="R676">
        <f>IF($N676=0,0,IF(AND($F676&lt;=EOMONTH(DATE(PlanYear,4,1),0),IF(ISNUMBER($G676),$G676,$F676)&gt;=DATE(PlanYear,4,1)),1,0))</f>
        <v>0</v>
      </c>
      <c r="S676">
        <f>IF($N676=0,0,IF(AND($F676&lt;=EOMONTH(DATE(PlanYear,5,1),0),IF(ISNUMBER($G676),$G676,$F676)&gt;=DATE(PlanYear,5,1)),1,0))</f>
        <v>0</v>
      </c>
      <c r="T676">
        <f>IF($N676=0,0,IF(AND($F676&lt;=EOMONTH(DATE(PlanYear,6,1),0),IF(ISNUMBER($G676),$G676,$F676)&gt;=DATE(PlanYear,6,1)),1,0))</f>
        <v>0</v>
      </c>
      <c r="U676">
        <f>IF($N676=0,0,IF(AND($F676&lt;=EOMONTH(DATE(PlanYear,7,1),0),IF(ISNUMBER($G676),$G676,$F676)&gt;=DATE(PlanYear,7,1)),1,0))</f>
        <v>0</v>
      </c>
      <c r="V676">
        <f>IF($N676=0,0,IF(AND($F676&lt;=EOMONTH(DATE(PlanYear,8,1),0),IF(ISNUMBER($G676),$G676,$F676)&gt;=DATE(PlanYear,8,1)),1,0))</f>
        <v>0</v>
      </c>
      <c r="W676">
        <f>IF($N676=0,0,IF(AND($F676&lt;=EOMONTH(DATE(PlanYear,9,1),0),IF(ISNUMBER($G676),$G676,$F676)&gt;=DATE(PlanYear,9,1)),1,0))</f>
        <v>0</v>
      </c>
      <c r="X676">
        <f>IF($N676=0,0,IF(AND($F676&lt;=EOMONTH(DATE(PlanYear,10,1),0),IF(ISNUMBER($G676),$G676,$F676)&gt;=DATE(PlanYear,10,1)),1,0))</f>
        <v>0</v>
      </c>
      <c r="Y676">
        <f>IF($N676=0,0,IF(AND($F676&lt;=EOMONTH(DATE(PlanYear,11,1),0),IF(ISNUMBER($G676),$G676,$F676)&gt;=DATE(PlanYear,11,1)),1,0))</f>
        <v>0</v>
      </c>
      <c r="Z676">
        <f>IF($N676=0,0,IF(AND($F676&lt;=EOMONTH(DATE(PlanYear,12,1),0),IF(ISNUMBER($G676),$G676,$F676)&gt;=DATE(PlanYear,12,1)),1,0))</f>
        <v>0</v>
      </c>
      <c r="AA676">
        <f>SUM($O676:$Z676)</f>
        <v>0</v>
      </c>
    </row>
    <row r="677" spans="1:27">
      <c r="A677" s="42">
        <f>IF($B677="","","ACT-"&amp;TEXT(ROW()-4,"000"))</f>
        <v>0</v>
      </c>
      <c r="M677" s="43">
        <f>IF(COUNTA($B677:$K677)=0,"",IF($B677="","Missing activity name",IF($C677="","Missing practice",IF(COUNTIF(PracticeNames,$C677)=0,"Practice not in Lists",IF($D677="","Missing motion",IF(NOT(ISNUMBER($F677)),"Missing or invalid start date",IF(AND(ISNUMBER($G677),$G677&lt;$F677),"End date before start",IF(AND($N677=1,$AA677=0),"Outside planning year","OK"))))))))</f>
        <v>0</v>
      </c>
      <c r="N677">
        <f>IF(AND($B677&lt;&gt;"",$C677&lt;&gt;"",$D677&lt;&gt;"",ISNUMBER($F677),COUNTIF(PracticeNames,$C677)&gt;0,COUNTIF(MotionNames,$D677)&gt;0,NOT(AND(ISNUMBER($G677),$G677&lt;$F677))),IF(StatusFilter="All (excl. Cancelled)",IF($H677="Cancelled",0,1),IF(StatusFilter="All",1,IF($H677=StatusFilter,1,0))),0)</f>
        <v>0</v>
      </c>
      <c r="O677">
        <f>IF($N677=0,0,IF(AND($F677&lt;=EOMONTH(DATE(PlanYear,1,1),0),IF(ISNUMBER($G677),$G677,$F677)&gt;=DATE(PlanYear,1,1)),1,0))</f>
        <v>0</v>
      </c>
      <c r="P677">
        <f>IF($N677=0,0,IF(AND($F677&lt;=EOMONTH(DATE(PlanYear,2,1),0),IF(ISNUMBER($G677),$G677,$F677)&gt;=DATE(PlanYear,2,1)),1,0))</f>
        <v>0</v>
      </c>
      <c r="Q677">
        <f>IF($N677=0,0,IF(AND($F677&lt;=EOMONTH(DATE(PlanYear,3,1),0),IF(ISNUMBER($G677),$G677,$F677)&gt;=DATE(PlanYear,3,1)),1,0))</f>
        <v>0</v>
      </c>
      <c r="R677">
        <f>IF($N677=0,0,IF(AND($F677&lt;=EOMONTH(DATE(PlanYear,4,1),0),IF(ISNUMBER($G677),$G677,$F677)&gt;=DATE(PlanYear,4,1)),1,0))</f>
        <v>0</v>
      </c>
      <c r="S677">
        <f>IF($N677=0,0,IF(AND($F677&lt;=EOMONTH(DATE(PlanYear,5,1),0),IF(ISNUMBER($G677),$G677,$F677)&gt;=DATE(PlanYear,5,1)),1,0))</f>
        <v>0</v>
      </c>
      <c r="T677">
        <f>IF($N677=0,0,IF(AND($F677&lt;=EOMONTH(DATE(PlanYear,6,1),0),IF(ISNUMBER($G677),$G677,$F677)&gt;=DATE(PlanYear,6,1)),1,0))</f>
        <v>0</v>
      </c>
      <c r="U677">
        <f>IF($N677=0,0,IF(AND($F677&lt;=EOMONTH(DATE(PlanYear,7,1),0),IF(ISNUMBER($G677),$G677,$F677)&gt;=DATE(PlanYear,7,1)),1,0))</f>
        <v>0</v>
      </c>
      <c r="V677">
        <f>IF($N677=0,0,IF(AND($F677&lt;=EOMONTH(DATE(PlanYear,8,1),0),IF(ISNUMBER($G677),$G677,$F677)&gt;=DATE(PlanYear,8,1)),1,0))</f>
        <v>0</v>
      </c>
      <c r="W677">
        <f>IF($N677=0,0,IF(AND($F677&lt;=EOMONTH(DATE(PlanYear,9,1),0),IF(ISNUMBER($G677),$G677,$F677)&gt;=DATE(PlanYear,9,1)),1,0))</f>
        <v>0</v>
      </c>
      <c r="X677">
        <f>IF($N677=0,0,IF(AND($F677&lt;=EOMONTH(DATE(PlanYear,10,1),0),IF(ISNUMBER($G677),$G677,$F677)&gt;=DATE(PlanYear,10,1)),1,0))</f>
        <v>0</v>
      </c>
      <c r="Y677">
        <f>IF($N677=0,0,IF(AND($F677&lt;=EOMONTH(DATE(PlanYear,11,1),0),IF(ISNUMBER($G677),$G677,$F677)&gt;=DATE(PlanYear,11,1)),1,0))</f>
        <v>0</v>
      </c>
      <c r="Z677">
        <f>IF($N677=0,0,IF(AND($F677&lt;=EOMONTH(DATE(PlanYear,12,1),0),IF(ISNUMBER($G677),$G677,$F677)&gt;=DATE(PlanYear,12,1)),1,0))</f>
        <v>0</v>
      </c>
      <c r="AA677">
        <f>SUM($O677:$Z677)</f>
        <v>0</v>
      </c>
    </row>
    <row r="678" spans="1:27">
      <c r="A678" s="42">
        <f>IF($B678="","","ACT-"&amp;TEXT(ROW()-4,"000"))</f>
        <v>0</v>
      </c>
      <c r="M678" s="43">
        <f>IF(COUNTA($B678:$K678)=0,"",IF($B678="","Missing activity name",IF($C678="","Missing practice",IF(COUNTIF(PracticeNames,$C678)=0,"Practice not in Lists",IF($D678="","Missing motion",IF(NOT(ISNUMBER($F678)),"Missing or invalid start date",IF(AND(ISNUMBER($G678),$G678&lt;$F678),"End date before start",IF(AND($N678=1,$AA678=0),"Outside planning year","OK"))))))))</f>
        <v>0</v>
      </c>
      <c r="N678">
        <f>IF(AND($B678&lt;&gt;"",$C678&lt;&gt;"",$D678&lt;&gt;"",ISNUMBER($F678),COUNTIF(PracticeNames,$C678)&gt;0,COUNTIF(MotionNames,$D678)&gt;0,NOT(AND(ISNUMBER($G678),$G678&lt;$F678))),IF(StatusFilter="All (excl. Cancelled)",IF($H678="Cancelled",0,1),IF(StatusFilter="All",1,IF($H678=StatusFilter,1,0))),0)</f>
        <v>0</v>
      </c>
      <c r="O678">
        <f>IF($N678=0,0,IF(AND($F678&lt;=EOMONTH(DATE(PlanYear,1,1),0),IF(ISNUMBER($G678),$G678,$F678)&gt;=DATE(PlanYear,1,1)),1,0))</f>
        <v>0</v>
      </c>
      <c r="P678">
        <f>IF($N678=0,0,IF(AND($F678&lt;=EOMONTH(DATE(PlanYear,2,1),0),IF(ISNUMBER($G678),$G678,$F678)&gt;=DATE(PlanYear,2,1)),1,0))</f>
        <v>0</v>
      </c>
      <c r="Q678">
        <f>IF($N678=0,0,IF(AND($F678&lt;=EOMONTH(DATE(PlanYear,3,1),0),IF(ISNUMBER($G678),$G678,$F678)&gt;=DATE(PlanYear,3,1)),1,0))</f>
        <v>0</v>
      </c>
      <c r="R678">
        <f>IF($N678=0,0,IF(AND($F678&lt;=EOMONTH(DATE(PlanYear,4,1),0),IF(ISNUMBER($G678),$G678,$F678)&gt;=DATE(PlanYear,4,1)),1,0))</f>
        <v>0</v>
      </c>
      <c r="S678">
        <f>IF($N678=0,0,IF(AND($F678&lt;=EOMONTH(DATE(PlanYear,5,1),0),IF(ISNUMBER($G678),$G678,$F678)&gt;=DATE(PlanYear,5,1)),1,0))</f>
        <v>0</v>
      </c>
      <c r="T678">
        <f>IF($N678=0,0,IF(AND($F678&lt;=EOMONTH(DATE(PlanYear,6,1),0),IF(ISNUMBER($G678),$G678,$F678)&gt;=DATE(PlanYear,6,1)),1,0))</f>
        <v>0</v>
      </c>
      <c r="U678">
        <f>IF($N678=0,0,IF(AND($F678&lt;=EOMONTH(DATE(PlanYear,7,1),0),IF(ISNUMBER($G678),$G678,$F678)&gt;=DATE(PlanYear,7,1)),1,0))</f>
        <v>0</v>
      </c>
      <c r="V678">
        <f>IF($N678=0,0,IF(AND($F678&lt;=EOMONTH(DATE(PlanYear,8,1),0),IF(ISNUMBER($G678),$G678,$F678)&gt;=DATE(PlanYear,8,1)),1,0))</f>
        <v>0</v>
      </c>
      <c r="W678">
        <f>IF($N678=0,0,IF(AND($F678&lt;=EOMONTH(DATE(PlanYear,9,1),0),IF(ISNUMBER($G678),$G678,$F678)&gt;=DATE(PlanYear,9,1)),1,0))</f>
        <v>0</v>
      </c>
      <c r="X678">
        <f>IF($N678=0,0,IF(AND($F678&lt;=EOMONTH(DATE(PlanYear,10,1),0),IF(ISNUMBER($G678),$G678,$F678)&gt;=DATE(PlanYear,10,1)),1,0))</f>
        <v>0</v>
      </c>
      <c r="Y678">
        <f>IF($N678=0,0,IF(AND($F678&lt;=EOMONTH(DATE(PlanYear,11,1),0),IF(ISNUMBER($G678),$G678,$F678)&gt;=DATE(PlanYear,11,1)),1,0))</f>
        <v>0</v>
      </c>
      <c r="Z678">
        <f>IF($N678=0,0,IF(AND($F678&lt;=EOMONTH(DATE(PlanYear,12,1),0),IF(ISNUMBER($G678),$G678,$F678)&gt;=DATE(PlanYear,12,1)),1,0))</f>
        <v>0</v>
      </c>
      <c r="AA678">
        <f>SUM($O678:$Z678)</f>
        <v>0</v>
      </c>
    </row>
    <row r="679" spans="1:27">
      <c r="A679" s="42">
        <f>IF($B679="","","ACT-"&amp;TEXT(ROW()-4,"000"))</f>
        <v>0</v>
      </c>
      <c r="M679" s="43">
        <f>IF(COUNTA($B679:$K679)=0,"",IF($B679="","Missing activity name",IF($C679="","Missing practice",IF(COUNTIF(PracticeNames,$C679)=0,"Practice not in Lists",IF($D679="","Missing motion",IF(NOT(ISNUMBER($F679)),"Missing or invalid start date",IF(AND(ISNUMBER($G679),$G679&lt;$F679),"End date before start",IF(AND($N679=1,$AA679=0),"Outside planning year","OK"))))))))</f>
        <v>0</v>
      </c>
      <c r="N679">
        <f>IF(AND($B679&lt;&gt;"",$C679&lt;&gt;"",$D679&lt;&gt;"",ISNUMBER($F679),COUNTIF(PracticeNames,$C679)&gt;0,COUNTIF(MotionNames,$D679)&gt;0,NOT(AND(ISNUMBER($G679),$G679&lt;$F679))),IF(StatusFilter="All (excl. Cancelled)",IF($H679="Cancelled",0,1),IF(StatusFilter="All",1,IF($H679=StatusFilter,1,0))),0)</f>
        <v>0</v>
      </c>
      <c r="O679">
        <f>IF($N679=0,0,IF(AND($F679&lt;=EOMONTH(DATE(PlanYear,1,1),0),IF(ISNUMBER($G679),$G679,$F679)&gt;=DATE(PlanYear,1,1)),1,0))</f>
        <v>0</v>
      </c>
      <c r="P679">
        <f>IF($N679=0,0,IF(AND($F679&lt;=EOMONTH(DATE(PlanYear,2,1),0),IF(ISNUMBER($G679),$G679,$F679)&gt;=DATE(PlanYear,2,1)),1,0))</f>
        <v>0</v>
      </c>
      <c r="Q679">
        <f>IF($N679=0,0,IF(AND($F679&lt;=EOMONTH(DATE(PlanYear,3,1),0),IF(ISNUMBER($G679),$G679,$F679)&gt;=DATE(PlanYear,3,1)),1,0))</f>
        <v>0</v>
      </c>
      <c r="R679">
        <f>IF($N679=0,0,IF(AND($F679&lt;=EOMONTH(DATE(PlanYear,4,1),0),IF(ISNUMBER($G679),$G679,$F679)&gt;=DATE(PlanYear,4,1)),1,0))</f>
        <v>0</v>
      </c>
      <c r="S679">
        <f>IF($N679=0,0,IF(AND($F679&lt;=EOMONTH(DATE(PlanYear,5,1),0),IF(ISNUMBER($G679),$G679,$F679)&gt;=DATE(PlanYear,5,1)),1,0))</f>
        <v>0</v>
      </c>
      <c r="T679">
        <f>IF($N679=0,0,IF(AND($F679&lt;=EOMONTH(DATE(PlanYear,6,1),0),IF(ISNUMBER($G679),$G679,$F679)&gt;=DATE(PlanYear,6,1)),1,0))</f>
        <v>0</v>
      </c>
      <c r="U679">
        <f>IF($N679=0,0,IF(AND($F679&lt;=EOMONTH(DATE(PlanYear,7,1),0),IF(ISNUMBER($G679),$G679,$F679)&gt;=DATE(PlanYear,7,1)),1,0))</f>
        <v>0</v>
      </c>
      <c r="V679">
        <f>IF($N679=0,0,IF(AND($F679&lt;=EOMONTH(DATE(PlanYear,8,1),0),IF(ISNUMBER($G679),$G679,$F679)&gt;=DATE(PlanYear,8,1)),1,0))</f>
        <v>0</v>
      </c>
      <c r="W679">
        <f>IF($N679=0,0,IF(AND($F679&lt;=EOMONTH(DATE(PlanYear,9,1),0),IF(ISNUMBER($G679),$G679,$F679)&gt;=DATE(PlanYear,9,1)),1,0))</f>
        <v>0</v>
      </c>
      <c r="X679">
        <f>IF($N679=0,0,IF(AND($F679&lt;=EOMONTH(DATE(PlanYear,10,1),0),IF(ISNUMBER($G679),$G679,$F679)&gt;=DATE(PlanYear,10,1)),1,0))</f>
        <v>0</v>
      </c>
      <c r="Y679">
        <f>IF($N679=0,0,IF(AND($F679&lt;=EOMONTH(DATE(PlanYear,11,1),0),IF(ISNUMBER($G679),$G679,$F679)&gt;=DATE(PlanYear,11,1)),1,0))</f>
        <v>0</v>
      </c>
      <c r="Z679">
        <f>IF($N679=0,0,IF(AND($F679&lt;=EOMONTH(DATE(PlanYear,12,1),0),IF(ISNUMBER($G679),$G679,$F679)&gt;=DATE(PlanYear,12,1)),1,0))</f>
        <v>0</v>
      </c>
      <c r="AA679">
        <f>SUM($O679:$Z679)</f>
        <v>0</v>
      </c>
    </row>
    <row r="680" spans="1:27">
      <c r="A680" s="42">
        <f>IF($B680="","","ACT-"&amp;TEXT(ROW()-4,"000"))</f>
        <v>0</v>
      </c>
      <c r="M680" s="43">
        <f>IF(COUNTA($B680:$K680)=0,"",IF($B680="","Missing activity name",IF($C680="","Missing practice",IF(COUNTIF(PracticeNames,$C680)=0,"Practice not in Lists",IF($D680="","Missing motion",IF(NOT(ISNUMBER($F680)),"Missing or invalid start date",IF(AND(ISNUMBER($G680),$G680&lt;$F680),"End date before start",IF(AND($N680=1,$AA680=0),"Outside planning year","OK"))))))))</f>
        <v>0</v>
      </c>
      <c r="N680">
        <f>IF(AND($B680&lt;&gt;"",$C680&lt;&gt;"",$D680&lt;&gt;"",ISNUMBER($F680),COUNTIF(PracticeNames,$C680)&gt;0,COUNTIF(MotionNames,$D680)&gt;0,NOT(AND(ISNUMBER($G680),$G680&lt;$F680))),IF(StatusFilter="All (excl. Cancelled)",IF($H680="Cancelled",0,1),IF(StatusFilter="All",1,IF($H680=StatusFilter,1,0))),0)</f>
        <v>0</v>
      </c>
      <c r="O680">
        <f>IF($N680=0,0,IF(AND($F680&lt;=EOMONTH(DATE(PlanYear,1,1),0),IF(ISNUMBER($G680),$G680,$F680)&gt;=DATE(PlanYear,1,1)),1,0))</f>
        <v>0</v>
      </c>
      <c r="P680">
        <f>IF($N680=0,0,IF(AND($F680&lt;=EOMONTH(DATE(PlanYear,2,1),0),IF(ISNUMBER($G680),$G680,$F680)&gt;=DATE(PlanYear,2,1)),1,0))</f>
        <v>0</v>
      </c>
      <c r="Q680">
        <f>IF($N680=0,0,IF(AND($F680&lt;=EOMONTH(DATE(PlanYear,3,1),0),IF(ISNUMBER($G680),$G680,$F680)&gt;=DATE(PlanYear,3,1)),1,0))</f>
        <v>0</v>
      </c>
      <c r="R680">
        <f>IF($N680=0,0,IF(AND($F680&lt;=EOMONTH(DATE(PlanYear,4,1),0),IF(ISNUMBER($G680),$G680,$F680)&gt;=DATE(PlanYear,4,1)),1,0))</f>
        <v>0</v>
      </c>
      <c r="S680">
        <f>IF($N680=0,0,IF(AND($F680&lt;=EOMONTH(DATE(PlanYear,5,1),0),IF(ISNUMBER($G680),$G680,$F680)&gt;=DATE(PlanYear,5,1)),1,0))</f>
        <v>0</v>
      </c>
      <c r="T680">
        <f>IF($N680=0,0,IF(AND($F680&lt;=EOMONTH(DATE(PlanYear,6,1),0),IF(ISNUMBER($G680),$G680,$F680)&gt;=DATE(PlanYear,6,1)),1,0))</f>
        <v>0</v>
      </c>
      <c r="U680">
        <f>IF($N680=0,0,IF(AND($F680&lt;=EOMONTH(DATE(PlanYear,7,1),0),IF(ISNUMBER($G680),$G680,$F680)&gt;=DATE(PlanYear,7,1)),1,0))</f>
        <v>0</v>
      </c>
      <c r="V680">
        <f>IF($N680=0,0,IF(AND($F680&lt;=EOMONTH(DATE(PlanYear,8,1),0),IF(ISNUMBER($G680),$G680,$F680)&gt;=DATE(PlanYear,8,1)),1,0))</f>
        <v>0</v>
      </c>
      <c r="W680">
        <f>IF($N680=0,0,IF(AND($F680&lt;=EOMONTH(DATE(PlanYear,9,1),0),IF(ISNUMBER($G680),$G680,$F680)&gt;=DATE(PlanYear,9,1)),1,0))</f>
        <v>0</v>
      </c>
      <c r="X680">
        <f>IF($N680=0,0,IF(AND($F680&lt;=EOMONTH(DATE(PlanYear,10,1),0),IF(ISNUMBER($G680),$G680,$F680)&gt;=DATE(PlanYear,10,1)),1,0))</f>
        <v>0</v>
      </c>
      <c r="Y680">
        <f>IF($N680=0,0,IF(AND($F680&lt;=EOMONTH(DATE(PlanYear,11,1),0),IF(ISNUMBER($G680),$G680,$F680)&gt;=DATE(PlanYear,11,1)),1,0))</f>
        <v>0</v>
      </c>
      <c r="Z680">
        <f>IF($N680=0,0,IF(AND($F680&lt;=EOMONTH(DATE(PlanYear,12,1),0),IF(ISNUMBER($G680),$G680,$F680)&gt;=DATE(PlanYear,12,1)),1,0))</f>
        <v>0</v>
      </c>
      <c r="AA680">
        <f>SUM($O680:$Z680)</f>
        <v>0</v>
      </c>
    </row>
    <row r="681" spans="1:27">
      <c r="A681" s="42">
        <f>IF($B681="","","ACT-"&amp;TEXT(ROW()-4,"000"))</f>
        <v>0</v>
      </c>
      <c r="M681" s="43">
        <f>IF(COUNTA($B681:$K681)=0,"",IF($B681="","Missing activity name",IF($C681="","Missing practice",IF(COUNTIF(PracticeNames,$C681)=0,"Practice not in Lists",IF($D681="","Missing motion",IF(NOT(ISNUMBER($F681)),"Missing or invalid start date",IF(AND(ISNUMBER($G681),$G681&lt;$F681),"End date before start",IF(AND($N681=1,$AA681=0),"Outside planning year","OK"))))))))</f>
        <v>0</v>
      </c>
      <c r="N681">
        <f>IF(AND($B681&lt;&gt;"",$C681&lt;&gt;"",$D681&lt;&gt;"",ISNUMBER($F681),COUNTIF(PracticeNames,$C681)&gt;0,COUNTIF(MotionNames,$D681)&gt;0,NOT(AND(ISNUMBER($G681),$G681&lt;$F681))),IF(StatusFilter="All (excl. Cancelled)",IF($H681="Cancelled",0,1),IF(StatusFilter="All",1,IF($H681=StatusFilter,1,0))),0)</f>
        <v>0</v>
      </c>
      <c r="O681">
        <f>IF($N681=0,0,IF(AND($F681&lt;=EOMONTH(DATE(PlanYear,1,1),0),IF(ISNUMBER($G681),$G681,$F681)&gt;=DATE(PlanYear,1,1)),1,0))</f>
        <v>0</v>
      </c>
      <c r="P681">
        <f>IF($N681=0,0,IF(AND($F681&lt;=EOMONTH(DATE(PlanYear,2,1),0),IF(ISNUMBER($G681),$G681,$F681)&gt;=DATE(PlanYear,2,1)),1,0))</f>
        <v>0</v>
      </c>
      <c r="Q681">
        <f>IF($N681=0,0,IF(AND($F681&lt;=EOMONTH(DATE(PlanYear,3,1),0),IF(ISNUMBER($G681),$G681,$F681)&gt;=DATE(PlanYear,3,1)),1,0))</f>
        <v>0</v>
      </c>
      <c r="R681">
        <f>IF($N681=0,0,IF(AND($F681&lt;=EOMONTH(DATE(PlanYear,4,1),0),IF(ISNUMBER($G681),$G681,$F681)&gt;=DATE(PlanYear,4,1)),1,0))</f>
        <v>0</v>
      </c>
      <c r="S681">
        <f>IF($N681=0,0,IF(AND($F681&lt;=EOMONTH(DATE(PlanYear,5,1),0),IF(ISNUMBER($G681),$G681,$F681)&gt;=DATE(PlanYear,5,1)),1,0))</f>
        <v>0</v>
      </c>
      <c r="T681">
        <f>IF($N681=0,0,IF(AND($F681&lt;=EOMONTH(DATE(PlanYear,6,1),0),IF(ISNUMBER($G681),$G681,$F681)&gt;=DATE(PlanYear,6,1)),1,0))</f>
        <v>0</v>
      </c>
      <c r="U681">
        <f>IF($N681=0,0,IF(AND($F681&lt;=EOMONTH(DATE(PlanYear,7,1),0),IF(ISNUMBER($G681),$G681,$F681)&gt;=DATE(PlanYear,7,1)),1,0))</f>
        <v>0</v>
      </c>
      <c r="V681">
        <f>IF($N681=0,0,IF(AND($F681&lt;=EOMONTH(DATE(PlanYear,8,1),0),IF(ISNUMBER($G681),$G681,$F681)&gt;=DATE(PlanYear,8,1)),1,0))</f>
        <v>0</v>
      </c>
      <c r="W681">
        <f>IF($N681=0,0,IF(AND($F681&lt;=EOMONTH(DATE(PlanYear,9,1),0),IF(ISNUMBER($G681),$G681,$F681)&gt;=DATE(PlanYear,9,1)),1,0))</f>
        <v>0</v>
      </c>
      <c r="X681">
        <f>IF($N681=0,0,IF(AND($F681&lt;=EOMONTH(DATE(PlanYear,10,1),0),IF(ISNUMBER($G681),$G681,$F681)&gt;=DATE(PlanYear,10,1)),1,0))</f>
        <v>0</v>
      </c>
      <c r="Y681">
        <f>IF($N681=0,0,IF(AND($F681&lt;=EOMONTH(DATE(PlanYear,11,1),0),IF(ISNUMBER($G681),$G681,$F681)&gt;=DATE(PlanYear,11,1)),1,0))</f>
        <v>0</v>
      </c>
      <c r="Z681">
        <f>IF($N681=0,0,IF(AND($F681&lt;=EOMONTH(DATE(PlanYear,12,1),0),IF(ISNUMBER($G681),$G681,$F681)&gt;=DATE(PlanYear,12,1)),1,0))</f>
        <v>0</v>
      </c>
      <c r="AA681">
        <f>SUM($O681:$Z681)</f>
        <v>0</v>
      </c>
    </row>
    <row r="682" spans="1:27">
      <c r="A682" s="42">
        <f>IF($B682="","","ACT-"&amp;TEXT(ROW()-4,"000"))</f>
        <v>0</v>
      </c>
      <c r="M682" s="43">
        <f>IF(COUNTA($B682:$K682)=0,"",IF($B682="","Missing activity name",IF($C682="","Missing practice",IF(COUNTIF(PracticeNames,$C682)=0,"Practice not in Lists",IF($D682="","Missing motion",IF(NOT(ISNUMBER($F682)),"Missing or invalid start date",IF(AND(ISNUMBER($G682),$G682&lt;$F682),"End date before start",IF(AND($N682=1,$AA682=0),"Outside planning year","OK"))))))))</f>
        <v>0</v>
      </c>
      <c r="N682">
        <f>IF(AND($B682&lt;&gt;"",$C682&lt;&gt;"",$D682&lt;&gt;"",ISNUMBER($F682),COUNTIF(PracticeNames,$C682)&gt;0,COUNTIF(MotionNames,$D682)&gt;0,NOT(AND(ISNUMBER($G682),$G682&lt;$F682))),IF(StatusFilter="All (excl. Cancelled)",IF($H682="Cancelled",0,1),IF(StatusFilter="All",1,IF($H682=StatusFilter,1,0))),0)</f>
        <v>0</v>
      </c>
      <c r="O682">
        <f>IF($N682=0,0,IF(AND($F682&lt;=EOMONTH(DATE(PlanYear,1,1),0),IF(ISNUMBER($G682),$G682,$F682)&gt;=DATE(PlanYear,1,1)),1,0))</f>
        <v>0</v>
      </c>
      <c r="P682">
        <f>IF($N682=0,0,IF(AND($F682&lt;=EOMONTH(DATE(PlanYear,2,1),0),IF(ISNUMBER($G682),$G682,$F682)&gt;=DATE(PlanYear,2,1)),1,0))</f>
        <v>0</v>
      </c>
      <c r="Q682">
        <f>IF($N682=0,0,IF(AND($F682&lt;=EOMONTH(DATE(PlanYear,3,1),0),IF(ISNUMBER($G682),$G682,$F682)&gt;=DATE(PlanYear,3,1)),1,0))</f>
        <v>0</v>
      </c>
      <c r="R682">
        <f>IF($N682=0,0,IF(AND($F682&lt;=EOMONTH(DATE(PlanYear,4,1),0),IF(ISNUMBER($G682),$G682,$F682)&gt;=DATE(PlanYear,4,1)),1,0))</f>
        <v>0</v>
      </c>
      <c r="S682">
        <f>IF($N682=0,0,IF(AND($F682&lt;=EOMONTH(DATE(PlanYear,5,1),0),IF(ISNUMBER($G682),$G682,$F682)&gt;=DATE(PlanYear,5,1)),1,0))</f>
        <v>0</v>
      </c>
      <c r="T682">
        <f>IF($N682=0,0,IF(AND($F682&lt;=EOMONTH(DATE(PlanYear,6,1),0),IF(ISNUMBER($G682),$G682,$F682)&gt;=DATE(PlanYear,6,1)),1,0))</f>
        <v>0</v>
      </c>
      <c r="U682">
        <f>IF($N682=0,0,IF(AND($F682&lt;=EOMONTH(DATE(PlanYear,7,1),0),IF(ISNUMBER($G682),$G682,$F682)&gt;=DATE(PlanYear,7,1)),1,0))</f>
        <v>0</v>
      </c>
      <c r="V682">
        <f>IF($N682=0,0,IF(AND($F682&lt;=EOMONTH(DATE(PlanYear,8,1),0),IF(ISNUMBER($G682),$G682,$F682)&gt;=DATE(PlanYear,8,1)),1,0))</f>
        <v>0</v>
      </c>
      <c r="W682">
        <f>IF($N682=0,0,IF(AND($F682&lt;=EOMONTH(DATE(PlanYear,9,1),0),IF(ISNUMBER($G682),$G682,$F682)&gt;=DATE(PlanYear,9,1)),1,0))</f>
        <v>0</v>
      </c>
      <c r="X682">
        <f>IF($N682=0,0,IF(AND($F682&lt;=EOMONTH(DATE(PlanYear,10,1),0),IF(ISNUMBER($G682),$G682,$F682)&gt;=DATE(PlanYear,10,1)),1,0))</f>
        <v>0</v>
      </c>
      <c r="Y682">
        <f>IF($N682=0,0,IF(AND($F682&lt;=EOMONTH(DATE(PlanYear,11,1),0),IF(ISNUMBER($G682),$G682,$F682)&gt;=DATE(PlanYear,11,1)),1,0))</f>
        <v>0</v>
      </c>
      <c r="Z682">
        <f>IF($N682=0,0,IF(AND($F682&lt;=EOMONTH(DATE(PlanYear,12,1),0),IF(ISNUMBER($G682),$G682,$F682)&gt;=DATE(PlanYear,12,1)),1,0))</f>
        <v>0</v>
      </c>
      <c r="AA682">
        <f>SUM($O682:$Z682)</f>
        <v>0</v>
      </c>
    </row>
    <row r="683" spans="1:27">
      <c r="A683" s="42">
        <f>IF($B683="","","ACT-"&amp;TEXT(ROW()-4,"000"))</f>
        <v>0</v>
      </c>
      <c r="M683" s="43">
        <f>IF(COUNTA($B683:$K683)=0,"",IF($B683="","Missing activity name",IF($C683="","Missing practice",IF(COUNTIF(PracticeNames,$C683)=0,"Practice not in Lists",IF($D683="","Missing motion",IF(NOT(ISNUMBER($F683)),"Missing or invalid start date",IF(AND(ISNUMBER($G683),$G683&lt;$F683),"End date before start",IF(AND($N683=1,$AA683=0),"Outside planning year","OK"))))))))</f>
        <v>0</v>
      </c>
      <c r="N683">
        <f>IF(AND($B683&lt;&gt;"",$C683&lt;&gt;"",$D683&lt;&gt;"",ISNUMBER($F683),COUNTIF(PracticeNames,$C683)&gt;0,COUNTIF(MotionNames,$D683)&gt;0,NOT(AND(ISNUMBER($G683),$G683&lt;$F683))),IF(StatusFilter="All (excl. Cancelled)",IF($H683="Cancelled",0,1),IF(StatusFilter="All",1,IF($H683=StatusFilter,1,0))),0)</f>
        <v>0</v>
      </c>
      <c r="O683">
        <f>IF($N683=0,0,IF(AND($F683&lt;=EOMONTH(DATE(PlanYear,1,1),0),IF(ISNUMBER($G683),$G683,$F683)&gt;=DATE(PlanYear,1,1)),1,0))</f>
        <v>0</v>
      </c>
      <c r="P683">
        <f>IF($N683=0,0,IF(AND($F683&lt;=EOMONTH(DATE(PlanYear,2,1),0),IF(ISNUMBER($G683),$G683,$F683)&gt;=DATE(PlanYear,2,1)),1,0))</f>
        <v>0</v>
      </c>
      <c r="Q683">
        <f>IF($N683=0,0,IF(AND($F683&lt;=EOMONTH(DATE(PlanYear,3,1),0),IF(ISNUMBER($G683),$G683,$F683)&gt;=DATE(PlanYear,3,1)),1,0))</f>
        <v>0</v>
      </c>
      <c r="R683">
        <f>IF($N683=0,0,IF(AND($F683&lt;=EOMONTH(DATE(PlanYear,4,1),0),IF(ISNUMBER($G683),$G683,$F683)&gt;=DATE(PlanYear,4,1)),1,0))</f>
        <v>0</v>
      </c>
      <c r="S683">
        <f>IF($N683=0,0,IF(AND($F683&lt;=EOMONTH(DATE(PlanYear,5,1),0),IF(ISNUMBER($G683),$G683,$F683)&gt;=DATE(PlanYear,5,1)),1,0))</f>
        <v>0</v>
      </c>
      <c r="T683">
        <f>IF($N683=0,0,IF(AND($F683&lt;=EOMONTH(DATE(PlanYear,6,1),0),IF(ISNUMBER($G683),$G683,$F683)&gt;=DATE(PlanYear,6,1)),1,0))</f>
        <v>0</v>
      </c>
      <c r="U683">
        <f>IF($N683=0,0,IF(AND($F683&lt;=EOMONTH(DATE(PlanYear,7,1),0),IF(ISNUMBER($G683),$G683,$F683)&gt;=DATE(PlanYear,7,1)),1,0))</f>
        <v>0</v>
      </c>
      <c r="V683">
        <f>IF($N683=0,0,IF(AND($F683&lt;=EOMONTH(DATE(PlanYear,8,1),0),IF(ISNUMBER($G683),$G683,$F683)&gt;=DATE(PlanYear,8,1)),1,0))</f>
        <v>0</v>
      </c>
      <c r="W683">
        <f>IF($N683=0,0,IF(AND($F683&lt;=EOMONTH(DATE(PlanYear,9,1),0),IF(ISNUMBER($G683),$G683,$F683)&gt;=DATE(PlanYear,9,1)),1,0))</f>
        <v>0</v>
      </c>
      <c r="X683">
        <f>IF($N683=0,0,IF(AND($F683&lt;=EOMONTH(DATE(PlanYear,10,1),0),IF(ISNUMBER($G683),$G683,$F683)&gt;=DATE(PlanYear,10,1)),1,0))</f>
        <v>0</v>
      </c>
      <c r="Y683">
        <f>IF($N683=0,0,IF(AND($F683&lt;=EOMONTH(DATE(PlanYear,11,1),0),IF(ISNUMBER($G683),$G683,$F683)&gt;=DATE(PlanYear,11,1)),1,0))</f>
        <v>0</v>
      </c>
      <c r="Z683">
        <f>IF($N683=0,0,IF(AND($F683&lt;=EOMONTH(DATE(PlanYear,12,1),0),IF(ISNUMBER($G683),$G683,$F683)&gt;=DATE(PlanYear,12,1)),1,0))</f>
        <v>0</v>
      </c>
      <c r="AA683">
        <f>SUM($O683:$Z683)</f>
        <v>0</v>
      </c>
    </row>
    <row r="684" spans="1:27">
      <c r="A684" s="42">
        <f>IF($B684="","","ACT-"&amp;TEXT(ROW()-4,"000"))</f>
        <v>0</v>
      </c>
      <c r="M684" s="43">
        <f>IF(COUNTA($B684:$K684)=0,"",IF($B684="","Missing activity name",IF($C684="","Missing practice",IF(COUNTIF(PracticeNames,$C684)=0,"Practice not in Lists",IF($D684="","Missing motion",IF(NOT(ISNUMBER($F684)),"Missing or invalid start date",IF(AND(ISNUMBER($G684),$G684&lt;$F684),"End date before start",IF(AND($N684=1,$AA684=0),"Outside planning year","OK"))))))))</f>
        <v>0</v>
      </c>
      <c r="N684">
        <f>IF(AND($B684&lt;&gt;"",$C684&lt;&gt;"",$D684&lt;&gt;"",ISNUMBER($F684),COUNTIF(PracticeNames,$C684)&gt;0,COUNTIF(MotionNames,$D684)&gt;0,NOT(AND(ISNUMBER($G684),$G684&lt;$F684))),IF(StatusFilter="All (excl. Cancelled)",IF($H684="Cancelled",0,1),IF(StatusFilter="All",1,IF($H684=StatusFilter,1,0))),0)</f>
        <v>0</v>
      </c>
      <c r="O684">
        <f>IF($N684=0,0,IF(AND($F684&lt;=EOMONTH(DATE(PlanYear,1,1),0),IF(ISNUMBER($G684),$G684,$F684)&gt;=DATE(PlanYear,1,1)),1,0))</f>
        <v>0</v>
      </c>
      <c r="P684">
        <f>IF($N684=0,0,IF(AND($F684&lt;=EOMONTH(DATE(PlanYear,2,1),0),IF(ISNUMBER($G684),$G684,$F684)&gt;=DATE(PlanYear,2,1)),1,0))</f>
        <v>0</v>
      </c>
      <c r="Q684">
        <f>IF($N684=0,0,IF(AND($F684&lt;=EOMONTH(DATE(PlanYear,3,1),0),IF(ISNUMBER($G684),$G684,$F684)&gt;=DATE(PlanYear,3,1)),1,0))</f>
        <v>0</v>
      </c>
      <c r="R684">
        <f>IF($N684=0,0,IF(AND($F684&lt;=EOMONTH(DATE(PlanYear,4,1),0),IF(ISNUMBER($G684),$G684,$F684)&gt;=DATE(PlanYear,4,1)),1,0))</f>
        <v>0</v>
      </c>
      <c r="S684">
        <f>IF($N684=0,0,IF(AND($F684&lt;=EOMONTH(DATE(PlanYear,5,1),0),IF(ISNUMBER($G684),$G684,$F684)&gt;=DATE(PlanYear,5,1)),1,0))</f>
        <v>0</v>
      </c>
      <c r="T684">
        <f>IF($N684=0,0,IF(AND($F684&lt;=EOMONTH(DATE(PlanYear,6,1),0),IF(ISNUMBER($G684),$G684,$F684)&gt;=DATE(PlanYear,6,1)),1,0))</f>
        <v>0</v>
      </c>
      <c r="U684">
        <f>IF($N684=0,0,IF(AND($F684&lt;=EOMONTH(DATE(PlanYear,7,1),0),IF(ISNUMBER($G684),$G684,$F684)&gt;=DATE(PlanYear,7,1)),1,0))</f>
        <v>0</v>
      </c>
      <c r="V684">
        <f>IF($N684=0,0,IF(AND($F684&lt;=EOMONTH(DATE(PlanYear,8,1),0),IF(ISNUMBER($G684),$G684,$F684)&gt;=DATE(PlanYear,8,1)),1,0))</f>
        <v>0</v>
      </c>
      <c r="W684">
        <f>IF($N684=0,0,IF(AND($F684&lt;=EOMONTH(DATE(PlanYear,9,1),0),IF(ISNUMBER($G684),$G684,$F684)&gt;=DATE(PlanYear,9,1)),1,0))</f>
        <v>0</v>
      </c>
      <c r="X684">
        <f>IF($N684=0,0,IF(AND($F684&lt;=EOMONTH(DATE(PlanYear,10,1),0),IF(ISNUMBER($G684),$G684,$F684)&gt;=DATE(PlanYear,10,1)),1,0))</f>
        <v>0</v>
      </c>
      <c r="Y684">
        <f>IF($N684=0,0,IF(AND($F684&lt;=EOMONTH(DATE(PlanYear,11,1),0),IF(ISNUMBER($G684),$G684,$F684)&gt;=DATE(PlanYear,11,1)),1,0))</f>
        <v>0</v>
      </c>
      <c r="Z684">
        <f>IF($N684=0,0,IF(AND($F684&lt;=EOMONTH(DATE(PlanYear,12,1),0),IF(ISNUMBER($G684),$G684,$F684)&gt;=DATE(PlanYear,12,1)),1,0))</f>
        <v>0</v>
      </c>
      <c r="AA684">
        <f>SUM($O684:$Z684)</f>
        <v>0</v>
      </c>
    </row>
    <row r="685" spans="1:27">
      <c r="A685" s="42">
        <f>IF($B685="","","ACT-"&amp;TEXT(ROW()-4,"000"))</f>
        <v>0</v>
      </c>
      <c r="M685" s="43">
        <f>IF(COUNTA($B685:$K685)=0,"",IF($B685="","Missing activity name",IF($C685="","Missing practice",IF(COUNTIF(PracticeNames,$C685)=0,"Practice not in Lists",IF($D685="","Missing motion",IF(NOT(ISNUMBER($F685)),"Missing or invalid start date",IF(AND(ISNUMBER($G685),$G685&lt;$F685),"End date before start",IF(AND($N685=1,$AA685=0),"Outside planning year","OK"))))))))</f>
        <v>0</v>
      </c>
      <c r="N685">
        <f>IF(AND($B685&lt;&gt;"",$C685&lt;&gt;"",$D685&lt;&gt;"",ISNUMBER($F685),COUNTIF(PracticeNames,$C685)&gt;0,COUNTIF(MotionNames,$D685)&gt;0,NOT(AND(ISNUMBER($G685),$G685&lt;$F685))),IF(StatusFilter="All (excl. Cancelled)",IF($H685="Cancelled",0,1),IF(StatusFilter="All",1,IF($H685=StatusFilter,1,0))),0)</f>
        <v>0</v>
      </c>
      <c r="O685">
        <f>IF($N685=0,0,IF(AND($F685&lt;=EOMONTH(DATE(PlanYear,1,1),0),IF(ISNUMBER($G685),$G685,$F685)&gt;=DATE(PlanYear,1,1)),1,0))</f>
        <v>0</v>
      </c>
      <c r="P685">
        <f>IF($N685=0,0,IF(AND($F685&lt;=EOMONTH(DATE(PlanYear,2,1),0),IF(ISNUMBER($G685),$G685,$F685)&gt;=DATE(PlanYear,2,1)),1,0))</f>
        <v>0</v>
      </c>
      <c r="Q685">
        <f>IF($N685=0,0,IF(AND($F685&lt;=EOMONTH(DATE(PlanYear,3,1),0),IF(ISNUMBER($G685),$G685,$F685)&gt;=DATE(PlanYear,3,1)),1,0))</f>
        <v>0</v>
      </c>
      <c r="R685">
        <f>IF($N685=0,0,IF(AND($F685&lt;=EOMONTH(DATE(PlanYear,4,1),0),IF(ISNUMBER($G685),$G685,$F685)&gt;=DATE(PlanYear,4,1)),1,0))</f>
        <v>0</v>
      </c>
      <c r="S685">
        <f>IF($N685=0,0,IF(AND($F685&lt;=EOMONTH(DATE(PlanYear,5,1),0),IF(ISNUMBER($G685),$G685,$F685)&gt;=DATE(PlanYear,5,1)),1,0))</f>
        <v>0</v>
      </c>
      <c r="T685">
        <f>IF($N685=0,0,IF(AND($F685&lt;=EOMONTH(DATE(PlanYear,6,1),0),IF(ISNUMBER($G685),$G685,$F685)&gt;=DATE(PlanYear,6,1)),1,0))</f>
        <v>0</v>
      </c>
      <c r="U685">
        <f>IF($N685=0,0,IF(AND($F685&lt;=EOMONTH(DATE(PlanYear,7,1),0),IF(ISNUMBER($G685),$G685,$F685)&gt;=DATE(PlanYear,7,1)),1,0))</f>
        <v>0</v>
      </c>
      <c r="V685">
        <f>IF($N685=0,0,IF(AND($F685&lt;=EOMONTH(DATE(PlanYear,8,1),0),IF(ISNUMBER($G685),$G685,$F685)&gt;=DATE(PlanYear,8,1)),1,0))</f>
        <v>0</v>
      </c>
      <c r="W685">
        <f>IF($N685=0,0,IF(AND($F685&lt;=EOMONTH(DATE(PlanYear,9,1),0),IF(ISNUMBER($G685),$G685,$F685)&gt;=DATE(PlanYear,9,1)),1,0))</f>
        <v>0</v>
      </c>
      <c r="X685">
        <f>IF($N685=0,0,IF(AND($F685&lt;=EOMONTH(DATE(PlanYear,10,1),0),IF(ISNUMBER($G685),$G685,$F685)&gt;=DATE(PlanYear,10,1)),1,0))</f>
        <v>0</v>
      </c>
      <c r="Y685">
        <f>IF($N685=0,0,IF(AND($F685&lt;=EOMONTH(DATE(PlanYear,11,1),0),IF(ISNUMBER($G685),$G685,$F685)&gt;=DATE(PlanYear,11,1)),1,0))</f>
        <v>0</v>
      </c>
      <c r="Z685">
        <f>IF($N685=0,0,IF(AND($F685&lt;=EOMONTH(DATE(PlanYear,12,1),0),IF(ISNUMBER($G685),$G685,$F685)&gt;=DATE(PlanYear,12,1)),1,0))</f>
        <v>0</v>
      </c>
      <c r="AA685">
        <f>SUM($O685:$Z685)</f>
        <v>0</v>
      </c>
    </row>
    <row r="686" spans="1:27">
      <c r="A686" s="42">
        <f>IF($B686="","","ACT-"&amp;TEXT(ROW()-4,"000"))</f>
        <v>0</v>
      </c>
      <c r="M686" s="43">
        <f>IF(COUNTA($B686:$K686)=0,"",IF($B686="","Missing activity name",IF($C686="","Missing practice",IF(COUNTIF(PracticeNames,$C686)=0,"Practice not in Lists",IF($D686="","Missing motion",IF(NOT(ISNUMBER($F686)),"Missing or invalid start date",IF(AND(ISNUMBER($G686),$G686&lt;$F686),"End date before start",IF(AND($N686=1,$AA686=0),"Outside planning year","OK"))))))))</f>
        <v>0</v>
      </c>
      <c r="N686">
        <f>IF(AND($B686&lt;&gt;"",$C686&lt;&gt;"",$D686&lt;&gt;"",ISNUMBER($F686),COUNTIF(PracticeNames,$C686)&gt;0,COUNTIF(MotionNames,$D686)&gt;0,NOT(AND(ISNUMBER($G686),$G686&lt;$F686))),IF(StatusFilter="All (excl. Cancelled)",IF($H686="Cancelled",0,1),IF(StatusFilter="All",1,IF($H686=StatusFilter,1,0))),0)</f>
        <v>0</v>
      </c>
      <c r="O686">
        <f>IF($N686=0,0,IF(AND($F686&lt;=EOMONTH(DATE(PlanYear,1,1),0),IF(ISNUMBER($G686),$G686,$F686)&gt;=DATE(PlanYear,1,1)),1,0))</f>
        <v>0</v>
      </c>
      <c r="P686">
        <f>IF($N686=0,0,IF(AND($F686&lt;=EOMONTH(DATE(PlanYear,2,1),0),IF(ISNUMBER($G686),$G686,$F686)&gt;=DATE(PlanYear,2,1)),1,0))</f>
        <v>0</v>
      </c>
      <c r="Q686">
        <f>IF($N686=0,0,IF(AND($F686&lt;=EOMONTH(DATE(PlanYear,3,1),0),IF(ISNUMBER($G686),$G686,$F686)&gt;=DATE(PlanYear,3,1)),1,0))</f>
        <v>0</v>
      </c>
      <c r="R686">
        <f>IF($N686=0,0,IF(AND($F686&lt;=EOMONTH(DATE(PlanYear,4,1),0),IF(ISNUMBER($G686),$G686,$F686)&gt;=DATE(PlanYear,4,1)),1,0))</f>
        <v>0</v>
      </c>
      <c r="S686">
        <f>IF($N686=0,0,IF(AND($F686&lt;=EOMONTH(DATE(PlanYear,5,1),0),IF(ISNUMBER($G686),$G686,$F686)&gt;=DATE(PlanYear,5,1)),1,0))</f>
        <v>0</v>
      </c>
      <c r="T686">
        <f>IF($N686=0,0,IF(AND($F686&lt;=EOMONTH(DATE(PlanYear,6,1),0),IF(ISNUMBER($G686),$G686,$F686)&gt;=DATE(PlanYear,6,1)),1,0))</f>
        <v>0</v>
      </c>
      <c r="U686">
        <f>IF($N686=0,0,IF(AND($F686&lt;=EOMONTH(DATE(PlanYear,7,1),0),IF(ISNUMBER($G686),$G686,$F686)&gt;=DATE(PlanYear,7,1)),1,0))</f>
        <v>0</v>
      </c>
      <c r="V686">
        <f>IF($N686=0,0,IF(AND($F686&lt;=EOMONTH(DATE(PlanYear,8,1),0),IF(ISNUMBER($G686),$G686,$F686)&gt;=DATE(PlanYear,8,1)),1,0))</f>
        <v>0</v>
      </c>
      <c r="W686">
        <f>IF($N686=0,0,IF(AND($F686&lt;=EOMONTH(DATE(PlanYear,9,1),0),IF(ISNUMBER($G686),$G686,$F686)&gt;=DATE(PlanYear,9,1)),1,0))</f>
        <v>0</v>
      </c>
      <c r="X686">
        <f>IF($N686=0,0,IF(AND($F686&lt;=EOMONTH(DATE(PlanYear,10,1),0),IF(ISNUMBER($G686),$G686,$F686)&gt;=DATE(PlanYear,10,1)),1,0))</f>
        <v>0</v>
      </c>
      <c r="Y686">
        <f>IF($N686=0,0,IF(AND($F686&lt;=EOMONTH(DATE(PlanYear,11,1),0),IF(ISNUMBER($G686),$G686,$F686)&gt;=DATE(PlanYear,11,1)),1,0))</f>
        <v>0</v>
      </c>
      <c r="Z686">
        <f>IF($N686=0,0,IF(AND($F686&lt;=EOMONTH(DATE(PlanYear,12,1),0),IF(ISNUMBER($G686),$G686,$F686)&gt;=DATE(PlanYear,12,1)),1,0))</f>
        <v>0</v>
      </c>
      <c r="AA686">
        <f>SUM($O686:$Z686)</f>
        <v>0</v>
      </c>
    </row>
    <row r="687" spans="1:27">
      <c r="A687" s="42">
        <f>IF($B687="","","ACT-"&amp;TEXT(ROW()-4,"000"))</f>
        <v>0</v>
      </c>
      <c r="M687" s="43">
        <f>IF(COUNTA($B687:$K687)=0,"",IF($B687="","Missing activity name",IF($C687="","Missing practice",IF(COUNTIF(PracticeNames,$C687)=0,"Practice not in Lists",IF($D687="","Missing motion",IF(NOT(ISNUMBER($F687)),"Missing or invalid start date",IF(AND(ISNUMBER($G687),$G687&lt;$F687),"End date before start",IF(AND($N687=1,$AA687=0),"Outside planning year","OK"))))))))</f>
        <v>0</v>
      </c>
      <c r="N687">
        <f>IF(AND($B687&lt;&gt;"",$C687&lt;&gt;"",$D687&lt;&gt;"",ISNUMBER($F687),COUNTIF(PracticeNames,$C687)&gt;0,COUNTIF(MotionNames,$D687)&gt;0,NOT(AND(ISNUMBER($G687),$G687&lt;$F687))),IF(StatusFilter="All (excl. Cancelled)",IF($H687="Cancelled",0,1),IF(StatusFilter="All",1,IF($H687=StatusFilter,1,0))),0)</f>
        <v>0</v>
      </c>
      <c r="O687">
        <f>IF($N687=0,0,IF(AND($F687&lt;=EOMONTH(DATE(PlanYear,1,1),0),IF(ISNUMBER($G687),$G687,$F687)&gt;=DATE(PlanYear,1,1)),1,0))</f>
        <v>0</v>
      </c>
      <c r="P687">
        <f>IF($N687=0,0,IF(AND($F687&lt;=EOMONTH(DATE(PlanYear,2,1),0),IF(ISNUMBER($G687),$G687,$F687)&gt;=DATE(PlanYear,2,1)),1,0))</f>
        <v>0</v>
      </c>
      <c r="Q687">
        <f>IF($N687=0,0,IF(AND($F687&lt;=EOMONTH(DATE(PlanYear,3,1),0),IF(ISNUMBER($G687),$G687,$F687)&gt;=DATE(PlanYear,3,1)),1,0))</f>
        <v>0</v>
      </c>
      <c r="R687">
        <f>IF($N687=0,0,IF(AND($F687&lt;=EOMONTH(DATE(PlanYear,4,1),0),IF(ISNUMBER($G687),$G687,$F687)&gt;=DATE(PlanYear,4,1)),1,0))</f>
        <v>0</v>
      </c>
      <c r="S687">
        <f>IF($N687=0,0,IF(AND($F687&lt;=EOMONTH(DATE(PlanYear,5,1),0),IF(ISNUMBER($G687),$G687,$F687)&gt;=DATE(PlanYear,5,1)),1,0))</f>
        <v>0</v>
      </c>
      <c r="T687">
        <f>IF($N687=0,0,IF(AND($F687&lt;=EOMONTH(DATE(PlanYear,6,1),0),IF(ISNUMBER($G687),$G687,$F687)&gt;=DATE(PlanYear,6,1)),1,0))</f>
        <v>0</v>
      </c>
      <c r="U687">
        <f>IF($N687=0,0,IF(AND($F687&lt;=EOMONTH(DATE(PlanYear,7,1),0),IF(ISNUMBER($G687),$G687,$F687)&gt;=DATE(PlanYear,7,1)),1,0))</f>
        <v>0</v>
      </c>
      <c r="V687">
        <f>IF($N687=0,0,IF(AND($F687&lt;=EOMONTH(DATE(PlanYear,8,1),0),IF(ISNUMBER($G687),$G687,$F687)&gt;=DATE(PlanYear,8,1)),1,0))</f>
        <v>0</v>
      </c>
      <c r="W687">
        <f>IF($N687=0,0,IF(AND($F687&lt;=EOMONTH(DATE(PlanYear,9,1),0),IF(ISNUMBER($G687),$G687,$F687)&gt;=DATE(PlanYear,9,1)),1,0))</f>
        <v>0</v>
      </c>
      <c r="X687">
        <f>IF($N687=0,0,IF(AND($F687&lt;=EOMONTH(DATE(PlanYear,10,1),0),IF(ISNUMBER($G687),$G687,$F687)&gt;=DATE(PlanYear,10,1)),1,0))</f>
        <v>0</v>
      </c>
      <c r="Y687">
        <f>IF($N687=0,0,IF(AND($F687&lt;=EOMONTH(DATE(PlanYear,11,1),0),IF(ISNUMBER($G687),$G687,$F687)&gt;=DATE(PlanYear,11,1)),1,0))</f>
        <v>0</v>
      </c>
      <c r="Z687">
        <f>IF($N687=0,0,IF(AND($F687&lt;=EOMONTH(DATE(PlanYear,12,1),0),IF(ISNUMBER($G687),$G687,$F687)&gt;=DATE(PlanYear,12,1)),1,0))</f>
        <v>0</v>
      </c>
      <c r="AA687">
        <f>SUM($O687:$Z687)</f>
        <v>0</v>
      </c>
    </row>
    <row r="688" spans="1:27">
      <c r="A688" s="42">
        <f>IF($B688="","","ACT-"&amp;TEXT(ROW()-4,"000"))</f>
        <v>0</v>
      </c>
      <c r="M688" s="43">
        <f>IF(COUNTA($B688:$K688)=0,"",IF($B688="","Missing activity name",IF($C688="","Missing practice",IF(COUNTIF(PracticeNames,$C688)=0,"Practice not in Lists",IF($D688="","Missing motion",IF(NOT(ISNUMBER($F688)),"Missing or invalid start date",IF(AND(ISNUMBER($G688),$G688&lt;$F688),"End date before start",IF(AND($N688=1,$AA688=0),"Outside planning year","OK"))))))))</f>
        <v>0</v>
      </c>
      <c r="N688">
        <f>IF(AND($B688&lt;&gt;"",$C688&lt;&gt;"",$D688&lt;&gt;"",ISNUMBER($F688),COUNTIF(PracticeNames,$C688)&gt;0,COUNTIF(MotionNames,$D688)&gt;0,NOT(AND(ISNUMBER($G688),$G688&lt;$F688))),IF(StatusFilter="All (excl. Cancelled)",IF($H688="Cancelled",0,1),IF(StatusFilter="All",1,IF($H688=StatusFilter,1,0))),0)</f>
        <v>0</v>
      </c>
      <c r="O688">
        <f>IF($N688=0,0,IF(AND($F688&lt;=EOMONTH(DATE(PlanYear,1,1),0),IF(ISNUMBER($G688),$G688,$F688)&gt;=DATE(PlanYear,1,1)),1,0))</f>
        <v>0</v>
      </c>
      <c r="P688">
        <f>IF($N688=0,0,IF(AND($F688&lt;=EOMONTH(DATE(PlanYear,2,1),0),IF(ISNUMBER($G688),$G688,$F688)&gt;=DATE(PlanYear,2,1)),1,0))</f>
        <v>0</v>
      </c>
      <c r="Q688">
        <f>IF($N688=0,0,IF(AND($F688&lt;=EOMONTH(DATE(PlanYear,3,1),0),IF(ISNUMBER($G688),$G688,$F688)&gt;=DATE(PlanYear,3,1)),1,0))</f>
        <v>0</v>
      </c>
      <c r="R688">
        <f>IF($N688=0,0,IF(AND($F688&lt;=EOMONTH(DATE(PlanYear,4,1),0),IF(ISNUMBER($G688),$G688,$F688)&gt;=DATE(PlanYear,4,1)),1,0))</f>
        <v>0</v>
      </c>
      <c r="S688">
        <f>IF($N688=0,0,IF(AND($F688&lt;=EOMONTH(DATE(PlanYear,5,1),0),IF(ISNUMBER($G688),$G688,$F688)&gt;=DATE(PlanYear,5,1)),1,0))</f>
        <v>0</v>
      </c>
      <c r="T688">
        <f>IF($N688=0,0,IF(AND($F688&lt;=EOMONTH(DATE(PlanYear,6,1),0),IF(ISNUMBER($G688),$G688,$F688)&gt;=DATE(PlanYear,6,1)),1,0))</f>
        <v>0</v>
      </c>
      <c r="U688">
        <f>IF($N688=0,0,IF(AND($F688&lt;=EOMONTH(DATE(PlanYear,7,1),0),IF(ISNUMBER($G688),$G688,$F688)&gt;=DATE(PlanYear,7,1)),1,0))</f>
        <v>0</v>
      </c>
      <c r="V688">
        <f>IF($N688=0,0,IF(AND($F688&lt;=EOMONTH(DATE(PlanYear,8,1),0),IF(ISNUMBER($G688),$G688,$F688)&gt;=DATE(PlanYear,8,1)),1,0))</f>
        <v>0</v>
      </c>
      <c r="W688">
        <f>IF($N688=0,0,IF(AND($F688&lt;=EOMONTH(DATE(PlanYear,9,1),0),IF(ISNUMBER($G688),$G688,$F688)&gt;=DATE(PlanYear,9,1)),1,0))</f>
        <v>0</v>
      </c>
      <c r="X688">
        <f>IF($N688=0,0,IF(AND($F688&lt;=EOMONTH(DATE(PlanYear,10,1),0),IF(ISNUMBER($G688),$G688,$F688)&gt;=DATE(PlanYear,10,1)),1,0))</f>
        <v>0</v>
      </c>
      <c r="Y688">
        <f>IF($N688=0,0,IF(AND($F688&lt;=EOMONTH(DATE(PlanYear,11,1),0),IF(ISNUMBER($G688),$G688,$F688)&gt;=DATE(PlanYear,11,1)),1,0))</f>
        <v>0</v>
      </c>
      <c r="Z688">
        <f>IF($N688=0,0,IF(AND($F688&lt;=EOMONTH(DATE(PlanYear,12,1),0),IF(ISNUMBER($G688),$G688,$F688)&gt;=DATE(PlanYear,12,1)),1,0))</f>
        <v>0</v>
      </c>
      <c r="AA688">
        <f>SUM($O688:$Z688)</f>
        <v>0</v>
      </c>
    </row>
    <row r="689" spans="1:27">
      <c r="A689" s="42">
        <f>IF($B689="","","ACT-"&amp;TEXT(ROW()-4,"000"))</f>
        <v>0</v>
      </c>
      <c r="M689" s="43">
        <f>IF(COUNTA($B689:$K689)=0,"",IF($B689="","Missing activity name",IF($C689="","Missing practice",IF(COUNTIF(PracticeNames,$C689)=0,"Practice not in Lists",IF($D689="","Missing motion",IF(NOT(ISNUMBER($F689)),"Missing or invalid start date",IF(AND(ISNUMBER($G689),$G689&lt;$F689),"End date before start",IF(AND($N689=1,$AA689=0),"Outside planning year","OK"))))))))</f>
        <v>0</v>
      </c>
      <c r="N689">
        <f>IF(AND($B689&lt;&gt;"",$C689&lt;&gt;"",$D689&lt;&gt;"",ISNUMBER($F689),COUNTIF(PracticeNames,$C689)&gt;0,COUNTIF(MotionNames,$D689)&gt;0,NOT(AND(ISNUMBER($G689),$G689&lt;$F689))),IF(StatusFilter="All (excl. Cancelled)",IF($H689="Cancelled",0,1),IF(StatusFilter="All",1,IF($H689=StatusFilter,1,0))),0)</f>
        <v>0</v>
      </c>
      <c r="O689">
        <f>IF($N689=0,0,IF(AND($F689&lt;=EOMONTH(DATE(PlanYear,1,1),0),IF(ISNUMBER($G689),$G689,$F689)&gt;=DATE(PlanYear,1,1)),1,0))</f>
        <v>0</v>
      </c>
      <c r="P689">
        <f>IF($N689=0,0,IF(AND($F689&lt;=EOMONTH(DATE(PlanYear,2,1),0),IF(ISNUMBER($G689),$G689,$F689)&gt;=DATE(PlanYear,2,1)),1,0))</f>
        <v>0</v>
      </c>
      <c r="Q689">
        <f>IF($N689=0,0,IF(AND($F689&lt;=EOMONTH(DATE(PlanYear,3,1),0),IF(ISNUMBER($G689),$G689,$F689)&gt;=DATE(PlanYear,3,1)),1,0))</f>
        <v>0</v>
      </c>
      <c r="R689">
        <f>IF($N689=0,0,IF(AND($F689&lt;=EOMONTH(DATE(PlanYear,4,1),0),IF(ISNUMBER($G689),$G689,$F689)&gt;=DATE(PlanYear,4,1)),1,0))</f>
        <v>0</v>
      </c>
      <c r="S689">
        <f>IF($N689=0,0,IF(AND($F689&lt;=EOMONTH(DATE(PlanYear,5,1),0),IF(ISNUMBER($G689),$G689,$F689)&gt;=DATE(PlanYear,5,1)),1,0))</f>
        <v>0</v>
      </c>
      <c r="T689">
        <f>IF($N689=0,0,IF(AND($F689&lt;=EOMONTH(DATE(PlanYear,6,1),0),IF(ISNUMBER($G689),$G689,$F689)&gt;=DATE(PlanYear,6,1)),1,0))</f>
        <v>0</v>
      </c>
      <c r="U689">
        <f>IF($N689=0,0,IF(AND($F689&lt;=EOMONTH(DATE(PlanYear,7,1),0),IF(ISNUMBER($G689),$G689,$F689)&gt;=DATE(PlanYear,7,1)),1,0))</f>
        <v>0</v>
      </c>
      <c r="V689">
        <f>IF($N689=0,0,IF(AND($F689&lt;=EOMONTH(DATE(PlanYear,8,1),0),IF(ISNUMBER($G689),$G689,$F689)&gt;=DATE(PlanYear,8,1)),1,0))</f>
        <v>0</v>
      </c>
      <c r="W689">
        <f>IF($N689=0,0,IF(AND($F689&lt;=EOMONTH(DATE(PlanYear,9,1),0),IF(ISNUMBER($G689),$G689,$F689)&gt;=DATE(PlanYear,9,1)),1,0))</f>
        <v>0</v>
      </c>
      <c r="X689">
        <f>IF($N689=0,0,IF(AND($F689&lt;=EOMONTH(DATE(PlanYear,10,1),0),IF(ISNUMBER($G689),$G689,$F689)&gt;=DATE(PlanYear,10,1)),1,0))</f>
        <v>0</v>
      </c>
      <c r="Y689">
        <f>IF($N689=0,0,IF(AND($F689&lt;=EOMONTH(DATE(PlanYear,11,1),0),IF(ISNUMBER($G689),$G689,$F689)&gt;=DATE(PlanYear,11,1)),1,0))</f>
        <v>0</v>
      </c>
      <c r="Z689">
        <f>IF($N689=0,0,IF(AND($F689&lt;=EOMONTH(DATE(PlanYear,12,1),0),IF(ISNUMBER($G689),$G689,$F689)&gt;=DATE(PlanYear,12,1)),1,0))</f>
        <v>0</v>
      </c>
      <c r="AA689">
        <f>SUM($O689:$Z689)</f>
        <v>0</v>
      </c>
    </row>
    <row r="690" spans="1:27">
      <c r="A690" s="42">
        <f>IF($B690="","","ACT-"&amp;TEXT(ROW()-4,"000"))</f>
        <v>0</v>
      </c>
      <c r="M690" s="43">
        <f>IF(COUNTA($B690:$K690)=0,"",IF($B690="","Missing activity name",IF($C690="","Missing practice",IF(COUNTIF(PracticeNames,$C690)=0,"Practice not in Lists",IF($D690="","Missing motion",IF(NOT(ISNUMBER($F690)),"Missing or invalid start date",IF(AND(ISNUMBER($G690),$G690&lt;$F690),"End date before start",IF(AND($N690=1,$AA690=0),"Outside planning year","OK"))))))))</f>
        <v>0</v>
      </c>
      <c r="N690">
        <f>IF(AND($B690&lt;&gt;"",$C690&lt;&gt;"",$D690&lt;&gt;"",ISNUMBER($F690),COUNTIF(PracticeNames,$C690)&gt;0,COUNTIF(MotionNames,$D690)&gt;0,NOT(AND(ISNUMBER($G690),$G690&lt;$F690))),IF(StatusFilter="All (excl. Cancelled)",IF($H690="Cancelled",0,1),IF(StatusFilter="All",1,IF($H690=StatusFilter,1,0))),0)</f>
        <v>0</v>
      </c>
      <c r="O690">
        <f>IF($N690=0,0,IF(AND($F690&lt;=EOMONTH(DATE(PlanYear,1,1),0),IF(ISNUMBER($G690),$G690,$F690)&gt;=DATE(PlanYear,1,1)),1,0))</f>
        <v>0</v>
      </c>
      <c r="P690">
        <f>IF($N690=0,0,IF(AND($F690&lt;=EOMONTH(DATE(PlanYear,2,1),0),IF(ISNUMBER($G690),$G690,$F690)&gt;=DATE(PlanYear,2,1)),1,0))</f>
        <v>0</v>
      </c>
      <c r="Q690">
        <f>IF($N690=0,0,IF(AND($F690&lt;=EOMONTH(DATE(PlanYear,3,1),0),IF(ISNUMBER($G690),$G690,$F690)&gt;=DATE(PlanYear,3,1)),1,0))</f>
        <v>0</v>
      </c>
      <c r="R690">
        <f>IF($N690=0,0,IF(AND($F690&lt;=EOMONTH(DATE(PlanYear,4,1),0),IF(ISNUMBER($G690),$G690,$F690)&gt;=DATE(PlanYear,4,1)),1,0))</f>
        <v>0</v>
      </c>
      <c r="S690">
        <f>IF($N690=0,0,IF(AND($F690&lt;=EOMONTH(DATE(PlanYear,5,1),0),IF(ISNUMBER($G690),$G690,$F690)&gt;=DATE(PlanYear,5,1)),1,0))</f>
        <v>0</v>
      </c>
      <c r="T690">
        <f>IF($N690=0,0,IF(AND($F690&lt;=EOMONTH(DATE(PlanYear,6,1),0),IF(ISNUMBER($G690),$G690,$F690)&gt;=DATE(PlanYear,6,1)),1,0))</f>
        <v>0</v>
      </c>
      <c r="U690">
        <f>IF($N690=0,0,IF(AND($F690&lt;=EOMONTH(DATE(PlanYear,7,1),0),IF(ISNUMBER($G690),$G690,$F690)&gt;=DATE(PlanYear,7,1)),1,0))</f>
        <v>0</v>
      </c>
      <c r="V690">
        <f>IF($N690=0,0,IF(AND($F690&lt;=EOMONTH(DATE(PlanYear,8,1),0),IF(ISNUMBER($G690),$G690,$F690)&gt;=DATE(PlanYear,8,1)),1,0))</f>
        <v>0</v>
      </c>
      <c r="W690">
        <f>IF($N690=0,0,IF(AND($F690&lt;=EOMONTH(DATE(PlanYear,9,1),0),IF(ISNUMBER($G690),$G690,$F690)&gt;=DATE(PlanYear,9,1)),1,0))</f>
        <v>0</v>
      </c>
      <c r="X690">
        <f>IF($N690=0,0,IF(AND($F690&lt;=EOMONTH(DATE(PlanYear,10,1),0),IF(ISNUMBER($G690),$G690,$F690)&gt;=DATE(PlanYear,10,1)),1,0))</f>
        <v>0</v>
      </c>
      <c r="Y690">
        <f>IF($N690=0,0,IF(AND($F690&lt;=EOMONTH(DATE(PlanYear,11,1),0),IF(ISNUMBER($G690),$G690,$F690)&gt;=DATE(PlanYear,11,1)),1,0))</f>
        <v>0</v>
      </c>
      <c r="Z690">
        <f>IF($N690=0,0,IF(AND($F690&lt;=EOMONTH(DATE(PlanYear,12,1),0),IF(ISNUMBER($G690),$G690,$F690)&gt;=DATE(PlanYear,12,1)),1,0))</f>
        <v>0</v>
      </c>
      <c r="AA690">
        <f>SUM($O690:$Z690)</f>
        <v>0</v>
      </c>
    </row>
    <row r="691" spans="1:27">
      <c r="A691" s="42">
        <f>IF($B691="","","ACT-"&amp;TEXT(ROW()-4,"000"))</f>
        <v>0</v>
      </c>
      <c r="M691" s="43">
        <f>IF(COUNTA($B691:$K691)=0,"",IF($B691="","Missing activity name",IF($C691="","Missing practice",IF(COUNTIF(PracticeNames,$C691)=0,"Practice not in Lists",IF($D691="","Missing motion",IF(NOT(ISNUMBER($F691)),"Missing or invalid start date",IF(AND(ISNUMBER($G691),$G691&lt;$F691),"End date before start",IF(AND($N691=1,$AA691=0),"Outside planning year","OK"))))))))</f>
        <v>0</v>
      </c>
      <c r="N691">
        <f>IF(AND($B691&lt;&gt;"",$C691&lt;&gt;"",$D691&lt;&gt;"",ISNUMBER($F691),COUNTIF(PracticeNames,$C691)&gt;0,COUNTIF(MotionNames,$D691)&gt;0,NOT(AND(ISNUMBER($G691),$G691&lt;$F691))),IF(StatusFilter="All (excl. Cancelled)",IF($H691="Cancelled",0,1),IF(StatusFilter="All",1,IF($H691=StatusFilter,1,0))),0)</f>
        <v>0</v>
      </c>
      <c r="O691">
        <f>IF($N691=0,0,IF(AND($F691&lt;=EOMONTH(DATE(PlanYear,1,1),0),IF(ISNUMBER($G691),$G691,$F691)&gt;=DATE(PlanYear,1,1)),1,0))</f>
        <v>0</v>
      </c>
      <c r="P691">
        <f>IF($N691=0,0,IF(AND($F691&lt;=EOMONTH(DATE(PlanYear,2,1),0),IF(ISNUMBER($G691),$G691,$F691)&gt;=DATE(PlanYear,2,1)),1,0))</f>
        <v>0</v>
      </c>
      <c r="Q691">
        <f>IF($N691=0,0,IF(AND($F691&lt;=EOMONTH(DATE(PlanYear,3,1),0),IF(ISNUMBER($G691),$G691,$F691)&gt;=DATE(PlanYear,3,1)),1,0))</f>
        <v>0</v>
      </c>
      <c r="R691">
        <f>IF($N691=0,0,IF(AND($F691&lt;=EOMONTH(DATE(PlanYear,4,1),0),IF(ISNUMBER($G691),$G691,$F691)&gt;=DATE(PlanYear,4,1)),1,0))</f>
        <v>0</v>
      </c>
      <c r="S691">
        <f>IF($N691=0,0,IF(AND($F691&lt;=EOMONTH(DATE(PlanYear,5,1),0),IF(ISNUMBER($G691),$G691,$F691)&gt;=DATE(PlanYear,5,1)),1,0))</f>
        <v>0</v>
      </c>
      <c r="T691">
        <f>IF($N691=0,0,IF(AND($F691&lt;=EOMONTH(DATE(PlanYear,6,1),0),IF(ISNUMBER($G691),$G691,$F691)&gt;=DATE(PlanYear,6,1)),1,0))</f>
        <v>0</v>
      </c>
      <c r="U691">
        <f>IF($N691=0,0,IF(AND($F691&lt;=EOMONTH(DATE(PlanYear,7,1),0),IF(ISNUMBER($G691),$G691,$F691)&gt;=DATE(PlanYear,7,1)),1,0))</f>
        <v>0</v>
      </c>
      <c r="V691">
        <f>IF($N691=0,0,IF(AND($F691&lt;=EOMONTH(DATE(PlanYear,8,1),0),IF(ISNUMBER($G691),$G691,$F691)&gt;=DATE(PlanYear,8,1)),1,0))</f>
        <v>0</v>
      </c>
      <c r="W691">
        <f>IF($N691=0,0,IF(AND($F691&lt;=EOMONTH(DATE(PlanYear,9,1),0),IF(ISNUMBER($G691),$G691,$F691)&gt;=DATE(PlanYear,9,1)),1,0))</f>
        <v>0</v>
      </c>
      <c r="X691">
        <f>IF($N691=0,0,IF(AND($F691&lt;=EOMONTH(DATE(PlanYear,10,1),0),IF(ISNUMBER($G691),$G691,$F691)&gt;=DATE(PlanYear,10,1)),1,0))</f>
        <v>0</v>
      </c>
      <c r="Y691">
        <f>IF($N691=0,0,IF(AND($F691&lt;=EOMONTH(DATE(PlanYear,11,1),0),IF(ISNUMBER($G691),$G691,$F691)&gt;=DATE(PlanYear,11,1)),1,0))</f>
        <v>0</v>
      </c>
      <c r="Z691">
        <f>IF($N691=0,0,IF(AND($F691&lt;=EOMONTH(DATE(PlanYear,12,1),0),IF(ISNUMBER($G691),$G691,$F691)&gt;=DATE(PlanYear,12,1)),1,0))</f>
        <v>0</v>
      </c>
      <c r="AA691">
        <f>SUM($O691:$Z691)</f>
        <v>0</v>
      </c>
    </row>
    <row r="692" spans="1:27">
      <c r="A692" s="42">
        <f>IF($B692="","","ACT-"&amp;TEXT(ROW()-4,"000"))</f>
        <v>0</v>
      </c>
      <c r="M692" s="43">
        <f>IF(COUNTA($B692:$K692)=0,"",IF($B692="","Missing activity name",IF($C692="","Missing practice",IF(COUNTIF(PracticeNames,$C692)=0,"Practice not in Lists",IF($D692="","Missing motion",IF(NOT(ISNUMBER($F692)),"Missing or invalid start date",IF(AND(ISNUMBER($G692),$G692&lt;$F692),"End date before start",IF(AND($N692=1,$AA692=0),"Outside planning year","OK"))))))))</f>
        <v>0</v>
      </c>
      <c r="N692">
        <f>IF(AND($B692&lt;&gt;"",$C692&lt;&gt;"",$D692&lt;&gt;"",ISNUMBER($F692),COUNTIF(PracticeNames,$C692)&gt;0,COUNTIF(MotionNames,$D692)&gt;0,NOT(AND(ISNUMBER($G692),$G692&lt;$F692))),IF(StatusFilter="All (excl. Cancelled)",IF($H692="Cancelled",0,1),IF(StatusFilter="All",1,IF($H692=StatusFilter,1,0))),0)</f>
        <v>0</v>
      </c>
      <c r="O692">
        <f>IF($N692=0,0,IF(AND($F692&lt;=EOMONTH(DATE(PlanYear,1,1),0),IF(ISNUMBER($G692),$G692,$F692)&gt;=DATE(PlanYear,1,1)),1,0))</f>
        <v>0</v>
      </c>
      <c r="P692">
        <f>IF($N692=0,0,IF(AND($F692&lt;=EOMONTH(DATE(PlanYear,2,1),0),IF(ISNUMBER($G692),$G692,$F692)&gt;=DATE(PlanYear,2,1)),1,0))</f>
        <v>0</v>
      </c>
      <c r="Q692">
        <f>IF($N692=0,0,IF(AND($F692&lt;=EOMONTH(DATE(PlanYear,3,1),0),IF(ISNUMBER($G692),$G692,$F692)&gt;=DATE(PlanYear,3,1)),1,0))</f>
        <v>0</v>
      </c>
      <c r="R692">
        <f>IF($N692=0,0,IF(AND($F692&lt;=EOMONTH(DATE(PlanYear,4,1),0),IF(ISNUMBER($G692),$G692,$F692)&gt;=DATE(PlanYear,4,1)),1,0))</f>
        <v>0</v>
      </c>
      <c r="S692">
        <f>IF($N692=0,0,IF(AND($F692&lt;=EOMONTH(DATE(PlanYear,5,1),0),IF(ISNUMBER($G692),$G692,$F692)&gt;=DATE(PlanYear,5,1)),1,0))</f>
        <v>0</v>
      </c>
      <c r="T692">
        <f>IF($N692=0,0,IF(AND($F692&lt;=EOMONTH(DATE(PlanYear,6,1),0),IF(ISNUMBER($G692),$G692,$F692)&gt;=DATE(PlanYear,6,1)),1,0))</f>
        <v>0</v>
      </c>
      <c r="U692">
        <f>IF($N692=0,0,IF(AND($F692&lt;=EOMONTH(DATE(PlanYear,7,1),0),IF(ISNUMBER($G692),$G692,$F692)&gt;=DATE(PlanYear,7,1)),1,0))</f>
        <v>0</v>
      </c>
      <c r="V692">
        <f>IF($N692=0,0,IF(AND($F692&lt;=EOMONTH(DATE(PlanYear,8,1),0),IF(ISNUMBER($G692),$G692,$F692)&gt;=DATE(PlanYear,8,1)),1,0))</f>
        <v>0</v>
      </c>
      <c r="W692">
        <f>IF($N692=0,0,IF(AND($F692&lt;=EOMONTH(DATE(PlanYear,9,1),0),IF(ISNUMBER($G692),$G692,$F692)&gt;=DATE(PlanYear,9,1)),1,0))</f>
        <v>0</v>
      </c>
      <c r="X692">
        <f>IF($N692=0,0,IF(AND($F692&lt;=EOMONTH(DATE(PlanYear,10,1),0),IF(ISNUMBER($G692),$G692,$F692)&gt;=DATE(PlanYear,10,1)),1,0))</f>
        <v>0</v>
      </c>
      <c r="Y692">
        <f>IF($N692=0,0,IF(AND($F692&lt;=EOMONTH(DATE(PlanYear,11,1),0),IF(ISNUMBER($G692),$G692,$F692)&gt;=DATE(PlanYear,11,1)),1,0))</f>
        <v>0</v>
      </c>
      <c r="Z692">
        <f>IF($N692=0,0,IF(AND($F692&lt;=EOMONTH(DATE(PlanYear,12,1),0),IF(ISNUMBER($G692),$G692,$F692)&gt;=DATE(PlanYear,12,1)),1,0))</f>
        <v>0</v>
      </c>
      <c r="AA692">
        <f>SUM($O692:$Z692)</f>
        <v>0</v>
      </c>
    </row>
    <row r="693" spans="1:27">
      <c r="A693" s="42">
        <f>IF($B693="","","ACT-"&amp;TEXT(ROW()-4,"000"))</f>
        <v>0</v>
      </c>
      <c r="M693" s="43">
        <f>IF(COUNTA($B693:$K693)=0,"",IF($B693="","Missing activity name",IF($C693="","Missing practice",IF(COUNTIF(PracticeNames,$C693)=0,"Practice not in Lists",IF($D693="","Missing motion",IF(NOT(ISNUMBER($F693)),"Missing or invalid start date",IF(AND(ISNUMBER($G693),$G693&lt;$F693),"End date before start",IF(AND($N693=1,$AA693=0),"Outside planning year","OK"))))))))</f>
        <v>0</v>
      </c>
      <c r="N693">
        <f>IF(AND($B693&lt;&gt;"",$C693&lt;&gt;"",$D693&lt;&gt;"",ISNUMBER($F693),COUNTIF(PracticeNames,$C693)&gt;0,COUNTIF(MotionNames,$D693)&gt;0,NOT(AND(ISNUMBER($G693),$G693&lt;$F693))),IF(StatusFilter="All (excl. Cancelled)",IF($H693="Cancelled",0,1),IF(StatusFilter="All",1,IF($H693=StatusFilter,1,0))),0)</f>
        <v>0</v>
      </c>
      <c r="O693">
        <f>IF($N693=0,0,IF(AND($F693&lt;=EOMONTH(DATE(PlanYear,1,1),0),IF(ISNUMBER($G693),$G693,$F693)&gt;=DATE(PlanYear,1,1)),1,0))</f>
        <v>0</v>
      </c>
      <c r="P693">
        <f>IF($N693=0,0,IF(AND($F693&lt;=EOMONTH(DATE(PlanYear,2,1),0),IF(ISNUMBER($G693),$G693,$F693)&gt;=DATE(PlanYear,2,1)),1,0))</f>
        <v>0</v>
      </c>
      <c r="Q693">
        <f>IF($N693=0,0,IF(AND($F693&lt;=EOMONTH(DATE(PlanYear,3,1),0),IF(ISNUMBER($G693),$G693,$F693)&gt;=DATE(PlanYear,3,1)),1,0))</f>
        <v>0</v>
      </c>
      <c r="R693">
        <f>IF($N693=0,0,IF(AND($F693&lt;=EOMONTH(DATE(PlanYear,4,1),0),IF(ISNUMBER($G693),$G693,$F693)&gt;=DATE(PlanYear,4,1)),1,0))</f>
        <v>0</v>
      </c>
      <c r="S693">
        <f>IF($N693=0,0,IF(AND($F693&lt;=EOMONTH(DATE(PlanYear,5,1),0),IF(ISNUMBER($G693),$G693,$F693)&gt;=DATE(PlanYear,5,1)),1,0))</f>
        <v>0</v>
      </c>
      <c r="T693">
        <f>IF($N693=0,0,IF(AND($F693&lt;=EOMONTH(DATE(PlanYear,6,1),0),IF(ISNUMBER($G693),$G693,$F693)&gt;=DATE(PlanYear,6,1)),1,0))</f>
        <v>0</v>
      </c>
      <c r="U693">
        <f>IF($N693=0,0,IF(AND($F693&lt;=EOMONTH(DATE(PlanYear,7,1),0),IF(ISNUMBER($G693),$G693,$F693)&gt;=DATE(PlanYear,7,1)),1,0))</f>
        <v>0</v>
      </c>
      <c r="V693">
        <f>IF($N693=0,0,IF(AND($F693&lt;=EOMONTH(DATE(PlanYear,8,1),0),IF(ISNUMBER($G693),$G693,$F693)&gt;=DATE(PlanYear,8,1)),1,0))</f>
        <v>0</v>
      </c>
      <c r="W693">
        <f>IF($N693=0,0,IF(AND($F693&lt;=EOMONTH(DATE(PlanYear,9,1),0),IF(ISNUMBER($G693),$G693,$F693)&gt;=DATE(PlanYear,9,1)),1,0))</f>
        <v>0</v>
      </c>
      <c r="X693">
        <f>IF($N693=0,0,IF(AND($F693&lt;=EOMONTH(DATE(PlanYear,10,1),0),IF(ISNUMBER($G693),$G693,$F693)&gt;=DATE(PlanYear,10,1)),1,0))</f>
        <v>0</v>
      </c>
      <c r="Y693">
        <f>IF($N693=0,0,IF(AND($F693&lt;=EOMONTH(DATE(PlanYear,11,1),0),IF(ISNUMBER($G693),$G693,$F693)&gt;=DATE(PlanYear,11,1)),1,0))</f>
        <v>0</v>
      </c>
      <c r="Z693">
        <f>IF($N693=0,0,IF(AND($F693&lt;=EOMONTH(DATE(PlanYear,12,1),0),IF(ISNUMBER($G693),$G693,$F693)&gt;=DATE(PlanYear,12,1)),1,0))</f>
        <v>0</v>
      </c>
      <c r="AA693">
        <f>SUM($O693:$Z693)</f>
        <v>0</v>
      </c>
    </row>
    <row r="694" spans="1:27">
      <c r="A694" s="42">
        <f>IF($B694="","","ACT-"&amp;TEXT(ROW()-4,"000"))</f>
        <v>0</v>
      </c>
      <c r="M694" s="43">
        <f>IF(COUNTA($B694:$K694)=0,"",IF($B694="","Missing activity name",IF($C694="","Missing practice",IF(COUNTIF(PracticeNames,$C694)=0,"Practice not in Lists",IF($D694="","Missing motion",IF(NOT(ISNUMBER($F694)),"Missing or invalid start date",IF(AND(ISNUMBER($G694),$G694&lt;$F694),"End date before start",IF(AND($N694=1,$AA694=0),"Outside planning year","OK"))))))))</f>
        <v>0</v>
      </c>
      <c r="N694">
        <f>IF(AND($B694&lt;&gt;"",$C694&lt;&gt;"",$D694&lt;&gt;"",ISNUMBER($F694),COUNTIF(PracticeNames,$C694)&gt;0,COUNTIF(MotionNames,$D694)&gt;0,NOT(AND(ISNUMBER($G694),$G694&lt;$F694))),IF(StatusFilter="All (excl. Cancelled)",IF($H694="Cancelled",0,1),IF(StatusFilter="All",1,IF($H694=StatusFilter,1,0))),0)</f>
        <v>0</v>
      </c>
      <c r="O694">
        <f>IF($N694=0,0,IF(AND($F694&lt;=EOMONTH(DATE(PlanYear,1,1),0),IF(ISNUMBER($G694),$G694,$F694)&gt;=DATE(PlanYear,1,1)),1,0))</f>
        <v>0</v>
      </c>
      <c r="P694">
        <f>IF($N694=0,0,IF(AND($F694&lt;=EOMONTH(DATE(PlanYear,2,1),0),IF(ISNUMBER($G694),$G694,$F694)&gt;=DATE(PlanYear,2,1)),1,0))</f>
        <v>0</v>
      </c>
      <c r="Q694">
        <f>IF($N694=0,0,IF(AND($F694&lt;=EOMONTH(DATE(PlanYear,3,1),0),IF(ISNUMBER($G694),$G694,$F694)&gt;=DATE(PlanYear,3,1)),1,0))</f>
        <v>0</v>
      </c>
      <c r="R694">
        <f>IF($N694=0,0,IF(AND($F694&lt;=EOMONTH(DATE(PlanYear,4,1),0),IF(ISNUMBER($G694),$G694,$F694)&gt;=DATE(PlanYear,4,1)),1,0))</f>
        <v>0</v>
      </c>
      <c r="S694">
        <f>IF($N694=0,0,IF(AND($F694&lt;=EOMONTH(DATE(PlanYear,5,1),0),IF(ISNUMBER($G694),$G694,$F694)&gt;=DATE(PlanYear,5,1)),1,0))</f>
        <v>0</v>
      </c>
      <c r="T694">
        <f>IF($N694=0,0,IF(AND($F694&lt;=EOMONTH(DATE(PlanYear,6,1),0),IF(ISNUMBER($G694),$G694,$F694)&gt;=DATE(PlanYear,6,1)),1,0))</f>
        <v>0</v>
      </c>
      <c r="U694">
        <f>IF($N694=0,0,IF(AND($F694&lt;=EOMONTH(DATE(PlanYear,7,1),0),IF(ISNUMBER($G694),$G694,$F694)&gt;=DATE(PlanYear,7,1)),1,0))</f>
        <v>0</v>
      </c>
      <c r="V694">
        <f>IF($N694=0,0,IF(AND($F694&lt;=EOMONTH(DATE(PlanYear,8,1),0),IF(ISNUMBER($G694),$G694,$F694)&gt;=DATE(PlanYear,8,1)),1,0))</f>
        <v>0</v>
      </c>
      <c r="W694">
        <f>IF($N694=0,0,IF(AND($F694&lt;=EOMONTH(DATE(PlanYear,9,1),0),IF(ISNUMBER($G694),$G694,$F694)&gt;=DATE(PlanYear,9,1)),1,0))</f>
        <v>0</v>
      </c>
      <c r="X694">
        <f>IF($N694=0,0,IF(AND($F694&lt;=EOMONTH(DATE(PlanYear,10,1),0),IF(ISNUMBER($G694),$G694,$F694)&gt;=DATE(PlanYear,10,1)),1,0))</f>
        <v>0</v>
      </c>
      <c r="Y694">
        <f>IF($N694=0,0,IF(AND($F694&lt;=EOMONTH(DATE(PlanYear,11,1),0),IF(ISNUMBER($G694),$G694,$F694)&gt;=DATE(PlanYear,11,1)),1,0))</f>
        <v>0</v>
      </c>
      <c r="Z694">
        <f>IF($N694=0,0,IF(AND($F694&lt;=EOMONTH(DATE(PlanYear,12,1),0),IF(ISNUMBER($G694),$G694,$F694)&gt;=DATE(PlanYear,12,1)),1,0))</f>
        <v>0</v>
      </c>
      <c r="AA694">
        <f>SUM($O694:$Z694)</f>
        <v>0</v>
      </c>
    </row>
    <row r="695" spans="1:27">
      <c r="A695" s="42">
        <f>IF($B695="","","ACT-"&amp;TEXT(ROW()-4,"000"))</f>
        <v>0</v>
      </c>
      <c r="M695" s="43">
        <f>IF(COUNTA($B695:$K695)=0,"",IF($B695="","Missing activity name",IF($C695="","Missing practice",IF(COUNTIF(PracticeNames,$C695)=0,"Practice not in Lists",IF($D695="","Missing motion",IF(NOT(ISNUMBER($F695)),"Missing or invalid start date",IF(AND(ISNUMBER($G695),$G695&lt;$F695),"End date before start",IF(AND($N695=1,$AA695=0),"Outside planning year","OK"))))))))</f>
        <v>0</v>
      </c>
      <c r="N695">
        <f>IF(AND($B695&lt;&gt;"",$C695&lt;&gt;"",$D695&lt;&gt;"",ISNUMBER($F695),COUNTIF(PracticeNames,$C695)&gt;0,COUNTIF(MotionNames,$D695)&gt;0,NOT(AND(ISNUMBER($G695),$G695&lt;$F695))),IF(StatusFilter="All (excl. Cancelled)",IF($H695="Cancelled",0,1),IF(StatusFilter="All",1,IF($H695=StatusFilter,1,0))),0)</f>
        <v>0</v>
      </c>
      <c r="O695">
        <f>IF($N695=0,0,IF(AND($F695&lt;=EOMONTH(DATE(PlanYear,1,1),0),IF(ISNUMBER($G695),$G695,$F695)&gt;=DATE(PlanYear,1,1)),1,0))</f>
        <v>0</v>
      </c>
      <c r="P695">
        <f>IF($N695=0,0,IF(AND($F695&lt;=EOMONTH(DATE(PlanYear,2,1),0),IF(ISNUMBER($G695),$G695,$F695)&gt;=DATE(PlanYear,2,1)),1,0))</f>
        <v>0</v>
      </c>
      <c r="Q695">
        <f>IF($N695=0,0,IF(AND($F695&lt;=EOMONTH(DATE(PlanYear,3,1),0),IF(ISNUMBER($G695),$G695,$F695)&gt;=DATE(PlanYear,3,1)),1,0))</f>
        <v>0</v>
      </c>
      <c r="R695">
        <f>IF($N695=0,0,IF(AND($F695&lt;=EOMONTH(DATE(PlanYear,4,1),0),IF(ISNUMBER($G695),$G695,$F695)&gt;=DATE(PlanYear,4,1)),1,0))</f>
        <v>0</v>
      </c>
      <c r="S695">
        <f>IF($N695=0,0,IF(AND($F695&lt;=EOMONTH(DATE(PlanYear,5,1),0),IF(ISNUMBER($G695),$G695,$F695)&gt;=DATE(PlanYear,5,1)),1,0))</f>
        <v>0</v>
      </c>
      <c r="T695">
        <f>IF($N695=0,0,IF(AND($F695&lt;=EOMONTH(DATE(PlanYear,6,1),0),IF(ISNUMBER($G695),$G695,$F695)&gt;=DATE(PlanYear,6,1)),1,0))</f>
        <v>0</v>
      </c>
      <c r="U695">
        <f>IF($N695=0,0,IF(AND($F695&lt;=EOMONTH(DATE(PlanYear,7,1),0),IF(ISNUMBER($G695),$G695,$F695)&gt;=DATE(PlanYear,7,1)),1,0))</f>
        <v>0</v>
      </c>
      <c r="V695">
        <f>IF($N695=0,0,IF(AND($F695&lt;=EOMONTH(DATE(PlanYear,8,1),0),IF(ISNUMBER($G695),$G695,$F695)&gt;=DATE(PlanYear,8,1)),1,0))</f>
        <v>0</v>
      </c>
      <c r="W695">
        <f>IF($N695=0,0,IF(AND($F695&lt;=EOMONTH(DATE(PlanYear,9,1),0),IF(ISNUMBER($G695),$G695,$F695)&gt;=DATE(PlanYear,9,1)),1,0))</f>
        <v>0</v>
      </c>
      <c r="X695">
        <f>IF($N695=0,0,IF(AND($F695&lt;=EOMONTH(DATE(PlanYear,10,1),0),IF(ISNUMBER($G695),$G695,$F695)&gt;=DATE(PlanYear,10,1)),1,0))</f>
        <v>0</v>
      </c>
      <c r="Y695">
        <f>IF($N695=0,0,IF(AND($F695&lt;=EOMONTH(DATE(PlanYear,11,1),0),IF(ISNUMBER($G695),$G695,$F695)&gt;=DATE(PlanYear,11,1)),1,0))</f>
        <v>0</v>
      </c>
      <c r="Z695">
        <f>IF($N695=0,0,IF(AND($F695&lt;=EOMONTH(DATE(PlanYear,12,1),0),IF(ISNUMBER($G695),$G695,$F695)&gt;=DATE(PlanYear,12,1)),1,0))</f>
        <v>0</v>
      </c>
      <c r="AA695">
        <f>SUM($O695:$Z695)</f>
        <v>0</v>
      </c>
    </row>
    <row r="696" spans="1:27">
      <c r="A696" s="42">
        <f>IF($B696="","","ACT-"&amp;TEXT(ROW()-4,"000"))</f>
        <v>0</v>
      </c>
      <c r="M696" s="43">
        <f>IF(COUNTA($B696:$K696)=0,"",IF($B696="","Missing activity name",IF($C696="","Missing practice",IF(COUNTIF(PracticeNames,$C696)=0,"Practice not in Lists",IF($D696="","Missing motion",IF(NOT(ISNUMBER($F696)),"Missing or invalid start date",IF(AND(ISNUMBER($G696),$G696&lt;$F696),"End date before start",IF(AND($N696=1,$AA696=0),"Outside planning year","OK"))))))))</f>
        <v>0</v>
      </c>
      <c r="N696">
        <f>IF(AND($B696&lt;&gt;"",$C696&lt;&gt;"",$D696&lt;&gt;"",ISNUMBER($F696),COUNTIF(PracticeNames,$C696)&gt;0,COUNTIF(MotionNames,$D696)&gt;0,NOT(AND(ISNUMBER($G696),$G696&lt;$F696))),IF(StatusFilter="All (excl. Cancelled)",IF($H696="Cancelled",0,1),IF(StatusFilter="All",1,IF($H696=StatusFilter,1,0))),0)</f>
        <v>0</v>
      </c>
      <c r="O696">
        <f>IF($N696=0,0,IF(AND($F696&lt;=EOMONTH(DATE(PlanYear,1,1),0),IF(ISNUMBER($G696),$G696,$F696)&gt;=DATE(PlanYear,1,1)),1,0))</f>
        <v>0</v>
      </c>
      <c r="P696">
        <f>IF($N696=0,0,IF(AND($F696&lt;=EOMONTH(DATE(PlanYear,2,1),0),IF(ISNUMBER($G696),$G696,$F696)&gt;=DATE(PlanYear,2,1)),1,0))</f>
        <v>0</v>
      </c>
      <c r="Q696">
        <f>IF($N696=0,0,IF(AND($F696&lt;=EOMONTH(DATE(PlanYear,3,1),0),IF(ISNUMBER($G696),$G696,$F696)&gt;=DATE(PlanYear,3,1)),1,0))</f>
        <v>0</v>
      </c>
      <c r="R696">
        <f>IF($N696=0,0,IF(AND($F696&lt;=EOMONTH(DATE(PlanYear,4,1),0),IF(ISNUMBER($G696),$G696,$F696)&gt;=DATE(PlanYear,4,1)),1,0))</f>
        <v>0</v>
      </c>
      <c r="S696">
        <f>IF($N696=0,0,IF(AND($F696&lt;=EOMONTH(DATE(PlanYear,5,1),0),IF(ISNUMBER($G696),$G696,$F696)&gt;=DATE(PlanYear,5,1)),1,0))</f>
        <v>0</v>
      </c>
      <c r="T696">
        <f>IF($N696=0,0,IF(AND($F696&lt;=EOMONTH(DATE(PlanYear,6,1),0),IF(ISNUMBER($G696),$G696,$F696)&gt;=DATE(PlanYear,6,1)),1,0))</f>
        <v>0</v>
      </c>
      <c r="U696">
        <f>IF($N696=0,0,IF(AND($F696&lt;=EOMONTH(DATE(PlanYear,7,1),0),IF(ISNUMBER($G696),$G696,$F696)&gt;=DATE(PlanYear,7,1)),1,0))</f>
        <v>0</v>
      </c>
      <c r="V696">
        <f>IF($N696=0,0,IF(AND($F696&lt;=EOMONTH(DATE(PlanYear,8,1),0),IF(ISNUMBER($G696),$G696,$F696)&gt;=DATE(PlanYear,8,1)),1,0))</f>
        <v>0</v>
      </c>
      <c r="W696">
        <f>IF($N696=0,0,IF(AND($F696&lt;=EOMONTH(DATE(PlanYear,9,1),0),IF(ISNUMBER($G696),$G696,$F696)&gt;=DATE(PlanYear,9,1)),1,0))</f>
        <v>0</v>
      </c>
      <c r="X696">
        <f>IF($N696=0,0,IF(AND($F696&lt;=EOMONTH(DATE(PlanYear,10,1),0),IF(ISNUMBER($G696),$G696,$F696)&gt;=DATE(PlanYear,10,1)),1,0))</f>
        <v>0</v>
      </c>
      <c r="Y696">
        <f>IF($N696=0,0,IF(AND($F696&lt;=EOMONTH(DATE(PlanYear,11,1),0),IF(ISNUMBER($G696),$G696,$F696)&gt;=DATE(PlanYear,11,1)),1,0))</f>
        <v>0</v>
      </c>
      <c r="Z696">
        <f>IF($N696=0,0,IF(AND($F696&lt;=EOMONTH(DATE(PlanYear,12,1),0),IF(ISNUMBER($G696),$G696,$F696)&gt;=DATE(PlanYear,12,1)),1,0))</f>
        <v>0</v>
      </c>
      <c r="AA696">
        <f>SUM($O696:$Z696)</f>
        <v>0</v>
      </c>
    </row>
    <row r="697" spans="1:27">
      <c r="A697" s="42">
        <f>IF($B697="","","ACT-"&amp;TEXT(ROW()-4,"000"))</f>
        <v>0</v>
      </c>
      <c r="M697" s="43">
        <f>IF(COUNTA($B697:$K697)=0,"",IF($B697="","Missing activity name",IF($C697="","Missing practice",IF(COUNTIF(PracticeNames,$C697)=0,"Practice not in Lists",IF($D697="","Missing motion",IF(NOT(ISNUMBER($F697)),"Missing or invalid start date",IF(AND(ISNUMBER($G697),$G697&lt;$F697),"End date before start",IF(AND($N697=1,$AA697=0),"Outside planning year","OK"))))))))</f>
        <v>0</v>
      </c>
      <c r="N697">
        <f>IF(AND($B697&lt;&gt;"",$C697&lt;&gt;"",$D697&lt;&gt;"",ISNUMBER($F697),COUNTIF(PracticeNames,$C697)&gt;0,COUNTIF(MotionNames,$D697)&gt;0,NOT(AND(ISNUMBER($G697),$G697&lt;$F697))),IF(StatusFilter="All (excl. Cancelled)",IF($H697="Cancelled",0,1),IF(StatusFilter="All",1,IF($H697=StatusFilter,1,0))),0)</f>
        <v>0</v>
      </c>
      <c r="O697">
        <f>IF($N697=0,0,IF(AND($F697&lt;=EOMONTH(DATE(PlanYear,1,1),0),IF(ISNUMBER($G697),$G697,$F697)&gt;=DATE(PlanYear,1,1)),1,0))</f>
        <v>0</v>
      </c>
      <c r="P697">
        <f>IF($N697=0,0,IF(AND($F697&lt;=EOMONTH(DATE(PlanYear,2,1),0),IF(ISNUMBER($G697),$G697,$F697)&gt;=DATE(PlanYear,2,1)),1,0))</f>
        <v>0</v>
      </c>
      <c r="Q697">
        <f>IF($N697=0,0,IF(AND($F697&lt;=EOMONTH(DATE(PlanYear,3,1),0),IF(ISNUMBER($G697),$G697,$F697)&gt;=DATE(PlanYear,3,1)),1,0))</f>
        <v>0</v>
      </c>
      <c r="R697">
        <f>IF($N697=0,0,IF(AND($F697&lt;=EOMONTH(DATE(PlanYear,4,1),0),IF(ISNUMBER($G697),$G697,$F697)&gt;=DATE(PlanYear,4,1)),1,0))</f>
        <v>0</v>
      </c>
      <c r="S697">
        <f>IF($N697=0,0,IF(AND($F697&lt;=EOMONTH(DATE(PlanYear,5,1),0),IF(ISNUMBER($G697),$G697,$F697)&gt;=DATE(PlanYear,5,1)),1,0))</f>
        <v>0</v>
      </c>
      <c r="T697">
        <f>IF($N697=0,0,IF(AND($F697&lt;=EOMONTH(DATE(PlanYear,6,1),0),IF(ISNUMBER($G697),$G697,$F697)&gt;=DATE(PlanYear,6,1)),1,0))</f>
        <v>0</v>
      </c>
      <c r="U697">
        <f>IF($N697=0,0,IF(AND($F697&lt;=EOMONTH(DATE(PlanYear,7,1),0),IF(ISNUMBER($G697),$G697,$F697)&gt;=DATE(PlanYear,7,1)),1,0))</f>
        <v>0</v>
      </c>
      <c r="V697">
        <f>IF($N697=0,0,IF(AND($F697&lt;=EOMONTH(DATE(PlanYear,8,1),0),IF(ISNUMBER($G697),$G697,$F697)&gt;=DATE(PlanYear,8,1)),1,0))</f>
        <v>0</v>
      </c>
      <c r="W697">
        <f>IF($N697=0,0,IF(AND($F697&lt;=EOMONTH(DATE(PlanYear,9,1),0),IF(ISNUMBER($G697),$G697,$F697)&gt;=DATE(PlanYear,9,1)),1,0))</f>
        <v>0</v>
      </c>
      <c r="X697">
        <f>IF($N697=0,0,IF(AND($F697&lt;=EOMONTH(DATE(PlanYear,10,1),0),IF(ISNUMBER($G697),$G697,$F697)&gt;=DATE(PlanYear,10,1)),1,0))</f>
        <v>0</v>
      </c>
      <c r="Y697">
        <f>IF($N697=0,0,IF(AND($F697&lt;=EOMONTH(DATE(PlanYear,11,1),0),IF(ISNUMBER($G697),$G697,$F697)&gt;=DATE(PlanYear,11,1)),1,0))</f>
        <v>0</v>
      </c>
      <c r="Z697">
        <f>IF($N697=0,0,IF(AND($F697&lt;=EOMONTH(DATE(PlanYear,12,1),0),IF(ISNUMBER($G697),$G697,$F697)&gt;=DATE(PlanYear,12,1)),1,0))</f>
        <v>0</v>
      </c>
      <c r="AA697">
        <f>SUM($O697:$Z697)</f>
        <v>0</v>
      </c>
    </row>
    <row r="698" spans="1:27">
      <c r="A698" s="42">
        <f>IF($B698="","","ACT-"&amp;TEXT(ROW()-4,"000"))</f>
        <v>0</v>
      </c>
      <c r="M698" s="43">
        <f>IF(COUNTA($B698:$K698)=0,"",IF($B698="","Missing activity name",IF($C698="","Missing practice",IF(COUNTIF(PracticeNames,$C698)=0,"Practice not in Lists",IF($D698="","Missing motion",IF(NOT(ISNUMBER($F698)),"Missing or invalid start date",IF(AND(ISNUMBER($G698),$G698&lt;$F698),"End date before start",IF(AND($N698=1,$AA698=0),"Outside planning year","OK"))))))))</f>
        <v>0</v>
      </c>
      <c r="N698">
        <f>IF(AND($B698&lt;&gt;"",$C698&lt;&gt;"",$D698&lt;&gt;"",ISNUMBER($F698),COUNTIF(PracticeNames,$C698)&gt;0,COUNTIF(MotionNames,$D698)&gt;0,NOT(AND(ISNUMBER($G698),$G698&lt;$F698))),IF(StatusFilter="All (excl. Cancelled)",IF($H698="Cancelled",0,1),IF(StatusFilter="All",1,IF($H698=StatusFilter,1,0))),0)</f>
        <v>0</v>
      </c>
      <c r="O698">
        <f>IF($N698=0,0,IF(AND($F698&lt;=EOMONTH(DATE(PlanYear,1,1),0),IF(ISNUMBER($G698),$G698,$F698)&gt;=DATE(PlanYear,1,1)),1,0))</f>
        <v>0</v>
      </c>
      <c r="P698">
        <f>IF($N698=0,0,IF(AND($F698&lt;=EOMONTH(DATE(PlanYear,2,1),0),IF(ISNUMBER($G698),$G698,$F698)&gt;=DATE(PlanYear,2,1)),1,0))</f>
        <v>0</v>
      </c>
      <c r="Q698">
        <f>IF($N698=0,0,IF(AND($F698&lt;=EOMONTH(DATE(PlanYear,3,1),0),IF(ISNUMBER($G698),$G698,$F698)&gt;=DATE(PlanYear,3,1)),1,0))</f>
        <v>0</v>
      </c>
      <c r="R698">
        <f>IF($N698=0,0,IF(AND($F698&lt;=EOMONTH(DATE(PlanYear,4,1),0),IF(ISNUMBER($G698),$G698,$F698)&gt;=DATE(PlanYear,4,1)),1,0))</f>
        <v>0</v>
      </c>
      <c r="S698">
        <f>IF($N698=0,0,IF(AND($F698&lt;=EOMONTH(DATE(PlanYear,5,1),0),IF(ISNUMBER($G698),$G698,$F698)&gt;=DATE(PlanYear,5,1)),1,0))</f>
        <v>0</v>
      </c>
      <c r="T698">
        <f>IF($N698=0,0,IF(AND($F698&lt;=EOMONTH(DATE(PlanYear,6,1),0),IF(ISNUMBER($G698),$G698,$F698)&gt;=DATE(PlanYear,6,1)),1,0))</f>
        <v>0</v>
      </c>
      <c r="U698">
        <f>IF($N698=0,0,IF(AND($F698&lt;=EOMONTH(DATE(PlanYear,7,1),0),IF(ISNUMBER($G698),$G698,$F698)&gt;=DATE(PlanYear,7,1)),1,0))</f>
        <v>0</v>
      </c>
      <c r="V698">
        <f>IF($N698=0,0,IF(AND($F698&lt;=EOMONTH(DATE(PlanYear,8,1),0),IF(ISNUMBER($G698),$G698,$F698)&gt;=DATE(PlanYear,8,1)),1,0))</f>
        <v>0</v>
      </c>
      <c r="W698">
        <f>IF($N698=0,0,IF(AND($F698&lt;=EOMONTH(DATE(PlanYear,9,1),0),IF(ISNUMBER($G698),$G698,$F698)&gt;=DATE(PlanYear,9,1)),1,0))</f>
        <v>0</v>
      </c>
      <c r="X698">
        <f>IF($N698=0,0,IF(AND($F698&lt;=EOMONTH(DATE(PlanYear,10,1),0),IF(ISNUMBER($G698),$G698,$F698)&gt;=DATE(PlanYear,10,1)),1,0))</f>
        <v>0</v>
      </c>
      <c r="Y698">
        <f>IF($N698=0,0,IF(AND($F698&lt;=EOMONTH(DATE(PlanYear,11,1),0),IF(ISNUMBER($G698),$G698,$F698)&gt;=DATE(PlanYear,11,1)),1,0))</f>
        <v>0</v>
      </c>
      <c r="Z698">
        <f>IF($N698=0,0,IF(AND($F698&lt;=EOMONTH(DATE(PlanYear,12,1),0),IF(ISNUMBER($G698),$G698,$F698)&gt;=DATE(PlanYear,12,1)),1,0))</f>
        <v>0</v>
      </c>
      <c r="AA698">
        <f>SUM($O698:$Z698)</f>
        <v>0</v>
      </c>
    </row>
    <row r="699" spans="1:27">
      <c r="A699" s="42">
        <f>IF($B699="","","ACT-"&amp;TEXT(ROW()-4,"000"))</f>
        <v>0</v>
      </c>
      <c r="M699" s="43">
        <f>IF(COUNTA($B699:$K699)=0,"",IF($B699="","Missing activity name",IF($C699="","Missing practice",IF(COUNTIF(PracticeNames,$C699)=0,"Practice not in Lists",IF($D699="","Missing motion",IF(NOT(ISNUMBER($F699)),"Missing or invalid start date",IF(AND(ISNUMBER($G699),$G699&lt;$F699),"End date before start",IF(AND($N699=1,$AA699=0),"Outside planning year","OK"))))))))</f>
        <v>0</v>
      </c>
      <c r="N699">
        <f>IF(AND($B699&lt;&gt;"",$C699&lt;&gt;"",$D699&lt;&gt;"",ISNUMBER($F699),COUNTIF(PracticeNames,$C699)&gt;0,COUNTIF(MotionNames,$D699)&gt;0,NOT(AND(ISNUMBER($G699),$G699&lt;$F699))),IF(StatusFilter="All (excl. Cancelled)",IF($H699="Cancelled",0,1),IF(StatusFilter="All",1,IF($H699=StatusFilter,1,0))),0)</f>
        <v>0</v>
      </c>
      <c r="O699">
        <f>IF($N699=0,0,IF(AND($F699&lt;=EOMONTH(DATE(PlanYear,1,1),0),IF(ISNUMBER($G699),$G699,$F699)&gt;=DATE(PlanYear,1,1)),1,0))</f>
        <v>0</v>
      </c>
      <c r="P699">
        <f>IF($N699=0,0,IF(AND($F699&lt;=EOMONTH(DATE(PlanYear,2,1),0),IF(ISNUMBER($G699),$G699,$F699)&gt;=DATE(PlanYear,2,1)),1,0))</f>
        <v>0</v>
      </c>
      <c r="Q699">
        <f>IF($N699=0,0,IF(AND($F699&lt;=EOMONTH(DATE(PlanYear,3,1),0),IF(ISNUMBER($G699),$G699,$F699)&gt;=DATE(PlanYear,3,1)),1,0))</f>
        <v>0</v>
      </c>
      <c r="R699">
        <f>IF($N699=0,0,IF(AND($F699&lt;=EOMONTH(DATE(PlanYear,4,1),0),IF(ISNUMBER($G699),$G699,$F699)&gt;=DATE(PlanYear,4,1)),1,0))</f>
        <v>0</v>
      </c>
      <c r="S699">
        <f>IF($N699=0,0,IF(AND($F699&lt;=EOMONTH(DATE(PlanYear,5,1),0),IF(ISNUMBER($G699),$G699,$F699)&gt;=DATE(PlanYear,5,1)),1,0))</f>
        <v>0</v>
      </c>
      <c r="T699">
        <f>IF($N699=0,0,IF(AND($F699&lt;=EOMONTH(DATE(PlanYear,6,1),0),IF(ISNUMBER($G699),$G699,$F699)&gt;=DATE(PlanYear,6,1)),1,0))</f>
        <v>0</v>
      </c>
      <c r="U699">
        <f>IF($N699=0,0,IF(AND($F699&lt;=EOMONTH(DATE(PlanYear,7,1),0),IF(ISNUMBER($G699),$G699,$F699)&gt;=DATE(PlanYear,7,1)),1,0))</f>
        <v>0</v>
      </c>
      <c r="V699">
        <f>IF($N699=0,0,IF(AND($F699&lt;=EOMONTH(DATE(PlanYear,8,1),0),IF(ISNUMBER($G699),$G699,$F699)&gt;=DATE(PlanYear,8,1)),1,0))</f>
        <v>0</v>
      </c>
      <c r="W699">
        <f>IF($N699=0,0,IF(AND($F699&lt;=EOMONTH(DATE(PlanYear,9,1),0),IF(ISNUMBER($G699),$G699,$F699)&gt;=DATE(PlanYear,9,1)),1,0))</f>
        <v>0</v>
      </c>
      <c r="X699">
        <f>IF($N699=0,0,IF(AND($F699&lt;=EOMONTH(DATE(PlanYear,10,1),0),IF(ISNUMBER($G699),$G699,$F699)&gt;=DATE(PlanYear,10,1)),1,0))</f>
        <v>0</v>
      </c>
      <c r="Y699">
        <f>IF($N699=0,0,IF(AND($F699&lt;=EOMONTH(DATE(PlanYear,11,1),0),IF(ISNUMBER($G699),$G699,$F699)&gt;=DATE(PlanYear,11,1)),1,0))</f>
        <v>0</v>
      </c>
      <c r="Z699">
        <f>IF($N699=0,0,IF(AND($F699&lt;=EOMONTH(DATE(PlanYear,12,1),0),IF(ISNUMBER($G699),$G699,$F699)&gt;=DATE(PlanYear,12,1)),1,0))</f>
        <v>0</v>
      </c>
      <c r="AA699">
        <f>SUM($O699:$Z699)</f>
        <v>0</v>
      </c>
    </row>
    <row r="700" spans="1:27">
      <c r="A700" s="42">
        <f>IF($B700="","","ACT-"&amp;TEXT(ROW()-4,"000"))</f>
        <v>0</v>
      </c>
      <c r="M700" s="43">
        <f>IF(COUNTA($B700:$K700)=0,"",IF($B700="","Missing activity name",IF($C700="","Missing practice",IF(COUNTIF(PracticeNames,$C700)=0,"Practice not in Lists",IF($D700="","Missing motion",IF(NOT(ISNUMBER($F700)),"Missing or invalid start date",IF(AND(ISNUMBER($G700),$G700&lt;$F700),"End date before start",IF(AND($N700=1,$AA700=0),"Outside planning year","OK"))))))))</f>
        <v>0</v>
      </c>
      <c r="N700">
        <f>IF(AND($B700&lt;&gt;"",$C700&lt;&gt;"",$D700&lt;&gt;"",ISNUMBER($F700),COUNTIF(PracticeNames,$C700)&gt;0,COUNTIF(MotionNames,$D700)&gt;0,NOT(AND(ISNUMBER($G700),$G700&lt;$F700))),IF(StatusFilter="All (excl. Cancelled)",IF($H700="Cancelled",0,1),IF(StatusFilter="All",1,IF($H700=StatusFilter,1,0))),0)</f>
        <v>0</v>
      </c>
      <c r="O700">
        <f>IF($N700=0,0,IF(AND($F700&lt;=EOMONTH(DATE(PlanYear,1,1),0),IF(ISNUMBER($G700),$G700,$F700)&gt;=DATE(PlanYear,1,1)),1,0))</f>
        <v>0</v>
      </c>
      <c r="P700">
        <f>IF($N700=0,0,IF(AND($F700&lt;=EOMONTH(DATE(PlanYear,2,1),0),IF(ISNUMBER($G700),$G700,$F700)&gt;=DATE(PlanYear,2,1)),1,0))</f>
        <v>0</v>
      </c>
      <c r="Q700">
        <f>IF($N700=0,0,IF(AND($F700&lt;=EOMONTH(DATE(PlanYear,3,1),0),IF(ISNUMBER($G700),$G700,$F700)&gt;=DATE(PlanYear,3,1)),1,0))</f>
        <v>0</v>
      </c>
      <c r="R700">
        <f>IF($N700=0,0,IF(AND($F700&lt;=EOMONTH(DATE(PlanYear,4,1),0),IF(ISNUMBER($G700),$G700,$F700)&gt;=DATE(PlanYear,4,1)),1,0))</f>
        <v>0</v>
      </c>
      <c r="S700">
        <f>IF($N700=0,0,IF(AND($F700&lt;=EOMONTH(DATE(PlanYear,5,1),0),IF(ISNUMBER($G700),$G700,$F700)&gt;=DATE(PlanYear,5,1)),1,0))</f>
        <v>0</v>
      </c>
      <c r="T700">
        <f>IF($N700=0,0,IF(AND($F700&lt;=EOMONTH(DATE(PlanYear,6,1),0),IF(ISNUMBER($G700),$G700,$F700)&gt;=DATE(PlanYear,6,1)),1,0))</f>
        <v>0</v>
      </c>
      <c r="U700">
        <f>IF($N700=0,0,IF(AND($F700&lt;=EOMONTH(DATE(PlanYear,7,1),0),IF(ISNUMBER($G700),$G700,$F700)&gt;=DATE(PlanYear,7,1)),1,0))</f>
        <v>0</v>
      </c>
      <c r="V700">
        <f>IF($N700=0,0,IF(AND($F700&lt;=EOMONTH(DATE(PlanYear,8,1),0),IF(ISNUMBER($G700),$G700,$F700)&gt;=DATE(PlanYear,8,1)),1,0))</f>
        <v>0</v>
      </c>
      <c r="W700">
        <f>IF($N700=0,0,IF(AND($F700&lt;=EOMONTH(DATE(PlanYear,9,1),0),IF(ISNUMBER($G700),$G700,$F700)&gt;=DATE(PlanYear,9,1)),1,0))</f>
        <v>0</v>
      </c>
      <c r="X700">
        <f>IF($N700=0,0,IF(AND($F700&lt;=EOMONTH(DATE(PlanYear,10,1),0),IF(ISNUMBER($G700),$G700,$F700)&gt;=DATE(PlanYear,10,1)),1,0))</f>
        <v>0</v>
      </c>
      <c r="Y700">
        <f>IF($N700=0,0,IF(AND($F700&lt;=EOMONTH(DATE(PlanYear,11,1),0),IF(ISNUMBER($G700),$G700,$F700)&gt;=DATE(PlanYear,11,1)),1,0))</f>
        <v>0</v>
      </c>
      <c r="Z700">
        <f>IF($N700=0,0,IF(AND($F700&lt;=EOMONTH(DATE(PlanYear,12,1),0),IF(ISNUMBER($G700),$G700,$F700)&gt;=DATE(PlanYear,12,1)),1,0))</f>
        <v>0</v>
      </c>
      <c r="AA700">
        <f>SUM($O700:$Z700)</f>
        <v>0</v>
      </c>
    </row>
    <row r="701" spans="1:27">
      <c r="A701" s="42">
        <f>IF($B701="","","ACT-"&amp;TEXT(ROW()-4,"000"))</f>
        <v>0</v>
      </c>
      <c r="M701" s="43">
        <f>IF(COUNTA($B701:$K701)=0,"",IF($B701="","Missing activity name",IF($C701="","Missing practice",IF(COUNTIF(PracticeNames,$C701)=0,"Practice not in Lists",IF($D701="","Missing motion",IF(NOT(ISNUMBER($F701)),"Missing or invalid start date",IF(AND(ISNUMBER($G701),$G701&lt;$F701),"End date before start",IF(AND($N701=1,$AA701=0),"Outside planning year","OK"))))))))</f>
        <v>0</v>
      </c>
      <c r="N701">
        <f>IF(AND($B701&lt;&gt;"",$C701&lt;&gt;"",$D701&lt;&gt;"",ISNUMBER($F701),COUNTIF(PracticeNames,$C701)&gt;0,COUNTIF(MotionNames,$D701)&gt;0,NOT(AND(ISNUMBER($G701),$G701&lt;$F701))),IF(StatusFilter="All (excl. Cancelled)",IF($H701="Cancelled",0,1),IF(StatusFilter="All",1,IF($H701=StatusFilter,1,0))),0)</f>
        <v>0</v>
      </c>
      <c r="O701">
        <f>IF($N701=0,0,IF(AND($F701&lt;=EOMONTH(DATE(PlanYear,1,1),0),IF(ISNUMBER($G701),$G701,$F701)&gt;=DATE(PlanYear,1,1)),1,0))</f>
        <v>0</v>
      </c>
      <c r="P701">
        <f>IF($N701=0,0,IF(AND($F701&lt;=EOMONTH(DATE(PlanYear,2,1),0),IF(ISNUMBER($G701),$G701,$F701)&gt;=DATE(PlanYear,2,1)),1,0))</f>
        <v>0</v>
      </c>
      <c r="Q701">
        <f>IF($N701=0,0,IF(AND($F701&lt;=EOMONTH(DATE(PlanYear,3,1),0),IF(ISNUMBER($G701),$G701,$F701)&gt;=DATE(PlanYear,3,1)),1,0))</f>
        <v>0</v>
      </c>
      <c r="R701">
        <f>IF($N701=0,0,IF(AND($F701&lt;=EOMONTH(DATE(PlanYear,4,1),0),IF(ISNUMBER($G701),$G701,$F701)&gt;=DATE(PlanYear,4,1)),1,0))</f>
        <v>0</v>
      </c>
      <c r="S701">
        <f>IF($N701=0,0,IF(AND($F701&lt;=EOMONTH(DATE(PlanYear,5,1),0),IF(ISNUMBER($G701),$G701,$F701)&gt;=DATE(PlanYear,5,1)),1,0))</f>
        <v>0</v>
      </c>
      <c r="T701">
        <f>IF($N701=0,0,IF(AND($F701&lt;=EOMONTH(DATE(PlanYear,6,1),0),IF(ISNUMBER($G701),$G701,$F701)&gt;=DATE(PlanYear,6,1)),1,0))</f>
        <v>0</v>
      </c>
      <c r="U701">
        <f>IF($N701=0,0,IF(AND($F701&lt;=EOMONTH(DATE(PlanYear,7,1),0),IF(ISNUMBER($G701),$G701,$F701)&gt;=DATE(PlanYear,7,1)),1,0))</f>
        <v>0</v>
      </c>
      <c r="V701">
        <f>IF($N701=0,0,IF(AND($F701&lt;=EOMONTH(DATE(PlanYear,8,1),0),IF(ISNUMBER($G701),$G701,$F701)&gt;=DATE(PlanYear,8,1)),1,0))</f>
        <v>0</v>
      </c>
      <c r="W701">
        <f>IF($N701=0,0,IF(AND($F701&lt;=EOMONTH(DATE(PlanYear,9,1),0),IF(ISNUMBER($G701),$G701,$F701)&gt;=DATE(PlanYear,9,1)),1,0))</f>
        <v>0</v>
      </c>
      <c r="X701">
        <f>IF($N701=0,0,IF(AND($F701&lt;=EOMONTH(DATE(PlanYear,10,1),0),IF(ISNUMBER($G701),$G701,$F701)&gt;=DATE(PlanYear,10,1)),1,0))</f>
        <v>0</v>
      </c>
      <c r="Y701">
        <f>IF($N701=0,0,IF(AND($F701&lt;=EOMONTH(DATE(PlanYear,11,1),0),IF(ISNUMBER($G701),$G701,$F701)&gt;=DATE(PlanYear,11,1)),1,0))</f>
        <v>0</v>
      </c>
      <c r="Z701">
        <f>IF($N701=0,0,IF(AND($F701&lt;=EOMONTH(DATE(PlanYear,12,1),0),IF(ISNUMBER($G701),$G701,$F701)&gt;=DATE(PlanYear,12,1)),1,0))</f>
        <v>0</v>
      </c>
      <c r="AA701">
        <f>SUM($O701:$Z701)</f>
        <v>0</v>
      </c>
    </row>
    <row r="702" spans="1:27">
      <c r="A702" s="42">
        <f>IF($B702="","","ACT-"&amp;TEXT(ROW()-4,"000"))</f>
        <v>0</v>
      </c>
      <c r="M702" s="43">
        <f>IF(COUNTA($B702:$K702)=0,"",IF($B702="","Missing activity name",IF($C702="","Missing practice",IF(COUNTIF(PracticeNames,$C702)=0,"Practice not in Lists",IF($D702="","Missing motion",IF(NOT(ISNUMBER($F702)),"Missing or invalid start date",IF(AND(ISNUMBER($G702),$G702&lt;$F702),"End date before start",IF(AND($N702=1,$AA702=0),"Outside planning year","OK"))))))))</f>
        <v>0</v>
      </c>
      <c r="N702">
        <f>IF(AND($B702&lt;&gt;"",$C702&lt;&gt;"",$D702&lt;&gt;"",ISNUMBER($F702),COUNTIF(PracticeNames,$C702)&gt;0,COUNTIF(MotionNames,$D702)&gt;0,NOT(AND(ISNUMBER($G702),$G702&lt;$F702))),IF(StatusFilter="All (excl. Cancelled)",IF($H702="Cancelled",0,1),IF(StatusFilter="All",1,IF($H702=StatusFilter,1,0))),0)</f>
        <v>0</v>
      </c>
      <c r="O702">
        <f>IF($N702=0,0,IF(AND($F702&lt;=EOMONTH(DATE(PlanYear,1,1),0),IF(ISNUMBER($G702),$G702,$F702)&gt;=DATE(PlanYear,1,1)),1,0))</f>
        <v>0</v>
      </c>
      <c r="P702">
        <f>IF($N702=0,0,IF(AND($F702&lt;=EOMONTH(DATE(PlanYear,2,1),0),IF(ISNUMBER($G702),$G702,$F702)&gt;=DATE(PlanYear,2,1)),1,0))</f>
        <v>0</v>
      </c>
      <c r="Q702">
        <f>IF($N702=0,0,IF(AND($F702&lt;=EOMONTH(DATE(PlanYear,3,1),0),IF(ISNUMBER($G702),$G702,$F702)&gt;=DATE(PlanYear,3,1)),1,0))</f>
        <v>0</v>
      </c>
      <c r="R702">
        <f>IF($N702=0,0,IF(AND($F702&lt;=EOMONTH(DATE(PlanYear,4,1),0),IF(ISNUMBER($G702),$G702,$F702)&gt;=DATE(PlanYear,4,1)),1,0))</f>
        <v>0</v>
      </c>
      <c r="S702">
        <f>IF($N702=0,0,IF(AND($F702&lt;=EOMONTH(DATE(PlanYear,5,1),0),IF(ISNUMBER($G702),$G702,$F702)&gt;=DATE(PlanYear,5,1)),1,0))</f>
        <v>0</v>
      </c>
      <c r="T702">
        <f>IF($N702=0,0,IF(AND($F702&lt;=EOMONTH(DATE(PlanYear,6,1),0),IF(ISNUMBER($G702),$G702,$F702)&gt;=DATE(PlanYear,6,1)),1,0))</f>
        <v>0</v>
      </c>
      <c r="U702">
        <f>IF($N702=0,0,IF(AND($F702&lt;=EOMONTH(DATE(PlanYear,7,1),0),IF(ISNUMBER($G702),$G702,$F702)&gt;=DATE(PlanYear,7,1)),1,0))</f>
        <v>0</v>
      </c>
      <c r="V702">
        <f>IF($N702=0,0,IF(AND($F702&lt;=EOMONTH(DATE(PlanYear,8,1),0),IF(ISNUMBER($G702),$G702,$F702)&gt;=DATE(PlanYear,8,1)),1,0))</f>
        <v>0</v>
      </c>
      <c r="W702">
        <f>IF($N702=0,0,IF(AND($F702&lt;=EOMONTH(DATE(PlanYear,9,1),0),IF(ISNUMBER($G702),$G702,$F702)&gt;=DATE(PlanYear,9,1)),1,0))</f>
        <v>0</v>
      </c>
      <c r="X702">
        <f>IF($N702=0,0,IF(AND($F702&lt;=EOMONTH(DATE(PlanYear,10,1),0),IF(ISNUMBER($G702),$G702,$F702)&gt;=DATE(PlanYear,10,1)),1,0))</f>
        <v>0</v>
      </c>
      <c r="Y702">
        <f>IF($N702=0,0,IF(AND($F702&lt;=EOMONTH(DATE(PlanYear,11,1),0),IF(ISNUMBER($G702),$G702,$F702)&gt;=DATE(PlanYear,11,1)),1,0))</f>
        <v>0</v>
      </c>
      <c r="Z702">
        <f>IF($N702=0,0,IF(AND($F702&lt;=EOMONTH(DATE(PlanYear,12,1),0),IF(ISNUMBER($G702),$G702,$F702)&gt;=DATE(PlanYear,12,1)),1,0))</f>
        <v>0</v>
      </c>
      <c r="AA702">
        <f>SUM($O702:$Z702)</f>
        <v>0</v>
      </c>
    </row>
    <row r="703" spans="1:27">
      <c r="A703" s="42">
        <f>IF($B703="","","ACT-"&amp;TEXT(ROW()-4,"000"))</f>
        <v>0</v>
      </c>
      <c r="M703" s="43">
        <f>IF(COUNTA($B703:$K703)=0,"",IF($B703="","Missing activity name",IF($C703="","Missing practice",IF(COUNTIF(PracticeNames,$C703)=0,"Practice not in Lists",IF($D703="","Missing motion",IF(NOT(ISNUMBER($F703)),"Missing or invalid start date",IF(AND(ISNUMBER($G703),$G703&lt;$F703),"End date before start",IF(AND($N703=1,$AA703=0),"Outside planning year","OK"))))))))</f>
        <v>0</v>
      </c>
      <c r="N703">
        <f>IF(AND($B703&lt;&gt;"",$C703&lt;&gt;"",$D703&lt;&gt;"",ISNUMBER($F703),COUNTIF(PracticeNames,$C703)&gt;0,COUNTIF(MotionNames,$D703)&gt;0,NOT(AND(ISNUMBER($G703),$G703&lt;$F703))),IF(StatusFilter="All (excl. Cancelled)",IF($H703="Cancelled",0,1),IF(StatusFilter="All",1,IF($H703=StatusFilter,1,0))),0)</f>
        <v>0</v>
      </c>
      <c r="O703">
        <f>IF($N703=0,0,IF(AND($F703&lt;=EOMONTH(DATE(PlanYear,1,1),0),IF(ISNUMBER($G703),$G703,$F703)&gt;=DATE(PlanYear,1,1)),1,0))</f>
        <v>0</v>
      </c>
      <c r="P703">
        <f>IF($N703=0,0,IF(AND($F703&lt;=EOMONTH(DATE(PlanYear,2,1),0),IF(ISNUMBER($G703),$G703,$F703)&gt;=DATE(PlanYear,2,1)),1,0))</f>
        <v>0</v>
      </c>
      <c r="Q703">
        <f>IF($N703=0,0,IF(AND($F703&lt;=EOMONTH(DATE(PlanYear,3,1),0),IF(ISNUMBER($G703),$G703,$F703)&gt;=DATE(PlanYear,3,1)),1,0))</f>
        <v>0</v>
      </c>
      <c r="R703">
        <f>IF($N703=0,0,IF(AND($F703&lt;=EOMONTH(DATE(PlanYear,4,1),0),IF(ISNUMBER($G703),$G703,$F703)&gt;=DATE(PlanYear,4,1)),1,0))</f>
        <v>0</v>
      </c>
      <c r="S703">
        <f>IF($N703=0,0,IF(AND($F703&lt;=EOMONTH(DATE(PlanYear,5,1),0),IF(ISNUMBER($G703),$G703,$F703)&gt;=DATE(PlanYear,5,1)),1,0))</f>
        <v>0</v>
      </c>
      <c r="T703">
        <f>IF($N703=0,0,IF(AND($F703&lt;=EOMONTH(DATE(PlanYear,6,1),0),IF(ISNUMBER($G703),$G703,$F703)&gt;=DATE(PlanYear,6,1)),1,0))</f>
        <v>0</v>
      </c>
      <c r="U703">
        <f>IF($N703=0,0,IF(AND($F703&lt;=EOMONTH(DATE(PlanYear,7,1),0),IF(ISNUMBER($G703),$G703,$F703)&gt;=DATE(PlanYear,7,1)),1,0))</f>
        <v>0</v>
      </c>
      <c r="V703">
        <f>IF($N703=0,0,IF(AND($F703&lt;=EOMONTH(DATE(PlanYear,8,1),0),IF(ISNUMBER($G703),$G703,$F703)&gt;=DATE(PlanYear,8,1)),1,0))</f>
        <v>0</v>
      </c>
      <c r="W703">
        <f>IF($N703=0,0,IF(AND($F703&lt;=EOMONTH(DATE(PlanYear,9,1),0),IF(ISNUMBER($G703),$G703,$F703)&gt;=DATE(PlanYear,9,1)),1,0))</f>
        <v>0</v>
      </c>
      <c r="X703">
        <f>IF($N703=0,0,IF(AND($F703&lt;=EOMONTH(DATE(PlanYear,10,1),0),IF(ISNUMBER($G703),$G703,$F703)&gt;=DATE(PlanYear,10,1)),1,0))</f>
        <v>0</v>
      </c>
      <c r="Y703">
        <f>IF($N703=0,0,IF(AND($F703&lt;=EOMONTH(DATE(PlanYear,11,1),0),IF(ISNUMBER($G703),$G703,$F703)&gt;=DATE(PlanYear,11,1)),1,0))</f>
        <v>0</v>
      </c>
      <c r="Z703">
        <f>IF($N703=0,0,IF(AND($F703&lt;=EOMONTH(DATE(PlanYear,12,1),0),IF(ISNUMBER($G703),$G703,$F703)&gt;=DATE(PlanYear,12,1)),1,0))</f>
        <v>0</v>
      </c>
      <c r="AA703">
        <f>SUM($O703:$Z703)</f>
        <v>0</v>
      </c>
    </row>
    <row r="704" spans="1:27">
      <c r="A704" s="42">
        <f>IF($B704="","","ACT-"&amp;TEXT(ROW()-4,"000"))</f>
        <v>0</v>
      </c>
      <c r="M704" s="43">
        <f>IF(COUNTA($B704:$K704)=0,"",IF($B704="","Missing activity name",IF($C704="","Missing practice",IF(COUNTIF(PracticeNames,$C704)=0,"Practice not in Lists",IF($D704="","Missing motion",IF(NOT(ISNUMBER($F704)),"Missing or invalid start date",IF(AND(ISNUMBER($G704),$G704&lt;$F704),"End date before start",IF(AND($N704=1,$AA704=0),"Outside planning year","OK"))))))))</f>
        <v>0</v>
      </c>
      <c r="N704">
        <f>IF(AND($B704&lt;&gt;"",$C704&lt;&gt;"",$D704&lt;&gt;"",ISNUMBER($F704),COUNTIF(PracticeNames,$C704)&gt;0,COUNTIF(MotionNames,$D704)&gt;0,NOT(AND(ISNUMBER($G704),$G704&lt;$F704))),IF(StatusFilter="All (excl. Cancelled)",IF($H704="Cancelled",0,1),IF(StatusFilter="All",1,IF($H704=StatusFilter,1,0))),0)</f>
        <v>0</v>
      </c>
      <c r="O704">
        <f>IF($N704=0,0,IF(AND($F704&lt;=EOMONTH(DATE(PlanYear,1,1),0),IF(ISNUMBER($G704),$G704,$F704)&gt;=DATE(PlanYear,1,1)),1,0))</f>
        <v>0</v>
      </c>
      <c r="P704">
        <f>IF($N704=0,0,IF(AND($F704&lt;=EOMONTH(DATE(PlanYear,2,1),0),IF(ISNUMBER($G704),$G704,$F704)&gt;=DATE(PlanYear,2,1)),1,0))</f>
        <v>0</v>
      </c>
      <c r="Q704">
        <f>IF($N704=0,0,IF(AND($F704&lt;=EOMONTH(DATE(PlanYear,3,1),0),IF(ISNUMBER($G704),$G704,$F704)&gt;=DATE(PlanYear,3,1)),1,0))</f>
        <v>0</v>
      </c>
      <c r="R704">
        <f>IF($N704=0,0,IF(AND($F704&lt;=EOMONTH(DATE(PlanYear,4,1),0),IF(ISNUMBER($G704),$G704,$F704)&gt;=DATE(PlanYear,4,1)),1,0))</f>
        <v>0</v>
      </c>
      <c r="S704">
        <f>IF($N704=0,0,IF(AND($F704&lt;=EOMONTH(DATE(PlanYear,5,1),0),IF(ISNUMBER($G704),$G704,$F704)&gt;=DATE(PlanYear,5,1)),1,0))</f>
        <v>0</v>
      </c>
      <c r="T704">
        <f>IF($N704=0,0,IF(AND($F704&lt;=EOMONTH(DATE(PlanYear,6,1),0),IF(ISNUMBER($G704),$G704,$F704)&gt;=DATE(PlanYear,6,1)),1,0))</f>
        <v>0</v>
      </c>
      <c r="U704">
        <f>IF($N704=0,0,IF(AND($F704&lt;=EOMONTH(DATE(PlanYear,7,1),0),IF(ISNUMBER($G704),$G704,$F704)&gt;=DATE(PlanYear,7,1)),1,0))</f>
        <v>0</v>
      </c>
      <c r="V704">
        <f>IF($N704=0,0,IF(AND($F704&lt;=EOMONTH(DATE(PlanYear,8,1),0),IF(ISNUMBER($G704),$G704,$F704)&gt;=DATE(PlanYear,8,1)),1,0))</f>
        <v>0</v>
      </c>
      <c r="W704">
        <f>IF($N704=0,0,IF(AND($F704&lt;=EOMONTH(DATE(PlanYear,9,1),0),IF(ISNUMBER($G704),$G704,$F704)&gt;=DATE(PlanYear,9,1)),1,0))</f>
        <v>0</v>
      </c>
      <c r="X704">
        <f>IF($N704=0,0,IF(AND($F704&lt;=EOMONTH(DATE(PlanYear,10,1),0),IF(ISNUMBER($G704),$G704,$F704)&gt;=DATE(PlanYear,10,1)),1,0))</f>
        <v>0</v>
      </c>
      <c r="Y704">
        <f>IF($N704=0,0,IF(AND($F704&lt;=EOMONTH(DATE(PlanYear,11,1),0),IF(ISNUMBER($G704),$G704,$F704)&gt;=DATE(PlanYear,11,1)),1,0))</f>
        <v>0</v>
      </c>
      <c r="Z704">
        <f>IF($N704=0,0,IF(AND($F704&lt;=EOMONTH(DATE(PlanYear,12,1),0),IF(ISNUMBER($G704),$G704,$F704)&gt;=DATE(PlanYear,12,1)),1,0))</f>
        <v>0</v>
      </c>
      <c r="AA704">
        <f>SUM($O704:$Z704)</f>
        <v>0</v>
      </c>
    </row>
    <row r="705" spans="1:27">
      <c r="A705" s="42">
        <f>IF($B705="","","ACT-"&amp;TEXT(ROW()-4,"000"))</f>
        <v>0</v>
      </c>
      <c r="M705" s="43">
        <f>IF(COUNTA($B705:$K705)=0,"",IF($B705="","Missing activity name",IF($C705="","Missing practice",IF(COUNTIF(PracticeNames,$C705)=0,"Practice not in Lists",IF($D705="","Missing motion",IF(NOT(ISNUMBER($F705)),"Missing or invalid start date",IF(AND(ISNUMBER($G705),$G705&lt;$F705),"End date before start",IF(AND($N705=1,$AA705=0),"Outside planning year","OK"))))))))</f>
        <v>0</v>
      </c>
      <c r="N705">
        <f>IF(AND($B705&lt;&gt;"",$C705&lt;&gt;"",$D705&lt;&gt;"",ISNUMBER($F705),COUNTIF(PracticeNames,$C705)&gt;0,COUNTIF(MotionNames,$D705)&gt;0,NOT(AND(ISNUMBER($G705),$G705&lt;$F705))),IF(StatusFilter="All (excl. Cancelled)",IF($H705="Cancelled",0,1),IF(StatusFilter="All",1,IF($H705=StatusFilter,1,0))),0)</f>
        <v>0</v>
      </c>
      <c r="O705">
        <f>IF($N705=0,0,IF(AND($F705&lt;=EOMONTH(DATE(PlanYear,1,1),0),IF(ISNUMBER($G705),$G705,$F705)&gt;=DATE(PlanYear,1,1)),1,0))</f>
        <v>0</v>
      </c>
      <c r="P705">
        <f>IF($N705=0,0,IF(AND($F705&lt;=EOMONTH(DATE(PlanYear,2,1),0),IF(ISNUMBER($G705),$G705,$F705)&gt;=DATE(PlanYear,2,1)),1,0))</f>
        <v>0</v>
      </c>
      <c r="Q705">
        <f>IF($N705=0,0,IF(AND($F705&lt;=EOMONTH(DATE(PlanYear,3,1),0),IF(ISNUMBER($G705),$G705,$F705)&gt;=DATE(PlanYear,3,1)),1,0))</f>
        <v>0</v>
      </c>
      <c r="R705">
        <f>IF($N705=0,0,IF(AND($F705&lt;=EOMONTH(DATE(PlanYear,4,1),0),IF(ISNUMBER($G705),$G705,$F705)&gt;=DATE(PlanYear,4,1)),1,0))</f>
        <v>0</v>
      </c>
      <c r="S705">
        <f>IF($N705=0,0,IF(AND($F705&lt;=EOMONTH(DATE(PlanYear,5,1),0),IF(ISNUMBER($G705),$G705,$F705)&gt;=DATE(PlanYear,5,1)),1,0))</f>
        <v>0</v>
      </c>
      <c r="T705">
        <f>IF($N705=0,0,IF(AND($F705&lt;=EOMONTH(DATE(PlanYear,6,1),0),IF(ISNUMBER($G705),$G705,$F705)&gt;=DATE(PlanYear,6,1)),1,0))</f>
        <v>0</v>
      </c>
      <c r="U705">
        <f>IF($N705=0,0,IF(AND($F705&lt;=EOMONTH(DATE(PlanYear,7,1),0),IF(ISNUMBER($G705),$G705,$F705)&gt;=DATE(PlanYear,7,1)),1,0))</f>
        <v>0</v>
      </c>
      <c r="V705">
        <f>IF($N705=0,0,IF(AND($F705&lt;=EOMONTH(DATE(PlanYear,8,1),0),IF(ISNUMBER($G705),$G705,$F705)&gt;=DATE(PlanYear,8,1)),1,0))</f>
        <v>0</v>
      </c>
      <c r="W705">
        <f>IF($N705=0,0,IF(AND($F705&lt;=EOMONTH(DATE(PlanYear,9,1),0),IF(ISNUMBER($G705),$G705,$F705)&gt;=DATE(PlanYear,9,1)),1,0))</f>
        <v>0</v>
      </c>
      <c r="X705">
        <f>IF($N705=0,0,IF(AND($F705&lt;=EOMONTH(DATE(PlanYear,10,1),0),IF(ISNUMBER($G705),$G705,$F705)&gt;=DATE(PlanYear,10,1)),1,0))</f>
        <v>0</v>
      </c>
      <c r="Y705">
        <f>IF($N705=0,0,IF(AND($F705&lt;=EOMONTH(DATE(PlanYear,11,1),0),IF(ISNUMBER($G705),$G705,$F705)&gt;=DATE(PlanYear,11,1)),1,0))</f>
        <v>0</v>
      </c>
      <c r="Z705">
        <f>IF($N705=0,0,IF(AND($F705&lt;=EOMONTH(DATE(PlanYear,12,1),0),IF(ISNUMBER($G705),$G705,$F705)&gt;=DATE(PlanYear,12,1)),1,0))</f>
        <v>0</v>
      </c>
      <c r="AA705">
        <f>SUM($O705:$Z705)</f>
        <v>0</v>
      </c>
    </row>
    <row r="706" spans="1:27">
      <c r="A706" s="42">
        <f>IF($B706="","","ACT-"&amp;TEXT(ROW()-4,"000"))</f>
        <v>0</v>
      </c>
      <c r="M706" s="43">
        <f>IF(COUNTA($B706:$K706)=0,"",IF($B706="","Missing activity name",IF($C706="","Missing practice",IF(COUNTIF(PracticeNames,$C706)=0,"Practice not in Lists",IF($D706="","Missing motion",IF(NOT(ISNUMBER($F706)),"Missing or invalid start date",IF(AND(ISNUMBER($G706),$G706&lt;$F706),"End date before start",IF(AND($N706=1,$AA706=0),"Outside planning year","OK"))))))))</f>
        <v>0</v>
      </c>
      <c r="N706">
        <f>IF(AND($B706&lt;&gt;"",$C706&lt;&gt;"",$D706&lt;&gt;"",ISNUMBER($F706),COUNTIF(PracticeNames,$C706)&gt;0,COUNTIF(MotionNames,$D706)&gt;0,NOT(AND(ISNUMBER($G706),$G706&lt;$F706))),IF(StatusFilter="All (excl. Cancelled)",IF($H706="Cancelled",0,1),IF(StatusFilter="All",1,IF($H706=StatusFilter,1,0))),0)</f>
        <v>0</v>
      </c>
      <c r="O706">
        <f>IF($N706=0,0,IF(AND($F706&lt;=EOMONTH(DATE(PlanYear,1,1),0),IF(ISNUMBER($G706),$G706,$F706)&gt;=DATE(PlanYear,1,1)),1,0))</f>
        <v>0</v>
      </c>
      <c r="P706">
        <f>IF($N706=0,0,IF(AND($F706&lt;=EOMONTH(DATE(PlanYear,2,1),0),IF(ISNUMBER($G706),$G706,$F706)&gt;=DATE(PlanYear,2,1)),1,0))</f>
        <v>0</v>
      </c>
      <c r="Q706">
        <f>IF($N706=0,0,IF(AND($F706&lt;=EOMONTH(DATE(PlanYear,3,1),0),IF(ISNUMBER($G706),$G706,$F706)&gt;=DATE(PlanYear,3,1)),1,0))</f>
        <v>0</v>
      </c>
      <c r="R706">
        <f>IF($N706=0,0,IF(AND($F706&lt;=EOMONTH(DATE(PlanYear,4,1),0),IF(ISNUMBER($G706),$G706,$F706)&gt;=DATE(PlanYear,4,1)),1,0))</f>
        <v>0</v>
      </c>
      <c r="S706">
        <f>IF($N706=0,0,IF(AND($F706&lt;=EOMONTH(DATE(PlanYear,5,1),0),IF(ISNUMBER($G706),$G706,$F706)&gt;=DATE(PlanYear,5,1)),1,0))</f>
        <v>0</v>
      </c>
      <c r="T706">
        <f>IF($N706=0,0,IF(AND($F706&lt;=EOMONTH(DATE(PlanYear,6,1),0),IF(ISNUMBER($G706),$G706,$F706)&gt;=DATE(PlanYear,6,1)),1,0))</f>
        <v>0</v>
      </c>
      <c r="U706">
        <f>IF($N706=0,0,IF(AND($F706&lt;=EOMONTH(DATE(PlanYear,7,1),0),IF(ISNUMBER($G706),$G706,$F706)&gt;=DATE(PlanYear,7,1)),1,0))</f>
        <v>0</v>
      </c>
      <c r="V706">
        <f>IF($N706=0,0,IF(AND($F706&lt;=EOMONTH(DATE(PlanYear,8,1),0),IF(ISNUMBER($G706),$G706,$F706)&gt;=DATE(PlanYear,8,1)),1,0))</f>
        <v>0</v>
      </c>
      <c r="W706">
        <f>IF($N706=0,0,IF(AND($F706&lt;=EOMONTH(DATE(PlanYear,9,1),0),IF(ISNUMBER($G706),$G706,$F706)&gt;=DATE(PlanYear,9,1)),1,0))</f>
        <v>0</v>
      </c>
      <c r="X706">
        <f>IF($N706=0,0,IF(AND($F706&lt;=EOMONTH(DATE(PlanYear,10,1),0),IF(ISNUMBER($G706),$G706,$F706)&gt;=DATE(PlanYear,10,1)),1,0))</f>
        <v>0</v>
      </c>
      <c r="Y706">
        <f>IF($N706=0,0,IF(AND($F706&lt;=EOMONTH(DATE(PlanYear,11,1),0),IF(ISNUMBER($G706),$G706,$F706)&gt;=DATE(PlanYear,11,1)),1,0))</f>
        <v>0</v>
      </c>
      <c r="Z706">
        <f>IF($N706=0,0,IF(AND($F706&lt;=EOMONTH(DATE(PlanYear,12,1),0),IF(ISNUMBER($G706),$G706,$F706)&gt;=DATE(PlanYear,12,1)),1,0))</f>
        <v>0</v>
      </c>
      <c r="AA706">
        <f>SUM($O706:$Z706)</f>
        <v>0</v>
      </c>
    </row>
    <row r="707" spans="1:27">
      <c r="A707" s="42">
        <f>IF($B707="","","ACT-"&amp;TEXT(ROW()-4,"000"))</f>
        <v>0</v>
      </c>
      <c r="M707" s="43">
        <f>IF(COUNTA($B707:$K707)=0,"",IF($B707="","Missing activity name",IF($C707="","Missing practice",IF(COUNTIF(PracticeNames,$C707)=0,"Practice not in Lists",IF($D707="","Missing motion",IF(NOT(ISNUMBER($F707)),"Missing or invalid start date",IF(AND(ISNUMBER($G707),$G707&lt;$F707),"End date before start",IF(AND($N707=1,$AA707=0),"Outside planning year","OK"))))))))</f>
        <v>0</v>
      </c>
      <c r="N707">
        <f>IF(AND($B707&lt;&gt;"",$C707&lt;&gt;"",$D707&lt;&gt;"",ISNUMBER($F707),COUNTIF(PracticeNames,$C707)&gt;0,COUNTIF(MotionNames,$D707)&gt;0,NOT(AND(ISNUMBER($G707),$G707&lt;$F707))),IF(StatusFilter="All (excl. Cancelled)",IF($H707="Cancelled",0,1),IF(StatusFilter="All",1,IF($H707=StatusFilter,1,0))),0)</f>
        <v>0</v>
      </c>
      <c r="O707">
        <f>IF($N707=0,0,IF(AND($F707&lt;=EOMONTH(DATE(PlanYear,1,1),0),IF(ISNUMBER($G707),$G707,$F707)&gt;=DATE(PlanYear,1,1)),1,0))</f>
        <v>0</v>
      </c>
      <c r="P707">
        <f>IF($N707=0,0,IF(AND($F707&lt;=EOMONTH(DATE(PlanYear,2,1),0),IF(ISNUMBER($G707),$G707,$F707)&gt;=DATE(PlanYear,2,1)),1,0))</f>
        <v>0</v>
      </c>
      <c r="Q707">
        <f>IF($N707=0,0,IF(AND($F707&lt;=EOMONTH(DATE(PlanYear,3,1),0),IF(ISNUMBER($G707),$G707,$F707)&gt;=DATE(PlanYear,3,1)),1,0))</f>
        <v>0</v>
      </c>
      <c r="R707">
        <f>IF($N707=0,0,IF(AND($F707&lt;=EOMONTH(DATE(PlanYear,4,1),0),IF(ISNUMBER($G707),$G707,$F707)&gt;=DATE(PlanYear,4,1)),1,0))</f>
        <v>0</v>
      </c>
      <c r="S707">
        <f>IF($N707=0,0,IF(AND($F707&lt;=EOMONTH(DATE(PlanYear,5,1),0),IF(ISNUMBER($G707),$G707,$F707)&gt;=DATE(PlanYear,5,1)),1,0))</f>
        <v>0</v>
      </c>
      <c r="T707">
        <f>IF($N707=0,0,IF(AND($F707&lt;=EOMONTH(DATE(PlanYear,6,1),0),IF(ISNUMBER($G707),$G707,$F707)&gt;=DATE(PlanYear,6,1)),1,0))</f>
        <v>0</v>
      </c>
      <c r="U707">
        <f>IF($N707=0,0,IF(AND($F707&lt;=EOMONTH(DATE(PlanYear,7,1),0),IF(ISNUMBER($G707),$G707,$F707)&gt;=DATE(PlanYear,7,1)),1,0))</f>
        <v>0</v>
      </c>
      <c r="V707">
        <f>IF($N707=0,0,IF(AND($F707&lt;=EOMONTH(DATE(PlanYear,8,1),0),IF(ISNUMBER($G707),$G707,$F707)&gt;=DATE(PlanYear,8,1)),1,0))</f>
        <v>0</v>
      </c>
      <c r="W707">
        <f>IF($N707=0,0,IF(AND($F707&lt;=EOMONTH(DATE(PlanYear,9,1),0),IF(ISNUMBER($G707),$G707,$F707)&gt;=DATE(PlanYear,9,1)),1,0))</f>
        <v>0</v>
      </c>
      <c r="X707">
        <f>IF($N707=0,0,IF(AND($F707&lt;=EOMONTH(DATE(PlanYear,10,1),0),IF(ISNUMBER($G707),$G707,$F707)&gt;=DATE(PlanYear,10,1)),1,0))</f>
        <v>0</v>
      </c>
      <c r="Y707">
        <f>IF($N707=0,0,IF(AND($F707&lt;=EOMONTH(DATE(PlanYear,11,1),0),IF(ISNUMBER($G707),$G707,$F707)&gt;=DATE(PlanYear,11,1)),1,0))</f>
        <v>0</v>
      </c>
      <c r="Z707">
        <f>IF($N707=0,0,IF(AND($F707&lt;=EOMONTH(DATE(PlanYear,12,1),0),IF(ISNUMBER($G707),$G707,$F707)&gt;=DATE(PlanYear,12,1)),1,0))</f>
        <v>0</v>
      </c>
      <c r="AA707">
        <f>SUM($O707:$Z707)</f>
        <v>0</v>
      </c>
    </row>
    <row r="708" spans="1:27">
      <c r="A708" s="42">
        <f>IF($B708="","","ACT-"&amp;TEXT(ROW()-4,"000"))</f>
        <v>0</v>
      </c>
      <c r="M708" s="43">
        <f>IF(COUNTA($B708:$K708)=0,"",IF($B708="","Missing activity name",IF($C708="","Missing practice",IF(COUNTIF(PracticeNames,$C708)=0,"Practice not in Lists",IF($D708="","Missing motion",IF(NOT(ISNUMBER($F708)),"Missing or invalid start date",IF(AND(ISNUMBER($G708),$G708&lt;$F708),"End date before start",IF(AND($N708=1,$AA708=0),"Outside planning year","OK"))))))))</f>
        <v>0</v>
      </c>
      <c r="N708">
        <f>IF(AND($B708&lt;&gt;"",$C708&lt;&gt;"",$D708&lt;&gt;"",ISNUMBER($F708),COUNTIF(PracticeNames,$C708)&gt;0,COUNTIF(MotionNames,$D708)&gt;0,NOT(AND(ISNUMBER($G708),$G708&lt;$F708))),IF(StatusFilter="All (excl. Cancelled)",IF($H708="Cancelled",0,1),IF(StatusFilter="All",1,IF($H708=StatusFilter,1,0))),0)</f>
        <v>0</v>
      </c>
      <c r="O708">
        <f>IF($N708=0,0,IF(AND($F708&lt;=EOMONTH(DATE(PlanYear,1,1),0),IF(ISNUMBER($G708),$G708,$F708)&gt;=DATE(PlanYear,1,1)),1,0))</f>
        <v>0</v>
      </c>
      <c r="P708">
        <f>IF($N708=0,0,IF(AND($F708&lt;=EOMONTH(DATE(PlanYear,2,1),0),IF(ISNUMBER($G708),$G708,$F708)&gt;=DATE(PlanYear,2,1)),1,0))</f>
        <v>0</v>
      </c>
      <c r="Q708">
        <f>IF($N708=0,0,IF(AND($F708&lt;=EOMONTH(DATE(PlanYear,3,1),0),IF(ISNUMBER($G708),$G708,$F708)&gt;=DATE(PlanYear,3,1)),1,0))</f>
        <v>0</v>
      </c>
      <c r="R708">
        <f>IF($N708=0,0,IF(AND($F708&lt;=EOMONTH(DATE(PlanYear,4,1),0),IF(ISNUMBER($G708),$G708,$F708)&gt;=DATE(PlanYear,4,1)),1,0))</f>
        <v>0</v>
      </c>
      <c r="S708">
        <f>IF($N708=0,0,IF(AND($F708&lt;=EOMONTH(DATE(PlanYear,5,1),0),IF(ISNUMBER($G708),$G708,$F708)&gt;=DATE(PlanYear,5,1)),1,0))</f>
        <v>0</v>
      </c>
      <c r="T708">
        <f>IF($N708=0,0,IF(AND($F708&lt;=EOMONTH(DATE(PlanYear,6,1),0),IF(ISNUMBER($G708),$G708,$F708)&gt;=DATE(PlanYear,6,1)),1,0))</f>
        <v>0</v>
      </c>
      <c r="U708">
        <f>IF($N708=0,0,IF(AND($F708&lt;=EOMONTH(DATE(PlanYear,7,1),0),IF(ISNUMBER($G708),$G708,$F708)&gt;=DATE(PlanYear,7,1)),1,0))</f>
        <v>0</v>
      </c>
      <c r="V708">
        <f>IF($N708=0,0,IF(AND($F708&lt;=EOMONTH(DATE(PlanYear,8,1),0),IF(ISNUMBER($G708),$G708,$F708)&gt;=DATE(PlanYear,8,1)),1,0))</f>
        <v>0</v>
      </c>
      <c r="W708">
        <f>IF($N708=0,0,IF(AND($F708&lt;=EOMONTH(DATE(PlanYear,9,1),0),IF(ISNUMBER($G708),$G708,$F708)&gt;=DATE(PlanYear,9,1)),1,0))</f>
        <v>0</v>
      </c>
      <c r="X708">
        <f>IF($N708=0,0,IF(AND($F708&lt;=EOMONTH(DATE(PlanYear,10,1),0),IF(ISNUMBER($G708),$G708,$F708)&gt;=DATE(PlanYear,10,1)),1,0))</f>
        <v>0</v>
      </c>
      <c r="Y708">
        <f>IF($N708=0,0,IF(AND($F708&lt;=EOMONTH(DATE(PlanYear,11,1),0),IF(ISNUMBER($G708),$G708,$F708)&gt;=DATE(PlanYear,11,1)),1,0))</f>
        <v>0</v>
      </c>
      <c r="Z708">
        <f>IF($N708=0,0,IF(AND($F708&lt;=EOMONTH(DATE(PlanYear,12,1),0),IF(ISNUMBER($G708),$G708,$F708)&gt;=DATE(PlanYear,12,1)),1,0))</f>
        <v>0</v>
      </c>
      <c r="AA708">
        <f>SUM($O708:$Z708)</f>
        <v>0</v>
      </c>
    </row>
    <row r="709" spans="1:27">
      <c r="A709" s="42">
        <f>IF($B709="","","ACT-"&amp;TEXT(ROW()-4,"000"))</f>
        <v>0</v>
      </c>
      <c r="M709" s="43">
        <f>IF(COUNTA($B709:$K709)=0,"",IF($B709="","Missing activity name",IF($C709="","Missing practice",IF(COUNTIF(PracticeNames,$C709)=0,"Practice not in Lists",IF($D709="","Missing motion",IF(NOT(ISNUMBER($F709)),"Missing or invalid start date",IF(AND(ISNUMBER($G709),$G709&lt;$F709),"End date before start",IF(AND($N709=1,$AA709=0),"Outside planning year","OK"))))))))</f>
        <v>0</v>
      </c>
      <c r="N709">
        <f>IF(AND($B709&lt;&gt;"",$C709&lt;&gt;"",$D709&lt;&gt;"",ISNUMBER($F709),COUNTIF(PracticeNames,$C709)&gt;0,COUNTIF(MotionNames,$D709)&gt;0,NOT(AND(ISNUMBER($G709),$G709&lt;$F709))),IF(StatusFilter="All (excl. Cancelled)",IF($H709="Cancelled",0,1),IF(StatusFilter="All",1,IF($H709=StatusFilter,1,0))),0)</f>
        <v>0</v>
      </c>
      <c r="O709">
        <f>IF($N709=0,0,IF(AND($F709&lt;=EOMONTH(DATE(PlanYear,1,1),0),IF(ISNUMBER($G709),$G709,$F709)&gt;=DATE(PlanYear,1,1)),1,0))</f>
        <v>0</v>
      </c>
      <c r="P709">
        <f>IF($N709=0,0,IF(AND($F709&lt;=EOMONTH(DATE(PlanYear,2,1),0),IF(ISNUMBER($G709),$G709,$F709)&gt;=DATE(PlanYear,2,1)),1,0))</f>
        <v>0</v>
      </c>
      <c r="Q709">
        <f>IF($N709=0,0,IF(AND($F709&lt;=EOMONTH(DATE(PlanYear,3,1),0),IF(ISNUMBER($G709),$G709,$F709)&gt;=DATE(PlanYear,3,1)),1,0))</f>
        <v>0</v>
      </c>
      <c r="R709">
        <f>IF($N709=0,0,IF(AND($F709&lt;=EOMONTH(DATE(PlanYear,4,1),0),IF(ISNUMBER($G709),$G709,$F709)&gt;=DATE(PlanYear,4,1)),1,0))</f>
        <v>0</v>
      </c>
      <c r="S709">
        <f>IF($N709=0,0,IF(AND($F709&lt;=EOMONTH(DATE(PlanYear,5,1),0),IF(ISNUMBER($G709),$G709,$F709)&gt;=DATE(PlanYear,5,1)),1,0))</f>
        <v>0</v>
      </c>
      <c r="T709">
        <f>IF($N709=0,0,IF(AND($F709&lt;=EOMONTH(DATE(PlanYear,6,1),0),IF(ISNUMBER($G709),$G709,$F709)&gt;=DATE(PlanYear,6,1)),1,0))</f>
        <v>0</v>
      </c>
      <c r="U709">
        <f>IF($N709=0,0,IF(AND($F709&lt;=EOMONTH(DATE(PlanYear,7,1),0),IF(ISNUMBER($G709),$G709,$F709)&gt;=DATE(PlanYear,7,1)),1,0))</f>
        <v>0</v>
      </c>
      <c r="V709">
        <f>IF($N709=0,0,IF(AND($F709&lt;=EOMONTH(DATE(PlanYear,8,1),0),IF(ISNUMBER($G709),$G709,$F709)&gt;=DATE(PlanYear,8,1)),1,0))</f>
        <v>0</v>
      </c>
      <c r="W709">
        <f>IF($N709=0,0,IF(AND($F709&lt;=EOMONTH(DATE(PlanYear,9,1),0),IF(ISNUMBER($G709),$G709,$F709)&gt;=DATE(PlanYear,9,1)),1,0))</f>
        <v>0</v>
      </c>
      <c r="X709">
        <f>IF($N709=0,0,IF(AND($F709&lt;=EOMONTH(DATE(PlanYear,10,1),0),IF(ISNUMBER($G709),$G709,$F709)&gt;=DATE(PlanYear,10,1)),1,0))</f>
        <v>0</v>
      </c>
      <c r="Y709">
        <f>IF($N709=0,0,IF(AND($F709&lt;=EOMONTH(DATE(PlanYear,11,1),0),IF(ISNUMBER($G709),$G709,$F709)&gt;=DATE(PlanYear,11,1)),1,0))</f>
        <v>0</v>
      </c>
      <c r="Z709">
        <f>IF($N709=0,0,IF(AND($F709&lt;=EOMONTH(DATE(PlanYear,12,1),0),IF(ISNUMBER($G709),$G709,$F709)&gt;=DATE(PlanYear,12,1)),1,0))</f>
        <v>0</v>
      </c>
      <c r="AA709">
        <f>SUM($O709:$Z709)</f>
        <v>0</v>
      </c>
    </row>
    <row r="710" spans="1:27">
      <c r="A710" s="42">
        <f>IF($B710="","","ACT-"&amp;TEXT(ROW()-4,"000"))</f>
        <v>0</v>
      </c>
      <c r="M710" s="43">
        <f>IF(COUNTA($B710:$K710)=0,"",IF($B710="","Missing activity name",IF($C710="","Missing practice",IF(COUNTIF(PracticeNames,$C710)=0,"Practice not in Lists",IF($D710="","Missing motion",IF(NOT(ISNUMBER($F710)),"Missing or invalid start date",IF(AND(ISNUMBER($G710),$G710&lt;$F710),"End date before start",IF(AND($N710=1,$AA710=0),"Outside planning year","OK"))))))))</f>
        <v>0</v>
      </c>
      <c r="N710">
        <f>IF(AND($B710&lt;&gt;"",$C710&lt;&gt;"",$D710&lt;&gt;"",ISNUMBER($F710),COUNTIF(PracticeNames,$C710)&gt;0,COUNTIF(MotionNames,$D710)&gt;0,NOT(AND(ISNUMBER($G710),$G710&lt;$F710))),IF(StatusFilter="All (excl. Cancelled)",IF($H710="Cancelled",0,1),IF(StatusFilter="All",1,IF($H710=StatusFilter,1,0))),0)</f>
        <v>0</v>
      </c>
      <c r="O710">
        <f>IF($N710=0,0,IF(AND($F710&lt;=EOMONTH(DATE(PlanYear,1,1),0),IF(ISNUMBER($G710),$G710,$F710)&gt;=DATE(PlanYear,1,1)),1,0))</f>
        <v>0</v>
      </c>
      <c r="P710">
        <f>IF($N710=0,0,IF(AND($F710&lt;=EOMONTH(DATE(PlanYear,2,1),0),IF(ISNUMBER($G710),$G710,$F710)&gt;=DATE(PlanYear,2,1)),1,0))</f>
        <v>0</v>
      </c>
      <c r="Q710">
        <f>IF($N710=0,0,IF(AND($F710&lt;=EOMONTH(DATE(PlanYear,3,1),0),IF(ISNUMBER($G710),$G710,$F710)&gt;=DATE(PlanYear,3,1)),1,0))</f>
        <v>0</v>
      </c>
      <c r="R710">
        <f>IF($N710=0,0,IF(AND($F710&lt;=EOMONTH(DATE(PlanYear,4,1),0),IF(ISNUMBER($G710),$G710,$F710)&gt;=DATE(PlanYear,4,1)),1,0))</f>
        <v>0</v>
      </c>
      <c r="S710">
        <f>IF($N710=0,0,IF(AND($F710&lt;=EOMONTH(DATE(PlanYear,5,1),0),IF(ISNUMBER($G710),$G710,$F710)&gt;=DATE(PlanYear,5,1)),1,0))</f>
        <v>0</v>
      </c>
      <c r="T710">
        <f>IF($N710=0,0,IF(AND($F710&lt;=EOMONTH(DATE(PlanYear,6,1),0),IF(ISNUMBER($G710),$G710,$F710)&gt;=DATE(PlanYear,6,1)),1,0))</f>
        <v>0</v>
      </c>
      <c r="U710">
        <f>IF($N710=0,0,IF(AND($F710&lt;=EOMONTH(DATE(PlanYear,7,1),0),IF(ISNUMBER($G710),$G710,$F710)&gt;=DATE(PlanYear,7,1)),1,0))</f>
        <v>0</v>
      </c>
      <c r="V710">
        <f>IF($N710=0,0,IF(AND($F710&lt;=EOMONTH(DATE(PlanYear,8,1),0),IF(ISNUMBER($G710),$G710,$F710)&gt;=DATE(PlanYear,8,1)),1,0))</f>
        <v>0</v>
      </c>
      <c r="W710">
        <f>IF($N710=0,0,IF(AND($F710&lt;=EOMONTH(DATE(PlanYear,9,1),0),IF(ISNUMBER($G710),$G710,$F710)&gt;=DATE(PlanYear,9,1)),1,0))</f>
        <v>0</v>
      </c>
      <c r="X710">
        <f>IF($N710=0,0,IF(AND($F710&lt;=EOMONTH(DATE(PlanYear,10,1),0),IF(ISNUMBER($G710),$G710,$F710)&gt;=DATE(PlanYear,10,1)),1,0))</f>
        <v>0</v>
      </c>
      <c r="Y710">
        <f>IF($N710=0,0,IF(AND($F710&lt;=EOMONTH(DATE(PlanYear,11,1),0),IF(ISNUMBER($G710),$G710,$F710)&gt;=DATE(PlanYear,11,1)),1,0))</f>
        <v>0</v>
      </c>
      <c r="Z710">
        <f>IF($N710=0,0,IF(AND($F710&lt;=EOMONTH(DATE(PlanYear,12,1),0),IF(ISNUMBER($G710),$G710,$F710)&gt;=DATE(PlanYear,12,1)),1,0))</f>
        <v>0</v>
      </c>
      <c r="AA710">
        <f>SUM($O710:$Z710)</f>
        <v>0</v>
      </c>
    </row>
    <row r="711" spans="1:27">
      <c r="A711" s="42">
        <f>IF($B711="","","ACT-"&amp;TEXT(ROW()-4,"000"))</f>
        <v>0</v>
      </c>
      <c r="M711" s="43">
        <f>IF(COUNTA($B711:$K711)=0,"",IF($B711="","Missing activity name",IF($C711="","Missing practice",IF(COUNTIF(PracticeNames,$C711)=0,"Practice not in Lists",IF($D711="","Missing motion",IF(NOT(ISNUMBER($F711)),"Missing or invalid start date",IF(AND(ISNUMBER($G711),$G711&lt;$F711),"End date before start",IF(AND($N711=1,$AA711=0),"Outside planning year","OK"))))))))</f>
        <v>0</v>
      </c>
      <c r="N711">
        <f>IF(AND($B711&lt;&gt;"",$C711&lt;&gt;"",$D711&lt;&gt;"",ISNUMBER($F711),COUNTIF(PracticeNames,$C711)&gt;0,COUNTIF(MotionNames,$D711)&gt;0,NOT(AND(ISNUMBER($G711),$G711&lt;$F711))),IF(StatusFilter="All (excl. Cancelled)",IF($H711="Cancelled",0,1),IF(StatusFilter="All",1,IF($H711=StatusFilter,1,0))),0)</f>
        <v>0</v>
      </c>
      <c r="O711">
        <f>IF($N711=0,0,IF(AND($F711&lt;=EOMONTH(DATE(PlanYear,1,1),0),IF(ISNUMBER($G711),$G711,$F711)&gt;=DATE(PlanYear,1,1)),1,0))</f>
        <v>0</v>
      </c>
      <c r="P711">
        <f>IF($N711=0,0,IF(AND($F711&lt;=EOMONTH(DATE(PlanYear,2,1),0),IF(ISNUMBER($G711),$G711,$F711)&gt;=DATE(PlanYear,2,1)),1,0))</f>
        <v>0</v>
      </c>
      <c r="Q711">
        <f>IF($N711=0,0,IF(AND($F711&lt;=EOMONTH(DATE(PlanYear,3,1),0),IF(ISNUMBER($G711),$G711,$F711)&gt;=DATE(PlanYear,3,1)),1,0))</f>
        <v>0</v>
      </c>
      <c r="R711">
        <f>IF($N711=0,0,IF(AND($F711&lt;=EOMONTH(DATE(PlanYear,4,1),0),IF(ISNUMBER($G711),$G711,$F711)&gt;=DATE(PlanYear,4,1)),1,0))</f>
        <v>0</v>
      </c>
      <c r="S711">
        <f>IF($N711=0,0,IF(AND($F711&lt;=EOMONTH(DATE(PlanYear,5,1),0),IF(ISNUMBER($G711),$G711,$F711)&gt;=DATE(PlanYear,5,1)),1,0))</f>
        <v>0</v>
      </c>
      <c r="T711">
        <f>IF($N711=0,0,IF(AND($F711&lt;=EOMONTH(DATE(PlanYear,6,1),0),IF(ISNUMBER($G711),$G711,$F711)&gt;=DATE(PlanYear,6,1)),1,0))</f>
        <v>0</v>
      </c>
      <c r="U711">
        <f>IF($N711=0,0,IF(AND($F711&lt;=EOMONTH(DATE(PlanYear,7,1),0),IF(ISNUMBER($G711),$G711,$F711)&gt;=DATE(PlanYear,7,1)),1,0))</f>
        <v>0</v>
      </c>
      <c r="V711">
        <f>IF($N711=0,0,IF(AND($F711&lt;=EOMONTH(DATE(PlanYear,8,1),0),IF(ISNUMBER($G711),$G711,$F711)&gt;=DATE(PlanYear,8,1)),1,0))</f>
        <v>0</v>
      </c>
      <c r="W711">
        <f>IF($N711=0,0,IF(AND($F711&lt;=EOMONTH(DATE(PlanYear,9,1),0),IF(ISNUMBER($G711),$G711,$F711)&gt;=DATE(PlanYear,9,1)),1,0))</f>
        <v>0</v>
      </c>
      <c r="X711">
        <f>IF($N711=0,0,IF(AND($F711&lt;=EOMONTH(DATE(PlanYear,10,1),0),IF(ISNUMBER($G711),$G711,$F711)&gt;=DATE(PlanYear,10,1)),1,0))</f>
        <v>0</v>
      </c>
      <c r="Y711">
        <f>IF($N711=0,0,IF(AND($F711&lt;=EOMONTH(DATE(PlanYear,11,1),0),IF(ISNUMBER($G711),$G711,$F711)&gt;=DATE(PlanYear,11,1)),1,0))</f>
        <v>0</v>
      </c>
      <c r="Z711">
        <f>IF($N711=0,0,IF(AND($F711&lt;=EOMONTH(DATE(PlanYear,12,1),0),IF(ISNUMBER($G711),$G711,$F711)&gt;=DATE(PlanYear,12,1)),1,0))</f>
        <v>0</v>
      </c>
      <c r="AA711">
        <f>SUM($O711:$Z711)</f>
        <v>0</v>
      </c>
    </row>
    <row r="712" spans="1:27">
      <c r="A712" s="42">
        <f>IF($B712="","","ACT-"&amp;TEXT(ROW()-4,"000"))</f>
        <v>0</v>
      </c>
      <c r="M712" s="43">
        <f>IF(COUNTA($B712:$K712)=0,"",IF($B712="","Missing activity name",IF($C712="","Missing practice",IF(COUNTIF(PracticeNames,$C712)=0,"Practice not in Lists",IF($D712="","Missing motion",IF(NOT(ISNUMBER($F712)),"Missing or invalid start date",IF(AND(ISNUMBER($G712),$G712&lt;$F712),"End date before start",IF(AND($N712=1,$AA712=0),"Outside planning year","OK"))))))))</f>
        <v>0</v>
      </c>
      <c r="N712">
        <f>IF(AND($B712&lt;&gt;"",$C712&lt;&gt;"",$D712&lt;&gt;"",ISNUMBER($F712),COUNTIF(PracticeNames,$C712)&gt;0,COUNTIF(MotionNames,$D712)&gt;0,NOT(AND(ISNUMBER($G712),$G712&lt;$F712))),IF(StatusFilter="All (excl. Cancelled)",IF($H712="Cancelled",0,1),IF(StatusFilter="All",1,IF($H712=StatusFilter,1,0))),0)</f>
        <v>0</v>
      </c>
      <c r="O712">
        <f>IF($N712=0,0,IF(AND($F712&lt;=EOMONTH(DATE(PlanYear,1,1),0),IF(ISNUMBER($G712),$G712,$F712)&gt;=DATE(PlanYear,1,1)),1,0))</f>
        <v>0</v>
      </c>
      <c r="P712">
        <f>IF($N712=0,0,IF(AND($F712&lt;=EOMONTH(DATE(PlanYear,2,1),0),IF(ISNUMBER($G712),$G712,$F712)&gt;=DATE(PlanYear,2,1)),1,0))</f>
        <v>0</v>
      </c>
      <c r="Q712">
        <f>IF($N712=0,0,IF(AND($F712&lt;=EOMONTH(DATE(PlanYear,3,1),0),IF(ISNUMBER($G712),$G712,$F712)&gt;=DATE(PlanYear,3,1)),1,0))</f>
        <v>0</v>
      </c>
      <c r="R712">
        <f>IF($N712=0,0,IF(AND($F712&lt;=EOMONTH(DATE(PlanYear,4,1),0),IF(ISNUMBER($G712),$G712,$F712)&gt;=DATE(PlanYear,4,1)),1,0))</f>
        <v>0</v>
      </c>
      <c r="S712">
        <f>IF($N712=0,0,IF(AND($F712&lt;=EOMONTH(DATE(PlanYear,5,1),0),IF(ISNUMBER($G712),$G712,$F712)&gt;=DATE(PlanYear,5,1)),1,0))</f>
        <v>0</v>
      </c>
      <c r="T712">
        <f>IF($N712=0,0,IF(AND($F712&lt;=EOMONTH(DATE(PlanYear,6,1),0),IF(ISNUMBER($G712),$G712,$F712)&gt;=DATE(PlanYear,6,1)),1,0))</f>
        <v>0</v>
      </c>
      <c r="U712">
        <f>IF($N712=0,0,IF(AND($F712&lt;=EOMONTH(DATE(PlanYear,7,1),0),IF(ISNUMBER($G712),$G712,$F712)&gt;=DATE(PlanYear,7,1)),1,0))</f>
        <v>0</v>
      </c>
      <c r="V712">
        <f>IF($N712=0,0,IF(AND($F712&lt;=EOMONTH(DATE(PlanYear,8,1),0),IF(ISNUMBER($G712),$G712,$F712)&gt;=DATE(PlanYear,8,1)),1,0))</f>
        <v>0</v>
      </c>
      <c r="W712">
        <f>IF($N712=0,0,IF(AND($F712&lt;=EOMONTH(DATE(PlanYear,9,1),0),IF(ISNUMBER($G712),$G712,$F712)&gt;=DATE(PlanYear,9,1)),1,0))</f>
        <v>0</v>
      </c>
      <c r="X712">
        <f>IF($N712=0,0,IF(AND($F712&lt;=EOMONTH(DATE(PlanYear,10,1),0),IF(ISNUMBER($G712),$G712,$F712)&gt;=DATE(PlanYear,10,1)),1,0))</f>
        <v>0</v>
      </c>
      <c r="Y712">
        <f>IF($N712=0,0,IF(AND($F712&lt;=EOMONTH(DATE(PlanYear,11,1),0),IF(ISNUMBER($G712),$G712,$F712)&gt;=DATE(PlanYear,11,1)),1,0))</f>
        <v>0</v>
      </c>
      <c r="Z712">
        <f>IF($N712=0,0,IF(AND($F712&lt;=EOMONTH(DATE(PlanYear,12,1),0),IF(ISNUMBER($G712),$G712,$F712)&gt;=DATE(PlanYear,12,1)),1,0))</f>
        <v>0</v>
      </c>
      <c r="AA712">
        <f>SUM($O712:$Z712)</f>
        <v>0</v>
      </c>
    </row>
    <row r="713" spans="1:27">
      <c r="A713" s="42">
        <f>IF($B713="","","ACT-"&amp;TEXT(ROW()-4,"000"))</f>
        <v>0</v>
      </c>
      <c r="M713" s="43">
        <f>IF(COUNTA($B713:$K713)=0,"",IF($B713="","Missing activity name",IF($C713="","Missing practice",IF(COUNTIF(PracticeNames,$C713)=0,"Practice not in Lists",IF($D713="","Missing motion",IF(NOT(ISNUMBER($F713)),"Missing or invalid start date",IF(AND(ISNUMBER($G713),$G713&lt;$F713),"End date before start",IF(AND($N713=1,$AA713=0),"Outside planning year","OK"))))))))</f>
        <v>0</v>
      </c>
      <c r="N713">
        <f>IF(AND($B713&lt;&gt;"",$C713&lt;&gt;"",$D713&lt;&gt;"",ISNUMBER($F713),COUNTIF(PracticeNames,$C713)&gt;0,COUNTIF(MotionNames,$D713)&gt;0,NOT(AND(ISNUMBER($G713),$G713&lt;$F713))),IF(StatusFilter="All (excl. Cancelled)",IF($H713="Cancelled",0,1),IF(StatusFilter="All",1,IF($H713=StatusFilter,1,0))),0)</f>
        <v>0</v>
      </c>
      <c r="O713">
        <f>IF($N713=0,0,IF(AND($F713&lt;=EOMONTH(DATE(PlanYear,1,1),0),IF(ISNUMBER($G713),$G713,$F713)&gt;=DATE(PlanYear,1,1)),1,0))</f>
        <v>0</v>
      </c>
      <c r="P713">
        <f>IF($N713=0,0,IF(AND($F713&lt;=EOMONTH(DATE(PlanYear,2,1),0),IF(ISNUMBER($G713),$G713,$F713)&gt;=DATE(PlanYear,2,1)),1,0))</f>
        <v>0</v>
      </c>
      <c r="Q713">
        <f>IF($N713=0,0,IF(AND($F713&lt;=EOMONTH(DATE(PlanYear,3,1),0),IF(ISNUMBER($G713),$G713,$F713)&gt;=DATE(PlanYear,3,1)),1,0))</f>
        <v>0</v>
      </c>
      <c r="R713">
        <f>IF($N713=0,0,IF(AND($F713&lt;=EOMONTH(DATE(PlanYear,4,1),0),IF(ISNUMBER($G713),$G713,$F713)&gt;=DATE(PlanYear,4,1)),1,0))</f>
        <v>0</v>
      </c>
      <c r="S713">
        <f>IF($N713=0,0,IF(AND($F713&lt;=EOMONTH(DATE(PlanYear,5,1),0),IF(ISNUMBER($G713),$G713,$F713)&gt;=DATE(PlanYear,5,1)),1,0))</f>
        <v>0</v>
      </c>
      <c r="T713">
        <f>IF($N713=0,0,IF(AND($F713&lt;=EOMONTH(DATE(PlanYear,6,1),0),IF(ISNUMBER($G713),$G713,$F713)&gt;=DATE(PlanYear,6,1)),1,0))</f>
        <v>0</v>
      </c>
      <c r="U713">
        <f>IF($N713=0,0,IF(AND($F713&lt;=EOMONTH(DATE(PlanYear,7,1),0),IF(ISNUMBER($G713),$G713,$F713)&gt;=DATE(PlanYear,7,1)),1,0))</f>
        <v>0</v>
      </c>
      <c r="V713">
        <f>IF($N713=0,0,IF(AND($F713&lt;=EOMONTH(DATE(PlanYear,8,1),0),IF(ISNUMBER($G713),$G713,$F713)&gt;=DATE(PlanYear,8,1)),1,0))</f>
        <v>0</v>
      </c>
      <c r="W713">
        <f>IF($N713=0,0,IF(AND($F713&lt;=EOMONTH(DATE(PlanYear,9,1),0),IF(ISNUMBER($G713),$G713,$F713)&gt;=DATE(PlanYear,9,1)),1,0))</f>
        <v>0</v>
      </c>
      <c r="X713">
        <f>IF($N713=0,0,IF(AND($F713&lt;=EOMONTH(DATE(PlanYear,10,1),0),IF(ISNUMBER($G713),$G713,$F713)&gt;=DATE(PlanYear,10,1)),1,0))</f>
        <v>0</v>
      </c>
      <c r="Y713">
        <f>IF($N713=0,0,IF(AND($F713&lt;=EOMONTH(DATE(PlanYear,11,1),0),IF(ISNUMBER($G713),$G713,$F713)&gt;=DATE(PlanYear,11,1)),1,0))</f>
        <v>0</v>
      </c>
      <c r="Z713">
        <f>IF($N713=0,0,IF(AND($F713&lt;=EOMONTH(DATE(PlanYear,12,1),0),IF(ISNUMBER($G713),$G713,$F713)&gt;=DATE(PlanYear,12,1)),1,0))</f>
        <v>0</v>
      </c>
      <c r="AA713">
        <f>SUM($O713:$Z713)</f>
        <v>0</v>
      </c>
    </row>
    <row r="714" spans="1:27">
      <c r="A714" s="42">
        <f>IF($B714="","","ACT-"&amp;TEXT(ROW()-4,"000"))</f>
        <v>0</v>
      </c>
      <c r="M714" s="43">
        <f>IF(COUNTA($B714:$K714)=0,"",IF($B714="","Missing activity name",IF($C714="","Missing practice",IF(COUNTIF(PracticeNames,$C714)=0,"Practice not in Lists",IF($D714="","Missing motion",IF(NOT(ISNUMBER($F714)),"Missing or invalid start date",IF(AND(ISNUMBER($G714),$G714&lt;$F714),"End date before start",IF(AND($N714=1,$AA714=0),"Outside planning year","OK"))))))))</f>
        <v>0</v>
      </c>
      <c r="N714">
        <f>IF(AND($B714&lt;&gt;"",$C714&lt;&gt;"",$D714&lt;&gt;"",ISNUMBER($F714),COUNTIF(PracticeNames,$C714)&gt;0,COUNTIF(MotionNames,$D714)&gt;0,NOT(AND(ISNUMBER($G714),$G714&lt;$F714))),IF(StatusFilter="All (excl. Cancelled)",IF($H714="Cancelled",0,1),IF(StatusFilter="All",1,IF($H714=StatusFilter,1,0))),0)</f>
        <v>0</v>
      </c>
      <c r="O714">
        <f>IF($N714=0,0,IF(AND($F714&lt;=EOMONTH(DATE(PlanYear,1,1),0),IF(ISNUMBER($G714),$G714,$F714)&gt;=DATE(PlanYear,1,1)),1,0))</f>
        <v>0</v>
      </c>
      <c r="P714">
        <f>IF($N714=0,0,IF(AND($F714&lt;=EOMONTH(DATE(PlanYear,2,1),0),IF(ISNUMBER($G714),$G714,$F714)&gt;=DATE(PlanYear,2,1)),1,0))</f>
        <v>0</v>
      </c>
      <c r="Q714">
        <f>IF($N714=0,0,IF(AND($F714&lt;=EOMONTH(DATE(PlanYear,3,1),0),IF(ISNUMBER($G714),$G714,$F714)&gt;=DATE(PlanYear,3,1)),1,0))</f>
        <v>0</v>
      </c>
      <c r="R714">
        <f>IF($N714=0,0,IF(AND($F714&lt;=EOMONTH(DATE(PlanYear,4,1),0),IF(ISNUMBER($G714),$G714,$F714)&gt;=DATE(PlanYear,4,1)),1,0))</f>
        <v>0</v>
      </c>
      <c r="S714">
        <f>IF($N714=0,0,IF(AND($F714&lt;=EOMONTH(DATE(PlanYear,5,1),0),IF(ISNUMBER($G714),$G714,$F714)&gt;=DATE(PlanYear,5,1)),1,0))</f>
        <v>0</v>
      </c>
      <c r="T714">
        <f>IF($N714=0,0,IF(AND($F714&lt;=EOMONTH(DATE(PlanYear,6,1),0),IF(ISNUMBER($G714),$G714,$F714)&gt;=DATE(PlanYear,6,1)),1,0))</f>
        <v>0</v>
      </c>
      <c r="U714">
        <f>IF($N714=0,0,IF(AND($F714&lt;=EOMONTH(DATE(PlanYear,7,1),0),IF(ISNUMBER($G714),$G714,$F714)&gt;=DATE(PlanYear,7,1)),1,0))</f>
        <v>0</v>
      </c>
      <c r="V714">
        <f>IF($N714=0,0,IF(AND($F714&lt;=EOMONTH(DATE(PlanYear,8,1),0),IF(ISNUMBER($G714),$G714,$F714)&gt;=DATE(PlanYear,8,1)),1,0))</f>
        <v>0</v>
      </c>
      <c r="W714">
        <f>IF($N714=0,0,IF(AND($F714&lt;=EOMONTH(DATE(PlanYear,9,1),0),IF(ISNUMBER($G714),$G714,$F714)&gt;=DATE(PlanYear,9,1)),1,0))</f>
        <v>0</v>
      </c>
      <c r="X714">
        <f>IF($N714=0,0,IF(AND($F714&lt;=EOMONTH(DATE(PlanYear,10,1),0),IF(ISNUMBER($G714),$G714,$F714)&gt;=DATE(PlanYear,10,1)),1,0))</f>
        <v>0</v>
      </c>
      <c r="Y714">
        <f>IF($N714=0,0,IF(AND($F714&lt;=EOMONTH(DATE(PlanYear,11,1),0),IF(ISNUMBER($G714),$G714,$F714)&gt;=DATE(PlanYear,11,1)),1,0))</f>
        <v>0</v>
      </c>
      <c r="Z714">
        <f>IF($N714=0,0,IF(AND($F714&lt;=EOMONTH(DATE(PlanYear,12,1),0),IF(ISNUMBER($G714),$G714,$F714)&gt;=DATE(PlanYear,12,1)),1,0))</f>
        <v>0</v>
      </c>
      <c r="AA714">
        <f>SUM($O714:$Z714)</f>
        <v>0</v>
      </c>
    </row>
    <row r="715" spans="1:27">
      <c r="A715" s="42">
        <f>IF($B715="","","ACT-"&amp;TEXT(ROW()-4,"000"))</f>
        <v>0</v>
      </c>
      <c r="M715" s="43">
        <f>IF(COUNTA($B715:$K715)=0,"",IF($B715="","Missing activity name",IF($C715="","Missing practice",IF(COUNTIF(PracticeNames,$C715)=0,"Practice not in Lists",IF($D715="","Missing motion",IF(NOT(ISNUMBER($F715)),"Missing or invalid start date",IF(AND(ISNUMBER($G715),$G715&lt;$F715),"End date before start",IF(AND($N715=1,$AA715=0),"Outside planning year","OK"))))))))</f>
        <v>0</v>
      </c>
      <c r="N715">
        <f>IF(AND($B715&lt;&gt;"",$C715&lt;&gt;"",$D715&lt;&gt;"",ISNUMBER($F715),COUNTIF(PracticeNames,$C715)&gt;0,COUNTIF(MotionNames,$D715)&gt;0,NOT(AND(ISNUMBER($G715),$G715&lt;$F715))),IF(StatusFilter="All (excl. Cancelled)",IF($H715="Cancelled",0,1),IF(StatusFilter="All",1,IF($H715=StatusFilter,1,0))),0)</f>
        <v>0</v>
      </c>
      <c r="O715">
        <f>IF($N715=0,0,IF(AND($F715&lt;=EOMONTH(DATE(PlanYear,1,1),0),IF(ISNUMBER($G715),$G715,$F715)&gt;=DATE(PlanYear,1,1)),1,0))</f>
        <v>0</v>
      </c>
      <c r="P715">
        <f>IF($N715=0,0,IF(AND($F715&lt;=EOMONTH(DATE(PlanYear,2,1),0),IF(ISNUMBER($G715),$G715,$F715)&gt;=DATE(PlanYear,2,1)),1,0))</f>
        <v>0</v>
      </c>
      <c r="Q715">
        <f>IF($N715=0,0,IF(AND($F715&lt;=EOMONTH(DATE(PlanYear,3,1),0),IF(ISNUMBER($G715),$G715,$F715)&gt;=DATE(PlanYear,3,1)),1,0))</f>
        <v>0</v>
      </c>
      <c r="R715">
        <f>IF($N715=0,0,IF(AND($F715&lt;=EOMONTH(DATE(PlanYear,4,1),0),IF(ISNUMBER($G715),$G715,$F715)&gt;=DATE(PlanYear,4,1)),1,0))</f>
        <v>0</v>
      </c>
      <c r="S715">
        <f>IF($N715=0,0,IF(AND($F715&lt;=EOMONTH(DATE(PlanYear,5,1),0),IF(ISNUMBER($G715),$G715,$F715)&gt;=DATE(PlanYear,5,1)),1,0))</f>
        <v>0</v>
      </c>
      <c r="T715">
        <f>IF($N715=0,0,IF(AND($F715&lt;=EOMONTH(DATE(PlanYear,6,1),0),IF(ISNUMBER($G715),$G715,$F715)&gt;=DATE(PlanYear,6,1)),1,0))</f>
        <v>0</v>
      </c>
      <c r="U715">
        <f>IF($N715=0,0,IF(AND($F715&lt;=EOMONTH(DATE(PlanYear,7,1),0),IF(ISNUMBER($G715),$G715,$F715)&gt;=DATE(PlanYear,7,1)),1,0))</f>
        <v>0</v>
      </c>
      <c r="V715">
        <f>IF($N715=0,0,IF(AND($F715&lt;=EOMONTH(DATE(PlanYear,8,1),0),IF(ISNUMBER($G715),$G715,$F715)&gt;=DATE(PlanYear,8,1)),1,0))</f>
        <v>0</v>
      </c>
      <c r="W715">
        <f>IF($N715=0,0,IF(AND($F715&lt;=EOMONTH(DATE(PlanYear,9,1),0),IF(ISNUMBER($G715),$G715,$F715)&gt;=DATE(PlanYear,9,1)),1,0))</f>
        <v>0</v>
      </c>
      <c r="X715">
        <f>IF($N715=0,0,IF(AND($F715&lt;=EOMONTH(DATE(PlanYear,10,1),0),IF(ISNUMBER($G715),$G715,$F715)&gt;=DATE(PlanYear,10,1)),1,0))</f>
        <v>0</v>
      </c>
      <c r="Y715">
        <f>IF($N715=0,0,IF(AND($F715&lt;=EOMONTH(DATE(PlanYear,11,1),0),IF(ISNUMBER($G715),$G715,$F715)&gt;=DATE(PlanYear,11,1)),1,0))</f>
        <v>0</v>
      </c>
      <c r="Z715">
        <f>IF($N715=0,0,IF(AND($F715&lt;=EOMONTH(DATE(PlanYear,12,1),0),IF(ISNUMBER($G715),$G715,$F715)&gt;=DATE(PlanYear,12,1)),1,0))</f>
        <v>0</v>
      </c>
      <c r="AA715">
        <f>SUM($O715:$Z715)</f>
        <v>0</v>
      </c>
    </row>
    <row r="716" spans="1:27">
      <c r="A716" s="42">
        <f>IF($B716="","","ACT-"&amp;TEXT(ROW()-4,"000"))</f>
        <v>0</v>
      </c>
      <c r="M716" s="43">
        <f>IF(COUNTA($B716:$K716)=0,"",IF($B716="","Missing activity name",IF($C716="","Missing practice",IF(COUNTIF(PracticeNames,$C716)=0,"Practice not in Lists",IF($D716="","Missing motion",IF(NOT(ISNUMBER($F716)),"Missing or invalid start date",IF(AND(ISNUMBER($G716),$G716&lt;$F716),"End date before start",IF(AND($N716=1,$AA716=0),"Outside planning year","OK"))))))))</f>
        <v>0</v>
      </c>
      <c r="N716">
        <f>IF(AND($B716&lt;&gt;"",$C716&lt;&gt;"",$D716&lt;&gt;"",ISNUMBER($F716),COUNTIF(PracticeNames,$C716)&gt;0,COUNTIF(MotionNames,$D716)&gt;0,NOT(AND(ISNUMBER($G716),$G716&lt;$F716))),IF(StatusFilter="All (excl. Cancelled)",IF($H716="Cancelled",0,1),IF(StatusFilter="All",1,IF($H716=StatusFilter,1,0))),0)</f>
        <v>0</v>
      </c>
      <c r="O716">
        <f>IF($N716=0,0,IF(AND($F716&lt;=EOMONTH(DATE(PlanYear,1,1),0),IF(ISNUMBER($G716),$G716,$F716)&gt;=DATE(PlanYear,1,1)),1,0))</f>
        <v>0</v>
      </c>
      <c r="P716">
        <f>IF($N716=0,0,IF(AND($F716&lt;=EOMONTH(DATE(PlanYear,2,1),0),IF(ISNUMBER($G716),$G716,$F716)&gt;=DATE(PlanYear,2,1)),1,0))</f>
        <v>0</v>
      </c>
      <c r="Q716">
        <f>IF($N716=0,0,IF(AND($F716&lt;=EOMONTH(DATE(PlanYear,3,1),0),IF(ISNUMBER($G716),$G716,$F716)&gt;=DATE(PlanYear,3,1)),1,0))</f>
        <v>0</v>
      </c>
      <c r="R716">
        <f>IF($N716=0,0,IF(AND($F716&lt;=EOMONTH(DATE(PlanYear,4,1),0),IF(ISNUMBER($G716),$G716,$F716)&gt;=DATE(PlanYear,4,1)),1,0))</f>
        <v>0</v>
      </c>
      <c r="S716">
        <f>IF($N716=0,0,IF(AND($F716&lt;=EOMONTH(DATE(PlanYear,5,1),0),IF(ISNUMBER($G716),$G716,$F716)&gt;=DATE(PlanYear,5,1)),1,0))</f>
        <v>0</v>
      </c>
      <c r="T716">
        <f>IF($N716=0,0,IF(AND($F716&lt;=EOMONTH(DATE(PlanYear,6,1),0),IF(ISNUMBER($G716),$G716,$F716)&gt;=DATE(PlanYear,6,1)),1,0))</f>
        <v>0</v>
      </c>
      <c r="U716">
        <f>IF($N716=0,0,IF(AND($F716&lt;=EOMONTH(DATE(PlanYear,7,1),0),IF(ISNUMBER($G716),$G716,$F716)&gt;=DATE(PlanYear,7,1)),1,0))</f>
        <v>0</v>
      </c>
      <c r="V716">
        <f>IF($N716=0,0,IF(AND($F716&lt;=EOMONTH(DATE(PlanYear,8,1),0),IF(ISNUMBER($G716),$G716,$F716)&gt;=DATE(PlanYear,8,1)),1,0))</f>
        <v>0</v>
      </c>
      <c r="W716">
        <f>IF($N716=0,0,IF(AND($F716&lt;=EOMONTH(DATE(PlanYear,9,1),0),IF(ISNUMBER($G716),$G716,$F716)&gt;=DATE(PlanYear,9,1)),1,0))</f>
        <v>0</v>
      </c>
      <c r="X716">
        <f>IF($N716=0,0,IF(AND($F716&lt;=EOMONTH(DATE(PlanYear,10,1),0),IF(ISNUMBER($G716),$G716,$F716)&gt;=DATE(PlanYear,10,1)),1,0))</f>
        <v>0</v>
      </c>
      <c r="Y716">
        <f>IF($N716=0,0,IF(AND($F716&lt;=EOMONTH(DATE(PlanYear,11,1),0),IF(ISNUMBER($G716),$G716,$F716)&gt;=DATE(PlanYear,11,1)),1,0))</f>
        <v>0</v>
      </c>
      <c r="Z716">
        <f>IF($N716=0,0,IF(AND($F716&lt;=EOMONTH(DATE(PlanYear,12,1),0),IF(ISNUMBER($G716),$G716,$F716)&gt;=DATE(PlanYear,12,1)),1,0))</f>
        <v>0</v>
      </c>
      <c r="AA716">
        <f>SUM($O716:$Z716)</f>
        <v>0</v>
      </c>
    </row>
    <row r="717" spans="1:27">
      <c r="A717" s="42">
        <f>IF($B717="","","ACT-"&amp;TEXT(ROW()-4,"000"))</f>
        <v>0</v>
      </c>
      <c r="M717" s="43">
        <f>IF(COUNTA($B717:$K717)=0,"",IF($B717="","Missing activity name",IF($C717="","Missing practice",IF(COUNTIF(PracticeNames,$C717)=0,"Practice not in Lists",IF($D717="","Missing motion",IF(NOT(ISNUMBER($F717)),"Missing or invalid start date",IF(AND(ISNUMBER($G717),$G717&lt;$F717),"End date before start",IF(AND($N717=1,$AA717=0),"Outside planning year","OK"))))))))</f>
        <v>0</v>
      </c>
      <c r="N717">
        <f>IF(AND($B717&lt;&gt;"",$C717&lt;&gt;"",$D717&lt;&gt;"",ISNUMBER($F717),COUNTIF(PracticeNames,$C717)&gt;0,COUNTIF(MotionNames,$D717)&gt;0,NOT(AND(ISNUMBER($G717),$G717&lt;$F717))),IF(StatusFilter="All (excl. Cancelled)",IF($H717="Cancelled",0,1),IF(StatusFilter="All",1,IF($H717=StatusFilter,1,0))),0)</f>
        <v>0</v>
      </c>
      <c r="O717">
        <f>IF($N717=0,0,IF(AND($F717&lt;=EOMONTH(DATE(PlanYear,1,1),0),IF(ISNUMBER($G717),$G717,$F717)&gt;=DATE(PlanYear,1,1)),1,0))</f>
        <v>0</v>
      </c>
      <c r="P717">
        <f>IF($N717=0,0,IF(AND($F717&lt;=EOMONTH(DATE(PlanYear,2,1),0),IF(ISNUMBER($G717),$G717,$F717)&gt;=DATE(PlanYear,2,1)),1,0))</f>
        <v>0</v>
      </c>
      <c r="Q717">
        <f>IF($N717=0,0,IF(AND($F717&lt;=EOMONTH(DATE(PlanYear,3,1),0),IF(ISNUMBER($G717),$G717,$F717)&gt;=DATE(PlanYear,3,1)),1,0))</f>
        <v>0</v>
      </c>
      <c r="R717">
        <f>IF($N717=0,0,IF(AND($F717&lt;=EOMONTH(DATE(PlanYear,4,1),0),IF(ISNUMBER($G717),$G717,$F717)&gt;=DATE(PlanYear,4,1)),1,0))</f>
        <v>0</v>
      </c>
      <c r="S717">
        <f>IF($N717=0,0,IF(AND($F717&lt;=EOMONTH(DATE(PlanYear,5,1),0),IF(ISNUMBER($G717),$G717,$F717)&gt;=DATE(PlanYear,5,1)),1,0))</f>
        <v>0</v>
      </c>
      <c r="T717">
        <f>IF($N717=0,0,IF(AND($F717&lt;=EOMONTH(DATE(PlanYear,6,1),0),IF(ISNUMBER($G717),$G717,$F717)&gt;=DATE(PlanYear,6,1)),1,0))</f>
        <v>0</v>
      </c>
      <c r="U717">
        <f>IF($N717=0,0,IF(AND($F717&lt;=EOMONTH(DATE(PlanYear,7,1),0),IF(ISNUMBER($G717),$G717,$F717)&gt;=DATE(PlanYear,7,1)),1,0))</f>
        <v>0</v>
      </c>
      <c r="V717">
        <f>IF($N717=0,0,IF(AND($F717&lt;=EOMONTH(DATE(PlanYear,8,1),0),IF(ISNUMBER($G717),$G717,$F717)&gt;=DATE(PlanYear,8,1)),1,0))</f>
        <v>0</v>
      </c>
      <c r="W717">
        <f>IF($N717=0,0,IF(AND($F717&lt;=EOMONTH(DATE(PlanYear,9,1),0),IF(ISNUMBER($G717),$G717,$F717)&gt;=DATE(PlanYear,9,1)),1,0))</f>
        <v>0</v>
      </c>
      <c r="X717">
        <f>IF($N717=0,0,IF(AND($F717&lt;=EOMONTH(DATE(PlanYear,10,1),0),IF(ISNUMBER($G717),$G717,$F717)&gt;=DATE(PlanYear,10,1)),1,0))</f>
        <v>0</v>
      </c>
      <c r="Y717">
        <f>IF($N717=0,0,IF(AND($F717&lt;=EOMONTH(DATE(PlanYear,11,1),0),IF(ISNUMBER($G717),$G717,$F717)&gt;=DATE(PlanYear,11,1)),1,0))</f>
        <v>0</v>
      </c>
      <c r="Z717">
        <f>IF($N717=0,0,IF(AND($F717&lt;=EOMONTH(DATE(PlanYear,12,1),0),IF(ISNUMBER($G717),$G717,$F717)&gt;=DATE(PlanYear,12,1)),1,0))</f>
        <v>0</v>
      </c>
      <c r="AA717">
        <f>SUM($O717:$Z717)</f>
        <v>0</v>
      </c>
    </row>
    <row r="718" spans="1:27">
      <c r="A718" s="42">
        <f>IF($B718="","","ACT-"&amp;TEXT(ROW()-4,"000"))</f>
        <v>0</v>
      </c>
      <c r="M718" s="43">
        <f>IF(COUNTA($B718:$K718)=0,"",IF($B718="","Missing activity name",IF($C718="","Missing practice",IF(COUNTIF(PracticeNames,$C718)=0,"Practice not in Lists",IF($D718="","Missing motion",IF(NOT(ISNUMBER($F718)),"Missing or invalid start date",IF(AND(ISNUMBER($G718),$G718&lt;$F718),"End date before start",IF(AND($N718=1,$AA718=0),"Outside planning year","OK"))))))))</f>
        <v>0</v>
      </c>
      <c r="N718">
        <f>IF(AND($B718&lt;&gt;"",$C718&lt;&gt;"",$D718&lt;&gt;"",ISNUMBER($F718),COUNTIF(PracticeNames,$C718)&gt;0,COUNTIF(MotionNames,$D718)&gt;0,NOT(AND(ISNUMBER($G718),$G718&lt;$F718))),IF(StatusFilter="All (excl. Cancelled)",IF($H718="Cancelled",0,1),IF(StatusFilter="All",1,IF($H718=StatusFilter,1,0))),0)</f>
        <v>0</v>
      </c>
      <c r="O718">
        <f>IF($N718=0,0,IF(AND($F718&lt;=EOMONTH(DATE(PlanYear,1,1),0),IF(ISNUMBER($G718),$G718,$F718)&gt;=DATE(PlanYear,1,1)),1,0))</f>
        <v>0</v>
      </c>
      <c r="P718">
        <f>IF($N718=0,0,IF(AND($F718&lt;=EOMONTH(DATE(PlanYear,2,1),0),IF(ISNUMBER($G718),$G718,$F718)&gt;=DATE(PlanYear,2,1)),1,0))</f>
        <v>0</v>
      </c>
      <c r="Q718">
        <f>IF($N718=0,0,IF(AND($F718&lt;=EOMONTH(DATE(PlanYear,3,1),0),IF(ISNUMBER($G718),$G718,$F718)&gt;=DATE(PlanYear,3,1)),1,0))</f>
        <v>0</v>
      </c>
      <c r="R718">
        <f>IF($N718=0,0,IF(AND($F718&lt;=EOMONTH(DATE(PlanYear,4,1),0),IF(ISNUMBER($G718),$G718,$F718)&gt;=DATE(PlanYear,4,1)),1,0))</f>
        <v>0</v>
      </c>
      <c r="S718">
        <f>IF($N718=0,0,IF(AND($F718&lt;=EOMONTH(DATE(PlanYear,5,1),0),IF(ISNUMBER($G718),$G718,$F718)&gt;=DATE(PlanYear,5,1)),1,0))</f>
        <v>0</v>
      </c>
      <c r="T718">
        <f>IF($N718=0,0,IF(AND($F718&lt;=EOMONTH(DATE(PlanYear,6,1),0),IF(ISNUMBER($G718),$G718,$F718)&gt;=DATE(PlanYear,6,1)),1,0))</f>
        <v>0</v>
      </c>
      <c r="U718">
        <f>IF($N718=0,0,IF(AND($F718&lt;=EOMONTH(DATE(PlanYear,7,1),0),IF(ISNUMBER($G718),$G718,$F718)&gt;=DATE(PlanYear,7,1)),1,0))</f>
        <v>0</v>
      </c>
      <c r="V718">
        <f>IF($N718=0,0,IF(AND($F718&lt;=EOMONTH(DATE(PlanYear,8,1),0),IF(ISNUMBER($G718),$G718,$F718)&gt;=DATE(PlanYear,8,1)),1,0))</f>
        <v>0</v>
      </c>
      <c r="W718">
        <f>IF($N718=0,0,IF(AND($F718&lt;=EOMONTH(DATE(PlanYear,9,1),0),IF(ISNUMBER($G718),$G718,$F718)&gt;=DATE(PlanYear,9,1)),1,0))</f>
        <v>0</v>
      </c>
      <c r="X718">
        <f>IF($N718=0,0,IF(AND($F718&lt;=EOMONTH(DATE(PlanYear,10,1),0),IF(ISNUMBER($G718),$G718,$F718)&gt;=DATE(PlanYear,10,1)),1,0))</f>
        <v>0</v>
      </c>
      <c r="Y718">
        <f>IF($N718=0,0,IF(AND($F718&lt;=EOMONTH(DATE(PlanYear,11,1),0),IF(ISNUMBER($G718),$G718,$F718)&gt;=DATE(PlanYear,11,1)),1,0))</f>
        <v>0</v>
      </c>
      <c r="Z718">
        <f>IF($N718=0,0,IF(AND($F718&lt;=EOMONTH(DATE(PlanYear,12,1),0),IF(ISNUMBER($G718),$G718,$F718)&gt;=DATE(PlanYear,12,1)),1,0))</f>
        <v>0</v>
      </c>
      <c r="AA718">
        <f>SUM($O718:$Z718)</f>
        <v>0</v>
      </c>
    </row>
    <row r="719" spans="1:27">
      <c r="A719" s="42">
        <f>IF($B719="","","ACT-"&amp;TEXT(ROW()-4,"000"))</f>
        <v>0</v>
      </c>
      <c r="M719" s="43">
        <f>IF(COUNTA($B719:$K719)=0,"",IF($B719="","Missing activity name",IF($C719="","Missing practice",IF(COUNTIF(PracticeNames,$C719)=0,"Practice not in Lists",IF($D719="","Missing motion",IF(NOT(ISNUMBER($F719)),"Missing or invalid start date",IF(AND(ISNUMBER($G719),$G719&lt;$F719),"End date before start",IF(AND($N719=1,$AA719=0),"Outside planning year","OK"))))))))</f>
        <v>0</v>
      </c>
      <c r="N719">
        <f>IF(AND($B719&lt;&gt;"",$C719&lt;&gt;"",$D719&lt;&gt;"",ISNUMBER($F719),COUNTIF(PracticeNames,$C719)&gt;0,COUNTIF(MotionNames,$D719)&gt;0,NOT(AND(ISNUMBER($G719),$G719&lt;$F719))),IF(StatusFilter="All (excl. Cancelled)",IF($H719="Cancelled",0,1),IF(StatusFilter="All",1,IF($H719=StatusFilter,1,0))),0)</f>
        <v>0</v>
      </c>
      <c r="O719">
        <f>IF($N719=0,0,IF(AND($F719&lt;=EOMONTH(DATE(PlanYear,1,1),0),IF(ISNUMBER($G719),$G719,$F719)&gt;=DATE(PlanYear,1,1)),1,0))</f>
        <v>0</v>
      </c>
      <c r="P719">
        <f>IF($N719=0,0,IF(AND($F719&lt;=EOMONTH(DATE(PlanYear,2,1),0),IF(ISNUMBER($G719),$G719,$F719)&gt;=DATE(PlanYear,2,1)),1,0))</f>
        <v>0</v>
      </c>
      <c r="Q719">
        <f>IF($N719=0,0,IF(AND($F719&lt;=EOMONTH(DATE(PlanYear,3,1),0),IF(ISNUMBER($G719),$G719,$F719)&gt;=DATE(PlanYear,3,1)),1,0))</f>
        <v>0</v>
      </c>
      <c r="R719">
        <f>IF($N719=0,0,IF(AND($F719&lt;=EOMONTH(DATE(PlanYear,4,1),0),IF(ISNUMBER($G719),$G719,$F719)&gt;=DATE(PlanYear,4,1)),1,0))</f>
        <v>0</v>
      </c>
      <c r="S719">
        <f>IF($N719=0,0,IF(AND($F719&lt;=EOMONTH(DATE(PlanYear,5,1),0),IF(ISNUMBER($G719),$G719,$F719)&gt;=DATE(PlanYear,5,1)),1,0))</f>
        <v>0</v>
      </c>
      <c r="T719">
        <f>IF($N719=0,0,IF(AND($F719&lt;=EOMONTH(DATE(PlanYear,6,1),0),IF(ISNUMBER($G719),$G719,$F719)&gt;=DATE(PlanYear,6,1)),1,0))</f>
        <v>0</v>
      </c>
      <c r="U719">
        <f>IF($N719=0,0,IF(AND($F719&lt;=EOMONTH(DATE(PlanYear,7,1),0),IF(ISNUMBER($G719),$G719,$F719)&gt;=DATE(PlanYear,7,1)),1,0))</f>
        <v>0</v>
      </c>
      <c r="V719">
        <f>IF($N719=0,0,IF(AND($F719&lt;=EOMONTH(DATE(PlanYear,8,1),0),IF(ISNUMBER($G719),$G719,$F719)&gt;=DATE(PlanYear,8,1)),1,0))</f>
        <v>0</v>
      </c>
      <c r="W719">
        <f>IF($N719=0,0,IF(AND($F719&lt;=EOMONTH(DATE(PlanYear,9,1),0),IF(ISNUMBER($G719),$G719,$F719)&gt;=DATE(PlanYear,9,1)),1,0))</f>
        <v>0</v>
      </c>
      <c r="X719">
        <f>IF($N719=0,0,IF(AND($F719&lt;=EOMONTH(DATE(PlanYear,10,1),0),IF(ISNUMBER($G719),$G719,$F719)&gt;=DATE(PlanYear,10,1)),1,0))</f>
        <v>0</v>
      </c>
      <c r="Y719">
        <f>IF($N719=0,0,IF(AND($F719&lt;=EOMONTH(DATE(PlanYear,11,1),0),IF(ISNUMBER($G719),$G719,$F719)&gt;=DATE(PlanYear,11,1)),1,0))</f>
        <v>0</v>
      </c>
      <c r="Z719">
        <f>IF($N719=0,0,IF(AND($F719&lt;=EOMONTH(DATE(PlanYear,12,1),0),IF(ISNUMBER($G719),$G719,$F719)&gt;=DATE(PlanYear,12,1)),1,0))</f>
        <v>0</v>
      </c>
      <c r="AA719">
        <f>SUM($O719:$Z719)</f>
        <v>0</v>
      </c>
    </row>
    <row r="720" spans="1:27">
      <c r="A720" s="42">
        <f>IF($B720="","","ACT-"&amp;TEXT(ROW()-4,"000"))</f>
        <v>0</v>
      </c>
      <c r="M720" s="43">
        <f>IF(COUNTA($B720:$K720)=0,"",IF($B720="","Missing activity name",IF($C720="","Missing practice",IF(COUNTIF(PracticeNames,$C720)=0,"Practice not in Lists",IF($D720="","Missing motion",IF(NOT(ISNUMBER($F720)),"Missing or invalid start date",IF(AND(ISNUMBER($G720),$G720&lt;$F720),"End date before start",IF(AND($N720=1,$AA720=0),"Outside planning year","OK"))))))))</f>
        <v>0</v>
      </c>
      <c r="N720">
        <f>IF(AND($B720&lt;&gt;"",$C720&lt;&gt;"",$D720&lt;&gt;"",ISNUMBER($F720),COUNTIF(PracticeNames,$C720)&gt;0,COUNTIF(MotionNames,$D720)&gt;0,NOT(AND(ISNUMBER($G720),$G720&lt;$F720))),IF(StatusFilter="All (excl. Cancelled)",IF($H720="Cancelled",0,1),IF(StatusFilter="All",1,IF($H720=StatusFilter,1,0))),0)</f>
        <v>0</v>
      </c>
      <c r="O720">
        <f>IF($N720=0,0,IF(AND($F720&lt;=EOMONTH(DATE(PlanYear,1,1),0),IF(ISNUMBER($G720),$G720,$F720)&gt;=DATE(PlanYear,1,1)),1,0))</f>
        <v>0</v>
      </c>
      <c r="P720">
        <f>IF($N720=0,0,IF(AND($F720&lt;=EOMONTH(DATE(PlanYear,2,1),0),IF(ISNUMBER($G720),$G720,$F720)&gt;=DATE(PlanYear,2,1)),1,0))</f>
        <v>0</v>
      </c>
      <c r="Q720">
        <f>IF($N720=0,0,IF(AND($F720&lt;=EOMONTH(DATE(PlanYear,3,1),0),IF(ISNUMBER($G720),$G720,$F720)&gt;=DATE(PlanYear,3,1)),1,0))</f>
        <v>0</v>
      </c>
      <c r="R720">
        <f>IF($N720=0,0,IF(AND($F720&lt;=EOMONTH(DATE(PlanYear,4,1),0),IF(ISNUMBER($G720),$G720,$F720)&gt;=DATE(PlanYear,4,1)),1,0))</f>
        <v>0</v>
      </c>
      <c r="S720">
        <f>IF($N720=0,0,IF(AND($F720&lt;=EOMONTH(DATE(PlanYear,5,1),0),IF(ISNUMBER($G720),$G720,$F720)&gt;=DATE(PlanYear,5,1)),1,0))</f>
        <v>0</v>
      </c>
      <c r="T720">
        <f>IF($N720=0,0,IF(AND($F720&lt;=EOMONTH(DATE(PlanYear,6,1),0),IF(ISNUMBER($G720),$G720,$F720)&gt;=DATE(PlanYear,6,1)),1,0))</f>
        <v>0</v>
      </c>
      <c r="U720">
        <f>IF($N720=0,0,IF(AND($F720&lt;=EOMONTH(DATE(PlanYear,7,1),0),IF(ISNUMBER($G720),$G720,$F720)&gt;=DATE(PlanYear,7,1)),1,0))</f>
        <v>0</v>
      </c>
      <c r="V720">
        <f>IF($N720=0,0,IF(AND($F720&lt;=EOMONTH(DATE(PlanYear,8,1),0),IF(ISNUMBER($G720),$G720,$F720)&gt;=DATE(PlanYear,8,1)),1,0))</f>
        <v>0</v>
      </c>
      <c r="W720">
        <f>IF($N720=0,0,IF(AND($F720&lt;=EOMONTH(DATE(PlanYear,9,1),0),IF(ISNUMBER($G720),$G720,$F720)&gt;=DATE(PlanYear,9,1)),1,0))</f>
        <v>0</v>
      </c>
      <c r="X720">
        <f>IF($N720=0,0,IF(AND($F720&lt;=EOMONTH(DATE(PlanYear,10,1),0),IF(ISNUMBER($G720),$G720,$F720)&gt;=DATE(PlanYear,10,1)),1,0))</f>
        <v>0</v>
      </c>
      <c r="Y720">
        <f>IF($N720=0,0,IF(AND($F720&lt;=EOMONTH(DATE(PlanYear,11,1),0),IF(ISNUMBER($G720),$G720,$F720)&gt;=DATE(PlanYear,11,1)),1,0))</f>
        <v>0</v>
      </c>
      <c r="Z720">
        <f>IF($N720=0,0,IF(AND($F720&lt;=EOMONTH(DATE(PlanYear,12,1),0),IF(ISNUMBER($G720),$G720,$F720)&gt;=DATE(PlanYear,12,1)),1,0))</f>
        <v>0</v>
      </c>
      <c r="AA720">
        <f>SUM($O720:$Z720)</f>
        <v>0</v>
      </c>
    </row>
    <row r="721" spans="1:27">
      <c r="A721" s="42">
        <f>IF($B721="","","ACT-"&amp;TEXT(ROW()-4,"000"))</f>
        <v>0</v>
      </c>
      <c r="M721" s="43">
        <f>IF(COUNTA($B721:$K721)=0,"",IF($B721="","Missing activity name",IF($C721="","Missing practice",IF(COUNTIF(PracticeNames,$C721)=0,"Practice not in Lists",IF($D721="","Missing motion",IF(NOT(ISNUMBER($F721)),"Missing or invalid start date",IF(AND(ISNUMBER($G721),$G721&lt;$F721),"End date before start",IF(AND($N721=1,$AA721=0),"Outside planning year","OK"))))))))</f>
        <v>0</v>
      </c>
      <c r="N721">
        <f>IF(AND($B721&lt;&gt;"",$C721&lt;&gt;"",$D721&lt;&gt;"",ISNUMBER($F721),COUNTIF(PracticeNames,$C721)&gt;0,COUNTIF(MotionNames,$D721)&gt;0,NOT(AND(ISNUMBER($G721),$G721&lt;$F721))),IF(StatusFilter="All (excl. Cancelled)",IF($H721="Cancelled",0,1),IF(StatusFilter="All",1,IF($H721=StatusFilter,1,0))),0)</f>
        <v>0</v>
      </c>
      <c r="O721">
        <f>IF($N721=0,0,IF(AND($F721&lt;=EOMONTH(DATE(PlanYear,1,1),0),IF(ISNUMBER($G721),$G721,$F721)&gt;=DATE(PlanYear,1,1)),1,0))</f>
        <v>0</v>
      </c>
      <c r="P721">
        <f>IF($N721=0,0,IF(AND($F721&lt;=EOMONTH(DATE(PlanYear,2,1),0),IF(ISNUMBER($G721),$G721,$F721)&gt;=DATE(PlanYear,2,1)),1,0))</f>
        <v>0</v>
      </c>
      <c r="Q721">
        <f>IF($N721=0,0,IF(AND($F721&lt;=EOMONTH(DATE(PlanYear,3,1),0),IF(ISNUMBER($G721),$G721,$F721)&gt;=DATE(PlanYear,3,1)),1,0))</f>
        <v>0</v>
      </c>
      <c r="R721">
        <f>IF($N721=0,0,IF(AND($F721&lt;=EOMONTH(DATE(PlanYear,4,1),0),IF(ISNUMBER($G721),$G721,$F721)&gt;=DATE(PlanYear,4,1)),1,0))</f>
        <v>0</v>
      </c>
      <c r="S721">
        <f>IF($N721=0,0,IF(AND($F721&lt;=EOMONTH(DATE(PlanYear,5,1),0),IF(ISNUMBER($G721),$G721,$F721)&gt;=DATE(PlanYear,5,1)),1,0))</f>
        <v>0</v>
      </c>
      <c r="T721">
        <f>IF($N721=0,0,IF(AND($F721&lt;=EOMONTH(DATE(PlanYear,6,1),0),IF(ISNUMBER($G721),$G721,$F721)&gt;=DATE(PlanYear,6,1)),1,0))</f>
        <v>0</v>
      </c>
      <c r="U721">
        <f>IF($N721=0,0,IF(AND($F721&lt;=EOMONTH(DATE(PlanYear,7,1),0),IF(ISNUMBER($G721),$G721,$F721)&gt;=DATE(PlanYear,7,1)),1,0))</f>
        <v>0</v>
      </c>
      <c r="V721">
        <f>IF($N721=0,0,IF(AND($F721&lt;=EOMONTH(DATE(PlanYear,8,1),0),IF(ISNUMBER($G721),$G721,$F721)&gt;=DATE(PlanYear,8,1)),1,0))</f>
        <v>0</v>
      </c>
      <c r="W721">
        <f>IF($N721=0,0,IF(AND($F721&lt;=EOMONTH(DATE(PlanYear,9,1),0),IF(ISNUMBER($G721),$G721,$F721)&gt;=DATE(PlanYear,9,1)),1,0))</f>
        <v>0</v>
      </c>
      <c r="X721">
        <f>IF($N721=0,0,IF(AND($F721&lt;=EOMONTH(DATE(PlanYear,10,1),0),IF(ISNUMBER($G721),$G721,$F721)&gt;=DATE(PlanYear,10,1)),1,0))</f>
        <v>0</v>
      </c>
      <c r="Y721">
        <f>IF($N721=0,0,IF(AND($F721&lt;=EOMONTH(DATE(PlanYear,11,1),0),IF(ISNUMBER($G721),$G721,$F721)&gt;=DATE(PlanYear,11,1)),1,0))</f>
        <v>0</v>
      </c>
      <c r="Z721">
        <f>IF($N721=0,0,IF(AND($F721&lt;=EOMONTH(DATE(PlanYear,12,1),0),IF(ISNUMBER($G721),$G721,$F721)&gt;=DATE(PlanYear,12,1)),1,0))</f>
        <v>0</v>
      </c>
      <c r="AA721">
        <f>SUM($O721:$Z721)</f>
        <v>0</v>
      </c>
    </row>
    <row r="722" spans="1:27">
      <c r="A722" s="42">
        <f>IF($B722="","","ACT-"&amp;TEXT(ROW()-4,"000"))</f>
        <v>0</v>
      </c>
      <c r="M722" s="43">
        <f>IF(COUNTA($B722:$K722)=0,"",IF($B722="","Missing activity name",IF($C722="","Missing practice",IF(COUNTIF(PracticeNames,$C722)=0,"Practice not in Lists",IF($D722="","Missing motion",IF(NOT(ISNUMBER($F722)),"Missing or invalid start date",IF(AND(ISNUMBER($G722),$G722&lt;$F722),"End date before start",IF(AND($N722=1,$AA722=0),"Outside planning year","OK"))))))))</f>
        <v>0</v>
      </c>
      <c r="N722">
        <f>IF(AND($B722&lt;&gt;"",$C722&lt;&gt;"",$D722&lt;&gt;"",ISNUMBER($F722),COUNTIF(PracticeNames,$C722)&gt;0,COUNTIF(MotionNames,$D722)&gt;0,NOT(AND(ISNUMBER($G722),$G722&lt;$F722))),IF(StatusFilter="All (excl. Cancelled)",IF($H722="Cancelled",0,1),IF(StatusFilter="All",1,IF($H722=StatusFilter,1,0))),0)</f>
        <v>0</v>
      </c>
      <c r="O722">
        <f>IF($N722=0,0,IF(AND($F722&lt;=EOMONTH(DATE(PlanYear,1,1),0),IF(ISNUMBER($G722),$G722,$F722)&gt;=DATE(PlanYear,1,1)),1,0))</f>
        <v>0</v>
      </c>
      <c r="P722">
        <f>IF($N722=0,0,IF(AND($F722&lt;=EOMONTH(DATE(PlanYear,2,1),0),IF(ISNUMBER($G722),$G722,$F722)&gt;=DATE(PlanYear,2,1)),1,0))</f>
        <v>0</v>
      </c>
      <c r="Q722">
        <f>IF($N722=0,0,IF(AND($F722&lt;=EOMONTH(DATE(PlanYear,3,1),0),IF(ISNUMBER($G722),$G722,$F722)&gt;=DATE(PlanYear,3,1)),1,0))</f>
        <v>0</v>
      </c>
      <c r="R722">
        <f>IF($N722=0,0,IF(AND($F722&lt;=EOMONTH(DATE(PlanYear,4,1),0),IF(ISNUMBER($G722),$G722,$F722)&gt;=DATE(PlanYear,4,1)),1,0))</f>
        <v>0</v>
      </c>
      <c r="S722">
        <f>IF($N722=0,0,IF(AND($F722&lt;=EOMONTH(DATE(PlanYear,5,1),0),IF(ISNUMBER($G722),$G722,$F722)&gt;=DATE(PlanYear,5,1)),1,0))</f>
        <v>0</v>
      </c>
      <c r="T722">
        <f>IF($N722=0,0,IF(AND($F722&lt;=EOMONTH(DATE(PlanYear,6,1),0),IF(ISNUMBER($G722),$G722,$F722)&gt;=DATE(PlanYear,6,1)),1,0))</f>
        <v>0</v>
      </c>
      <c r="U722">
        <f>IF($N722=0,0,IF(AND($F722&lt;=EOMONTH(DATE(PlanYear,7,1),0),IF(ISNUMBER($G722),$G722,$F722)&gt;=DATE(PlanYear,7,1)),1,0))</f>
        <v>0</v>
      </c>
      <c r="V722">
        <f>IF($N722=0,0,IF(AND($F722&lt;=EOMONTH(DATE(PlanYear,8,1),0),IF(ISNUMBER($G722),$G722,$F722)&gt;=DATE(PlanYear,8,1)),1,0))</f>
        <v>0</v>
      </c>
      <c r="W722">
        <f>IF($N722=0,0,IF(AND($F722&lt;=EOMONTH(DATE(PlanYear,9,1),0),IF(ISNUMBER($G722),$G722,$F722)&gt;=DATE(PlanYear,9,1)),1,0))</f>
        <v>0</v>
      </c>
      <c r="X722">
        <f>IF($N722=0,0,IF(AND($F722&lt;=EOMONTH(DATE(PlanYear,10,1),0),IF(ISNUMBER($G722),$G722,$F722)&gt;=DATE(PlanYear,10,1)),1,0))</f>
        <v>0</v>
      </c>
      <c r="Y722">
        <f>IF($N722=0,0,IF(AND($F722&lt;=EOMONTH(DATE(PlanYear,11,1),0),IF(ISNUMBER($G722),$G722,$F722)&gt;=DATE(PlanYear,11,1)),1,0))</f>
        <v>0</v>
      </c>
      <c r="Z722">
        <f>IF($N722=0,0,IF(AND($F722&lt;=EOMONTH(DATE(PlanYear,12,1),0),IF(ISNUMBER($G722),$G722,$F722)&gt;=DATE(PlanYear,12,1)),1,0))</f>
        <v>0</v>
      </c>
      <c r="AA722">
        <f>SUM($O722:$Z722)</f>
        <v>0</v>
      </c>
    </row>
    <row r="723" spans="1:27">
      <c r="A723" s="42">
        <f>IF($B723="","","ACT-"&amp;TEXT(ROW()-4,"000"))</f>
        <v>0</v>
      </c>
      <c r="M723" s="43">
        <f>IF(COUNTA($B723:$K723)=0,"",IF($B723="","Missing activity name",IF($C723="","Missing practice",IF(COUNTIF(PracticeNames,$C723)=0,"Practice not in Lists",IF($D723="","Missing motion",IF(NOT(ISNUMBER($F723)),"Missing or invalid start date",IF(AND(ISNUMBER($G723),$G723&lt;$F723),"End date before start",IF(AND($N723=1,$AA723=0),"Outside planning year","OK"))))))))</f>
        <v>0</v>
      </c>
      <c r="N723">
        <f>IF(AND($B723&lt;&gt;"",$C723&lt;&gt;"",$D723&lt;&gt;"",ISNUMBER($F723),COUNTIF(PracticeNames,$C723)&gt;0,COUNTIF(MotionNames,$D723)&gt;0,NOT(AND(ISNUMBER($G723),$G723&lt;$F723))),IF(StatusFilter="All (excl. Cancelled)",IF($H723="Cancelled",0,1),IF(StatusFilter="All",1,IF($H723=StatusFilter,1,0))),0)</f>
        <v>0</v>
      </c>
      <c r="O723">
        <f>IF($N723=0,0,IF(AND($F723&lt;=EOMONTH(DATE(PlanYear,1,1),0),IF(ISNUMBER($G723),$G723,$F723)&gt;=DATE(PlanYear,1,1)),1,0))</f>
        <v>0</v>
      </c>
      <c r="P723">
        <f>IF($N723=0,0,IF(AND($F723&lt;=EOMONTH(DATE(PlanYear,2,1),0),IF(ISNUMBER($G723),$G723,$F723)&gt;=DATE(PlanYear,2,1)),1,0))</f>
        <v>0</v>
      </c>
      <c r="Q723">
        <f>IF($N723=0,0,IF(AND($F723&lt;=EOMONTH(DATE(PlanYear,3,1),0),IF(ISNUMBER($G723),$G723,$F723)&gt;=DATE(PlanYear,3,1)),1,0))</f>
        <v>0</v>
      </c>
      <c r="R723">
        <f>IF($N723=0,0,IF(AND($F723&lt;=EOMONTH(DATE(PlanYear,4,1),0),IF(ISNUMBER($G723),$G723,$F723)&gt;=DATE(PlanYear,4,1)),1,0))</f>
        <v>0</v>
      </c>
      <c r="S723">
        <f>IF($N723=0,0,IF(AND($F723&lt;=EOMONTH(DATE(PlanYear,5,1),0),IF(ISNUMBER($G723),$G723,$F723)&gt;=DATE(PlanYear,5,1)),1,0))</f>
        <v>0</v>
      </c>
      <c r="T723">
        <f>IF($N723=0,0,IF(AND($F723&lt;=EOMONTH(DATE(PlanYear,6,1),0),IF(ISNUMBER($G723),$G723,$F723)&gt;=DATE(PlanYear,6,1)),1,0))</f>
        <v>0</v>
      </c>
      <c r="U723">
        <f>IF($N723=0,0,IF(AND($F723&lt;=EOMONTH(DATE(PlanYear,7,1),0),IF(ISNUMBER($G723),$G723,$F723)&gt;=DATE(PlanYear,7,1)),1,0))</f>
        <v>0</v>
      </c>
      <c r="V723">
        <f>IF($N723=0,0,IF(AND($F723&lt;=EOMONTH(DATE(PlanYear,8,1),0),IF(ISNUMBER($G723),$G723,$F723)&gt;=DATE(PlanYear,8,1)),1,0))</f>
        <v>0</v>
      </c>
      <c r="W723">
        <f>IF($N723=0,0,IF(AND($F723&lt;=EOMONTH(DATE(PlanYear,9,1),0),IF(ISNUMBER($G723),$G723,$F723)&gt;=DATE(PlanYear,9,1)),1,0))</f>
        <v>0</v>
      </c>
      <c r="X723">
        <f>IF($N723=0,0,IF(AND($F723&lt;=EOMONTH(DATE(PlanYear,10,1),0),IF(ISNUMBER($G723),$G723,$F723)&gt;=DATE(PlanYear,10,1)),1,0))</f>
        <v>0</v>
      </c>
      <c r="Y723">
        <f>IF($N723=0,0,IF(AND($F723&lt;=EOMONTH(DATE(PlanYear,11,1),0),IF(ISNUMBER($G723),$G723,$F723)&gt;=DATE(PlanYear,11,1)),1,0))</f>
        <v>0</v>
      </c>
      <c r="Z723">
        <f>IF($N723=0,0,IF(AND($F723&lt;=EOMONTH(DATE(PlanYear,12,1),0),IF(ISNUMBER($G723),$G723,$F723)&gt;=DATE(PlanYear,12,1)),1,0))</f>
        <v>0</v>
      </c>
      <c r="AA723">
        <f>SUM($O723:$Z723)</f>
        <v>0</v>
      </c>
    </row>
    <row r="724" spans="1:27">
      <c r="A724" s="42">
        <f>IF($B724="","","ACT-"&amp;TEXT(ROW()-4,"000"))</f>
        <v>0</v>
      </c>
      <c r="M724" s="43">
        <f>IF(COUNTA($B724:$K724)=0,"",IF($B724="","Missing activity name",IF($C724="","Missing practice",IF(COUNTIF(PracticeNames,$C724)=0,"Practice not in Lists",IF($D724="","Missing motion",IF(NOT(ISNUMBER($F724)),"Missing or invalid start date",IF(AND(ISNUMBER($G724),$G724&lt;$F724),"End date before start",IF(AND($N724=1,$AA724=0),"Outside planning year","OK"))))))))</f>
        <v>0</v>
      </c>
      <c r="N724">
        <f>IF(AND($B724&lt;&gt;"",$C724&lt;&gt;"",$D724&lt;&gt;"",ISNUMBER($F724),COUNTIF(PracticeNames,$C724)&gt;0,COUNTIF(MotionNames,$D724)&gt;0,NOT(AND(ISNUMBER($G724),$G724&lt;$F724))),IF(StatusFilter="All (excl. Cancelled)",IF($H724="Cancelled",0,1),IF(StatusFilter="All",1,IF($H724=StatusFilter,1,0))),0)</f>
        <v>0</v>
      </c>
      <c r="O724">
        <f>IF($N724=0,0,IF(AND($F724&lt;=EOMONTH(DATE(PlanYear,1,1),0),IF(ISNUMBER($G724),$G724,$F724)&gt;=DATE(PlanYear,1,1)),1,0))</f>
        <v>0</v>
      </c>
      <c r="P724">
        <f>IF($N724=0,0,IF(AND($F724&lt;=EOMONTH(DATE(PlanYear,2,1),0),IF(ISNUMBER($G724),$G724,$F724)&gt;=DATE(PlanYear,2,1)),1,0))</f>
        <v>0</v>
      </c>
      <c r="Q724">
        <f>IF($N724=0,0,IF(AND($F724&lt;=EOMONTH(DATE(PlanYear,3,1),0),IF(ISNUMBER($G724),$G724,$F724)&gt;=DATE(PlanYear,3,1)),1,0))</f>
        <v>0</v>
      </c>
      <c r="R724">
        <f>IF($N724=0,0,IF(AND($F724&lt;=EOMONTH(DATE(PlanYear,4,1),0),IF(ISNUMBER($G724),$G724,$F724)&gt;=DATE(PlanYear,4,1)),1,0))</f>
        <v>0</v>
      </c>
      <c r="S724">
        <f>IF($N724=0,0,IF(AND($F724&lt;=EOMONTH(DATE(PlanYear,5,1),0),IF(ISNUMBER($G724),$G724,$F724)&gt;=DATE(PlanYear,5,1)),1,0))</f>
        <v>0</v>
      </c>
      <c r="T724">
        <f>IF($N724=0,0,IF(AND($F724&lt;=EOMONTH(DATE(PlanYear,6,1),0),IF(ISNUMBER($G724),$G724,$F724)&gt;=DATE(PlanYear,6,1)),1,0))</f>
        <v>0</v>
      </c>
      <c r="U724">
        <f>IF($N724=0,0,IF(AND($F724&lt;=EOMONTH(DATE(PlanYear,7,1),0),IF(ISNUMBER($G724),$G724,$F724)&gt;=DATE(PlanYear,7,1)),1,0))</f>
        <v>0</v>
      </c>
      <c r="V724">
        <f>IF($N724=0,0,IF(AND($F724&lt;=EOMONTH(DATE(PlanYear,8,1),0),IF(ISNUMBER($G724),$G724,$F724)&gt;=DATE(PlanYear,8,1)),1,0))</f>
        <v>0</v>
      </c>
      <c r="W724">
        <f>IF($N724=0,0,IF(AND($F724&lt;=EOMONTH(DATE(PlanYear,9,1),0),IF(ISNUMBER($G724),$G724,$F724)&gt;=DATE(PlanYear,9,1)),1,0))</f>
        <v>0</v>
      </c>
      <c r="X724">
        <f>IF($N724=0,0,IF(AND($F724&lt;=EOMONTH(DATE(PlanYear,10,1),0),IF(ISNUMBER($G724),$G724,$F724)&gt;=DATE(PlanYear,10,1)),1,0))</f>
        <v>0</v>
      </c>
      <c r="Y724">
        <f>IF($N724=0,0,IF(AND($F724&lt;=EOMONTH(DATE(PlanYear,11,1),0),IF(ISNUMBER($G724),$G724,$F724)&gt;=DATE(PlanYear,11,1)),1,0))</f>
        <v>0</v>
      </c>
      <c r="Z724">
        <f>IF($N724=0,0,IF(AND($F724&lt;=EOMONTH(DATE(PlanYear,12,1),0),IF(ISNUMBER($G724),$G724,$F724)&gt;=DATE(PlanYear,12,1)),1,0))</f>
        <v>0</v>
      </c>
      <c r="AA724">
        <f>SUM($O724:$Z724)</f>
        <v>0</v>
      </c>
    </row>
    <row r="725" spans="1:27">
      <c r="A725" s="42">
        <f>IF($B725="","","ACT-"&amp;TEXT(ROW()-4,"000"))</f>
        <v>0</v>
      </c>
      <c r="M725" s="43">
        <f>IF(COUNTA($B725:$K725)=0,"",IF($B725="","Missing activity name",IF($C725="","Missing practice",IF(COUNTIF(PracticeNames,$C725)=0,"Practice not in Lists",IF($D725="","Missing motion",IF(NOT(ISNUMBER($F725)),"Missing or invalid start date",IF(AND(ISNUMBER($G725),$G725&lt;$F725),"End date before start",IF(AND($N725=1,$AA725=0),"Outside planning year","OK"))))))))</f>
        <v>0</v>
      </c>
      <c r="N725">
        <f>IF(AND($B725&lt;&gt;"",$C725&lt;&gt;"",$D725&lt;&gt;"",ISNUMBER($F725),COUNTIF(PracticeNames,$C725)&gt;0,COUNTIF(MotionNames,$D725)&gt;0,NOT(AND(ISNUMBER($G725),$G725&lt;$F725))),IF(StatusFilter="All (excl. Cancelled)",IF($H725="Cancelled",0,1),IF(StatusFilter="All",1,IF($H725=StatusFilter,1,0))),0)</f>
        <v>0</v>
      </c>
      <c r="O725">
        <f>IF($N725=0,0,IF(AND($F725&lt;=EOMONTH(DATE(PlanYear,1,1),0),IF(ISNUMBER($G725),$G725,$F725)&gt;=DATE(PlanYear,1,1)),1,0))</f>
        <v>0</v>
      </c>
      <c r="P725">
        <f>IF($N725=0,0,IF(AND($F725&lt;=EOMONTH(DATE(PlanYear,2,1),0),IF(ISNUMBER($G725),$G725,$F725)&gt;=DATE(PlanYear,2,1)),1,0))</f>
        <v>0</v>
      </c>
      <c r="Q725">
        <f>IF($N725=0,0,IF(AND($F725&lt;=EOMONTH(DATE(PlanYear,3,1),0),IF(ISNUMBER($G725),$G725,$F725)&gt;=DATE(PlanYear,3,1)),1,0))</f>
        <v>0</v>
      </c>
      <c r="R725">
        <f>IF($N725=0,0,IF(AND($F725&lt;=EOMONTH(DATE(PlanYear,4,1),0),IF(ISNUMBER($G725),$G725,$F725)&gt;=DATE(PlanYear,4,1)),1,0))</f>
        <v>0</v>
      </c>
      <c r="S725">
        <f>IF($N725=0,0,IF(AND($F725&lt;=EOMONTH(DATE(PlanYear,5,1),0),IF(ISNUMBER($G725),$G725,$F725)&gt;=DATE(PlanYear,5,1)),1,0))</f>
        <v>0</v>
      </c>
      <c r="T725">
        <f>IF($N725=0,0,IF(AND($F725&lt;=EOMONTH(DATE(PlanYear,6,1),0),IF(ISNUMBER($G725),$G725,$F725)&gt;=DATE(PlanYear,6,1)),1,0))</f>
        <v>0</v>
      </c>
      <c r="U725">
        <f>IF($N725=0,0,IF(AND($F725&lt;=EOMONTH(DATE(PlanYear,7,1),0),IF(ISNUMBER($G725),$G725,$F725)&gt;=DATE(PlanYear,7,1)),1,0))</f>
        <v>0</v>
      </c>
      <c r="V725">
        <f>IF($N725=0,0,IF(AND($F725&lt;=EOMONTH(DATE(PlanYear,8,1),0),IF(ISNUMBER($G725),$G725,$F725)&gt;=DATE(PlanYear,8,1)),1,0))</f>
        <v>0</v>
      </c>
      <c r="W725">
        <f>IF($N725=0,0,IF(AND($F725&lt;=EOMONTH(DATE(PlanYear,9,1),0),IF(ISNUMBER($G725),$G725,$F725)&gt;=DATE(PlanYear,9,1)),1,0))</f>
        <v>0</v>
      </c>
      <c r="X725">
        <f>IF($N725=0,0,IF(AND($F725&lt;=EOMONTH(DATE(PlanYear,10,1),0),IF(ISNUMBER($G725),$G725,$F725)&gt;=DATE(PlanYear,10,1)),1,0))</f>
        <v>0</v>
      </c>
      <c r="Y725">
        <f>IF($N725=0,0,IF(AND($F725&lt;=EOMONTH(DATE(PlanYear,11,1),0),IF(ISNUMBER($G725),$G725,$F725)&gt;=DATE(PlanYear,11,1)),1,0))</f>
        <v>0</v>
      </c>
      <c r="Z725">
        <f>IF($N725=0,0,IF(AND($F725&lt;=EOMONTH(DATE(PlanYear,12,1),0),IF(ISNUMBER($G725),$G725,$F725)&gt;=DATE(PlanYear,12,1)),1,0))</f>
        <v>0</v>
      </c>
      <c r="AA725">
        <f>SUM($O725:$Z725)</f>
        <v>0</v>
      </c>
    </row>
    <row r="726" spans="1:27">
      <c r="A726" s="42">
        <f>IF($B726="","","ACT-"&amp;TEXT(ROW()-4,"000"))</f>
        <v>0</v>
      </c>
      <c r="M726" s="43">
        <f>IF(COUNTA($B726:$K726)=0,"",IF($B726="","Missing activity name",IF($C726="","Missing practice",IF(COUNTIF(PracticeNames,$C726)=0,"Practice not in Lists",IF($D726="","Missing motion",IF(NOT(ISNUMBER($F726)),"Missing or invalid start date",IF(AND(ISNUMBER($G726),$G726&lt;$F726),"End date before start",IF(AND($N726=1,$AA726=0),"Outside planning year","OK"))))))))</f>
        <v>0</v>
      </c>
      <c r="N726">
        <f>IF(AND($B726&lt;&gt;"",$C726&lt;&gt;"",$D726&lt;&gt;"",ISNUMBER($F726),COUNTIF(PracticeNames,$C726)&gt;0,COUNTIF(MotionNames,$D726)&gt;0,NOT(AND(ISNUMBER($G726),$G726&lt;$F726))),IF(StatusFilter="All (excl. Cancelled)",IF($H726="Cancelled",0,1),IF(StatusFilter="All",1,IF($H726=StatusFilter,1,0))),0)</f>
        <v>0</v>
      </c>
      <c r="O726">
        <f>IF($N726=0,0,IF(AND($F726&lt;=EOMONTH(DATE(PlanYear,1,1),0),IF(ISNUMBER($G726),$G726,$F726)&gt;=DATE(PlanYear,1,1)),1,0))</f>
        <v>0</v>
      </c>
      <c r="P726">
        <f>IF($N726=0,0,IF(AND($F726&lt;=EOMONTH(DATE(PlanYear,2,1),0),IF(ISNUMBER($G726),$G726,$F726)&gt;=DATE(PlanYear,2,1)),1,0))</f>
        <v>0</v>
      </c>
      <c r="Q726">
        <f>IF($N726=0,0,IF(AND($F726&lt;=EOMONTH(DATE(PlanYear,3,1),0),IF(ISNUMBER($G726),$G726,$F726)&gt;=DATE(PlanYear,3,1)),1,0))</f>
        <v>0</v>
      </c>
      <c r="R726">
        <f>IF($N726=0,0,IF(AND($F726&lt;=EOMONTH(DATE(PlanYear,4,1),0),IF(ISNUMBER($G726),$G726,$F726)&gt;=DATE(PlanYear,4,1)),1,0))</f>
        <v>0</v>
      </c>
      <c r="S726">
        <f>IF($N726=0,0,IF(AND($F726&lt;=EOMONTH(DATE(PlanYear,5,1),0),IF(ISNUMBER($G726),$G726,$F726)&gt;=DATE(PlanYear,5,1)),1,0))</f>
        <v>0</v>
      </c>
      <c r="T726">
        <f>IF($N726=0,0,IF(AND($F726&lt;=EOMONTH(DATE(PlanYear,6,1),0),IF(ISNUMBER($G726),$G726,$F726)&gt;=DATE(PlanYear,6,1)),1,0))</f>
        <v>0</v>
      </c>
      <c r="U726">
        <f>IF($N726=0,0,IF(AND($F726&lt;=EOMONTH(DATE(PlanYear,7,1),0),IF(ISNUMBER($G726),$G726,$F726)&gt;=DATE(PlanYear,7,1)),1,0))</f>
        <v>0</v>
      </c>
      <c r="V726">
        <f>IF($N726=0,0,IF(AND($F726&lt;=EOMONTH(DATE(PlanYear,8,1),0),IF(ISNUMBER($G726),$G726,$F726)&gt;=DATE(PlanYear,8,1)),1,0))</f>
        <v>0</v>
      </c>
      <c r="W726">
        <f>IF($N726=0,0,IF(AND($F726&lt;=EOMONTH(DATE(PlanYear,9,1),0),IF(ISNUMBER($G726),$G726,$F726)&gt;=DATE(PlanYear,9,1)),1,0))</f>
        <v>0</v>
      </c>
      <c r="X726">
        <f>IF($N726=0,0,IF(AND($F726&lt;=EOMONTH(DATE(PlanYear,10,1),0),IF(ISNUMBER($G726),$G726,$F726)&gt;=DATE(PlanYear,10,1)),1,0))</f>
        <v>0</v>
      </c>
      <c r="Y726">
        <f>IF($N726=0,0,IF(AND($F726&lt;=EOMONTH(DATE(PlanYear,11,1),0),IF(ISNUMBER($G726),$G726,$F726)&gt;=DATE(PlanYear,11,1)),1,0))</f>
        <v>0</v>
      </c>
      <c r="Z726">
        <f>IF($N726=0,0,IF(AND($F726&lt;=EOMONTH(DATE(PlanYear,12,1),0),IF(ISNUMBER($G726),$G726,$F726)&gt;=DATE(PlanYear,12,1)),1,0))</f>
        <v>0</v>
      </c>
      <c r="AA726">
        <f>SUM($O726:$Z726)</f>
        <v>0</v>
      </c>
    </row>
    <row r="727" spans="1:27">
      <c r="A727" s="42">
        <f>IF($B727="","","ACT-"&amp;TEXT(ROW()-4,"000"))</f>
        <v>0</v>
      </c>
      <c r="M727" s="43">
        <f>IF(COUNTA($B727:$K727)=0,"",IF($B727="","Missing activity name",IF($C727="","Missing practice",IF(COUNTIF(PracticeNames,$C727)=0,"Practice not in Lists",IF($D727="","Missing motion",IF(NOT(ISNUMBER($F727)),"Missing or invalid start date",IF(AND(ISNUMBER($G727),$G727&lt;$F727),"End date before start",IF(AND($N727=1,$AA727=0),"Outside planning year","OK"))))))))</f>
        <v>0</v>
      </c>
      <c r="N727">
        <f>IF(AND($B727&lt;&gt;"",$C727&lt;&gt;"",$D727&lt;&gt;"",ISNUMBER($F727),COUNTIF(PracticeNames,$C727)&gt;0,COUNTIF(MotionNames,$D727)&gt;0,NOT(AND(ISNUMBER($G727),$G727&lt;$F727))),IF(StatusFilter="All (excl. Cancelled)",IF($H727="Cancelled",0,1),IF(StatusFilter="All",1,IF($H727=StatusFilter,1,0))),0)</f>
        <v>0</v>
      </c>
      <c r="O727">
        <f>IF($N727=0,0,IF(AND($F727&lt;=EOMONTH(DATE(PlanYear,1,1),0),IF(ISNUMBER($G727),$G727,$F727)&gt;=DATE(PlanYear,1,1)),1,0))</f>
        <v>0</v>
      </c>
      <c r="P727">
        <f>IF($N727=0,0,IF(AND($F727&lt;=EOMONTH(DATE(PlanYear,2,1),0),IF(ISNUMBER($G727),$G727,$F727)&gt;=DATE(PlanYear,2,1)),1,0))</f>
        <v>0</v>
      </c>
      <c r="Q727">
        <f>IF($N727=0,0,IF(AND($F727&lt;=EOMONTH(DATE(PlanYear,3,1),0),IF(ISNUMBER($G727),$G727,$F727)&gt;=DATE(PlanYear,3,1)),1,0))</f>
        <v>0</v>
      </c>
      <c r="R727">
        <f>IF($N727=0,0,IF(AND($F727&lt;=EOMONTH(DATE(PlanYear,4,1),0),IF(ISNUMBER($G727),$G727,$F727)&gt;=DATE(PlanYear,4,1)),1,0))</f>
        <v>0</v>
      </c>
      <c r="S727">
        <f>IF($N727=0,0,IF(AND($F727&lt;=EOMONTH(DATE(PlanYear,5,1),0),IF(ISNUMBER($G727),$G727,$F727)&gt;=DATE(PlanYear,5,1)),1,0))</f>
        <v>0</v>
      </c>
      <c r="T727">
        <f>IF($N727=0,0,IF(AND($F727&lt;=EOMONTH(DATE(PlanYear,6,1),0),IF(ISNUMBER($G727),$G727,$F727)&gt;=DATE(PlanYear,6,1)),1,0))</f>
        <v>0</v>
      </c>
      <c r="U727">
        <f>IF($N727=0,0,IF(AND($F727&lt;=EOMONTH(DATE(PlanYear,7,1),0),IF(ISNUMBER($G727),$G727,$F727)&gt;=DATE(PlanYear,7,1)),1,0))</f>
        <v>0</v>
      </c>
      <c r="V727">
        <f>IF($N727=0,0,IF(AND($F727&lt;=EOMONTH(DATE(PlanYear,8,1),0),IF(ISNUMBER($G727),$G727,$F727)&gt;=DATE(PlanYear,8,1)),1,0))</f>
        <v>0</v>
      </c>
      <c r="W727">
        <f>IF($N727=0,0,IF(AND($F727&lt;=EOMONTH(DATE(PlanYear,9,1),0),IF(ISNUMBER($G727),$G727,$F727)&gt;=DATE(PlanYear,9,1)),1,0))</f>
        <v>0</v>
      </c>
      <c r="X727">
        <f>IF($N727=0,0,IF(AND($F727&lt;=EOMONTH(DATE(PlanYear,10,1),0),IF(ISNUMBER($G727),$G727,$F727)&gt;=DATE(PlanYear,10,1)),1,0))</f>
        <v>0</v>
      </c>
      <c r="Y727">
        <f>IF($N727=0,0,IF(AND($F727&lt;=EOMONTH(DATE(PlanYear,11,1),0),IF(ISNUMBER($G727),$G727,$F727)&gt;=DATE(PlanYear,11,1)),1,0))</f>
        <v>0</v>
      </c>
      <c r="Z727">
        <f>IF($N727=0,0,IF(AND($F727&lt;=EOMONTH(DATE(PlanYear,12,1),0),IF(ISNUMBER($G727),$G727,$F727)&gt;=DATE(PlanYear,12,1)),1,0))</f>
        <v>0</v>
      </c>
      <c r="AA727">
        <f>SUM($O727:$Z727)</f>
        <v>0</v>
      </c>
    </row>
    <row r="728" spans="1:27">
      <c r="A728" s="42">
        <f>IF($B728="","","ACT-"&amp;TEXT(ROW()-4,"000"))</f>
        <v>0</v>
      </c>
      <c r="M728" s="43">
        <f>IF(COUNTA($B728:$K728)=0,"",IF($B728="","Missing activity name",IF($C728="","Missing practice",IF(COUNTIF(PracticeNames,$C728)=0,"Practice not in Lists",IF($D728="","Missing motion",IF(NOT(ISNUMBER($F728)),"Missing or invalid start date",IF(AND(ISNUMBER($G728),$G728&lt;$F728),"End date before start",IF(AND($N728=1,$AA728=0),"Outside planning year","OK"))))))))</f>
        <v>0</v>
      </c>
      <c r="N728">
        <f>IF(AND($B728&lt;&gt;"",$C728&lt;&gt;"",$D728&lt;&gt;"",ISNUMBER($F728),COUNTIF(PracticeNames,$C728)&gt;0,COUNTIF(MotionNames,$D728)&gt;0,NOT(AND(ISNUMBER($G728),$G728&lt;$F728))),IF(StatusFilter="All (excl. Cancelled)",IF($H728="Cancelled",0,1),IF(StatusFilter="All",1,IF($H728=StatusFilter,1,0))),0)</f>
        <v>0</v>
      </c>
      <c r="O728">
        <f>IF($N728=0,0,IF(AND($F728&lt;=EOMONTH(DATE(PlanYear,1,1),0),IF(ISNUMBER($G728),$G728,$F728)&gt;=DATE(PlanYear,1,1)),1,0))</f>
        <v>0</v>
      </c>
      <c r="P728">
        <f>IF($N728=0,0,IF(AND($F728&lt;=EOMONTH(DATE(PlanYear,2,1),0),IF(ISNUMBER($G728),$G728,$F728)&gt;=DATE(PlanYear,2,1)),1,0))</f>
        <v>0</v>
      </c>
      <c r="Q728">
        <f>IF($N728=0,0,IF(AND($F728&lt;=EOMONTH(DATE(PlanYear,3,1),0),IF(ISNUMBER($G728),$G728,$F728)&gt;=DATE(PlanYear,3,1)),1,0))</f>
        <v>0</v>
      </c>
      <c r="R728">
        <f>IF($N728=0,0,IF(AND($F728&lt;=EOMONTH(DATE(PlanYear,4,1),0),IF(ISNUMBER($G728),$G728,$F728)&gt;=DATE(PlanYear,4,1)),1,0))</f>
        <v>0</v>
      </c>
      <c r="S728">
        <f>IF($N728=0,0,IF(AND($F728&lt;=EOMONTH(DATE(PlanYear,5,1),0),IF(ISNUMBER($G728),$G728,$F728)&gt;=DATE(PlanYear,5,1)),1,0))</f>
        <v>0</v>
      </c>
      <c r="T728">
        <f>IF($N728=0,0,IF(AND($F728&lt;=EOMONTH(DATE(PlanYear,6,1),0),IF(ISNUMBER($G728),$G728,$F728)&gt;=DATE(PlanYear,6,1)),1,0))</f>
        <v>0</v>
      </c>
      <c r="U728">
        <f>IF($N728=0,0,IF(AND($F728&lt;=EOMONTH(DATE(PlanYear,7,1),0),IF(ISNUMBER($G728),$G728,$F728)&gt;=DATE(PlanYear,7,1)),1,0))</f>
        <v>0</v>
      </c>
      <c r="V728">
        <f>IF($N728=0,0,IF(AND($F728&lt;=EOMONTH(DATE(PlanYear,8,1),0),IF(ISNUMBER($G728),$G728,$F728)&gt;=DATE(PlanYear,8,1)),1,0))</f>
        <v>0</v>
      </c>
      <c r="W728">
        <f>IF($N728=0,0,IF(AND($F728&lt;=EOMONTH(DATE(PlanYear,9,1),0),IF(ISNUMBER($G728),$G728,$F728)&gt;=DATE(PlanYear,9,1)),1,0))</f>
        <v>0</v>
      </c>
      <c r="X728">
        <f>IF($N728=0,0,IF(AND($F728&lt;=EOMONTH(DATE(PlanYear,10,1),0),IF(ISNUMBER($G728),$G728,$F728)&gt;=DATE(PlanYear,10,1)),1,0))</f>
        <v>0</v>
      </c>
      <c r="Y728">
        <f>IF($N728=0,0,IF(AND($F728&lt;=EOMONTH(DATE(PlanYear,11,1),0),IF(ISNUMBER($G728),$G728,$F728)&gt;=DATE(PlanYear,11,1)),1,0))</f>
        <v>0</v>
      </c>
      <c r="Z728">
        <f>IF($N728=0,0,IF(AND($F728&lt;=EOMONTH(DATE(PlanYear,12,1),0),IF(ISNUMBER($G728),$G728,$F728)&gt;=DATE(PlanYear,12,1)),1,0))</f>
        <v>0</v>
      </c>
      <c r="AA728">
        <f>SUM($O728:$Z728)</f>
        <v>0</v>
      </c>
    </row>
    <row r="729" spans="1:27">
      <c r="A729" s="42">
        <f>IF($B729="","","ACT-"&amp;TEXT(ROW()-4,"000"))</f>
        <v>0</v>
      </c>
      <c r="M729" s="43">
        <f>IF(COUNTA($B729:$K729)=0,"",IF($B729="","Missing activity name",IF($C729="","Missing practice",IF(COUNTIF(PracticeNames,$C729)=0,"Practice not in Lists",IF($D729="","Missing motion",IF(NOT(ISNUMBER($F729)),"Missing or invalid start date",IF(AND(ISNUMBER($G729),$G729&lt;$F729),"End date before start",IF(AND($N729=1,$AA729=0),"Outside planning year","OK"))))))))</f>
        <v>0</v>
      </c>
      <c r="N729">
        <f>IF(AND($B729&lt;&gt;"",$C729&lt;&gt;"",$D729&lt;&gt;"",ISNUMBER($F729),COUNTIF(PracticeNames,$C729)&gt;0,COUNTIF(MotionNames,$D729)&gt;0,NOT(AND(ISNUMBER($G729),$G729&lt;$F729))),IF(StatusFilter="All (excl. Cancelled)",IF($H729="Cancelled",0,1),IF(StatusFilter="All",1,IF($H729=StatusFilter,1,0))),0)</f>
        <v>0</v>
      </c>
      <c r="O729">
        <f>IF($N729=0,0,IF(AND($F729&lt;=EOMONTH(DATE(PlanYear,1,1),0),IF(ISNUMBER($G729),$G729,$F729)&gt;=DATE(PlanYear,1,1)),1,0))</f>
        <v>0</v>
      </c>
      <c r="P729">
        <f>IF($N729=0,0,IF(AND($F729&lt;=EOMONTH(DATE(PlanYear,2,1),0),IF(ISNUMBER($G729),$G729,$F729)&gt;=DATE(PlanYear,2,1)),1,0))</f>
        <v>0</v>
      </c>
      <c r="Q729">
        <f>IF($N729=0,0,IF(AND($F729&lt;=EOMONTH(DATE(PlanYear,3,1),0),IF(ISNUMBER($G729),$G729,$F729)&gt;=DATE(PlanYear,3,1)),1,0))</f>
        <v>0</v>
      </c>
      <c r="R729">
        <f>IF($N729=0,0,IF(AND($F729&lt;=EOMONTH(DATE(PlanYear,4,1),0),IF(ISNUMBER($G729),$G729,$F729)&gt;=DATE(PlanYear,4,1)),1,0))</f>
        <v>0</v>
      </c>
      <c r="S729">
        <f>IF($N729=0,0,IF(AND($F729&lt;=EOMONTH(DATE(PlanYear,5,1),0),IF(ISNUMBER($G729),$G729,$F729)&gt;=DATE(PlanYear,5,1)),1,0))</f>
        <v>0</v>
      </c>
      <c r="T729">
        <f>IF($N729=0,0,IF(AND($F729&lt;=EOMONTH(DATE(PlanYear,6,1),0),IF(ISNUMBER($G729),$G729,$F729)&gt;=DATE(PlanYear,6,1)),1,0))</f>
        <v>0</v>
      </c>
      <c r="U729">
        <f>IF($N729=0,0,IF(AND($F729&lt;=EOMONTH(DATE(PlanYear,7,1),0),IF(ISNUMBER($G729),$G729,$F729)&gt;=DATE(PlanYear,7,1)),1,0))</f>
        <v>0</v>
      </c>
      <c r="V729">
        <f>IF($N729=0,0,IF(AND($F729&lt;=EOMONTH(DATE(PlanYear,8,1),0),IF(ISNUMBER($G729),$G729,$F729)&gt;=DATE(PlanYear,8,1)),1,0))</f>
        <v>0</v>
      </c>
      <c r="W729">
        <f>IF($N729=0,0,IF(AND($F729&lt;=EOMONTH(DATE(PlanYear,9,1),0),IF(ISNUMBER($G729),$G729,$F729)&gt;=DATE(PlanYear,9,1)),1,0))</f>
        <v>0</v>
      </c>
      <c r="X729">
        <f>IF($N729=0,0,IF(AND($F729&lt;=EOMONTH(DATE(PlanYear,10,1),0),IF(ISNUMBER($G729),$G729,$F729)&gt;=DATE(PlanYear,10,1)),1,0))</f>
        <v>0</v>
      </c>
      <c r="Y729">
        <f>IF($N729=0,0,IF(AND($F729&lt;=EOMONTH(DATE(PlanYear,11,1),0),IF(ISNUMBER($G729),$G729,$F729)&gt;=DATE(PlanYear,11,1)),1,0))</f>
        <v>0</v>
      </c>
      <c r="Z729">
        <f>IF($N729=0,0,IF(AND($F729&lt;=EOMONTH(DATE(PlanYear,12,1),0),IF(ISNUMBER($G729),$G729,$F729)&gt;=DATE(PlanYear,12,1)),1,0))</f>
        <v>0</v>
      </c>
      <c r="AA729">
        <f>SUM($O729:$Z729)</f>
        <v>0</v>
      </c>
    </row>
    <row r="730" spans="1:27">
      <c r="A730" s="42">
        <f>IF($B730="","","ACT-"&amp;TEXT(ROW()-4,"000"))</f>
        <v>0</v>
      </c>
      <c r="M730" s="43">
        <f>IF(COUNTA($B730:$K730)=0,"",IF($B730="","Missing activity name",IF($C730="","Missing practice",IF(COUNTIF(PracticeNames,$C730)=0,"Practice not in Lists",IF($D730="","Missing motion",IF(NOT(ISNUMBER($F730)),"Missing or invalid start date",IF(AND(ISNUMBER($G730),$G730&lt;$F730),"End date before start",IF(AND($N730=1,$AA730=0),"Outside planning year","OK"))))))))</f>
        <v>0</v>
      </c>
      <c r="N730">
        <f>IF(AND($B730&lt;&gt;"",$C730&lt;&gt;"",$D730&lt;&gt;"",ISNUMBER($F730),COUNTIF(PracticeNames,$C730)&gt;0,COUNTIF(MotionNames,$D730)&gt;0,NOT(AND(ISNUMBER($G730),$G730&lt;$F730))),IF(StatusFilter="All (excl. Cancelled)",IF($H730="Cancelled",0,1),IF(StatusFilter="All",1,IF($H730=StatusFilter,1,0))),0)</f>
        <v>0</v>
      </c>
      <c r="O730">
        <f>IF($N730=0,0,IF(AND($F730&lt;=EOMONTH(DATE(PlanYear,1,1),0),IF(ISNUMBER($G730),$G730,$F730)&gt;=DATE(PlanYear,1,1)),1,0))</f>
        <v>0</v>
      </c>
      <c r="P730">
        <f>IF($N730=0,0,IF(AND($F730&lt;=EOMONTH(DATE(PlanYear,2,1),0),IF(ISNUMBER($G730),$G730,$F730)&gt;=DATE(PlanYear,2,1)),1,0))</f>
        <v>0</v>
      </c>
      <c r="Q730">
        <f>IF($N730=0,0,IF(AND($F730&lt;=EOMONTH(DATE(PlanYear,3,1),0),IF(ISNUMBER($G730),$G730,$F730)&gt;=DATE(PlanYear,3,1)),1,0))</f>
        <v>0</v>
      </c>
      <c r="R730">
        <f>IF($N730=0,0,IF(AND($F730&lt;=EOMONTH(DATE(PlanYear,4,1),0),IF(ISNUMBER($G730),$G730,$F730)&gt;=DATE(PlanYear,4,1)),1,0))</f>
        <v>0</v>
      </c>
      <c r="S730">
        <f>IF($N730=0,0,IF(AND($F730&lt;=EOMONTH(DATE(PlanYear,5,1),0),IF(ISNUMBER($G730),$G730,$F730)&gt;=DATE(PlanYear,5,1)),1,0))</f>
        <v>0</v>
      </c>
      <c r="T730">
        <f>IF($N730=0,0,IF(AND($F730&lt;=EOMONTH(DATE(PlanYear,6,1),0),IF(ISNUMBER($G730),$G730,$F730)&gt;=DATE(PlanYear,6,1)),1,0))</f>
        <v>0</v>
      </c>
      <c r="U730">
        <f>IF($N730=0,0,IF(AND($F730&lt;=EOMONTH(DATE(PlanYear,7,1),0),IF(ISNUMBER($G730),$G730,$F730)&gt;=DATE(PlanYear,7,1)),1,0))</f>
        <v>0</v>
      </c>
      <c r="V730">
        <f>IF($N730=0,0,IF(AND($F730&lt;=EOMONTH(DATE(PlanYear,8,1),0),IF(ISNUMBER($G730),$G730,$F730)&gt;=DATE(PlanYear,8,1)),1,0))</f>
        <v>0</v>
      </c>
      <c r="W730">
        <f>IF($N730=0,0,IF(AND($F730&lt;=EOMONTH(DATE(PlanYear,9,1),0),IF(ISNUMBER($G730),$G730,$F730)&gt;=DATE(PlanYear,9,1)),1,0))</f>
        <v>0</v>
      </c>
      <c r="X730">
        <f>IF($N730=0,0,IF(AND($F730&lt;=EOMONTH(DATE(PlanYear,10,1),0),IF(ISNUMBER($G730),$G730,$F730)&gt;=DATE(PlanYear,10,1)),1,0))</f>
        <v>0</v>
      </c>
      <c r="Y730">
        <f>IF($N730=0,0,IF(AND($F730&lt;=EOMONTH(DATE(PlanYear,11,1),0),IF(ISNUMBER($G730),$G730,$F730)&gt;=DATE(PlanYear,11,1)),1,0))</f>
        <v>0</v>
      </c>
      <c r="Z730">
        <f>IF($N730=0,0,IF(AND($F730&lt;=EOMONTH(DATE(PlanYear,12,1),0),IF(ISNUMBER($G730),$G730,$F730)&gt;=DATE(PlanYear,12,1)),1,0))</f>
        <v>0</v>
      </c>
      <c r="AA730">
        <f>SUM($O730:$Z730)</f>
        <v>0</v>
      </c>
    </row>
    <row r="731" spans="1:27">
      <c r="A731" s="42">
        <f>IF($B731="","","ACT-"&amp;TEXT(ROW()-4,"000"))</f>
        <v>0</v>
      </c>
      <c r="M731" s="43">
        <f>IF(COUNTA($B731:$K731)=0,"",IF($B731="","Missing activity name",IF($C731="","Missing practice",IF(COUNTIF(PracticeNames,$C731)=0,"Practice not in Lists",IF($D731="","Missing motion",IF(NOT(ISNUMBER($F731)),"Missing or invalid start date",IF(AND(ISNUMBER($G731),$G731&lt;$F731),"End date before start",IF(AND($N731=1,$AA731=0),"Outside planning year","OK"))))))))</f>
        <v>0</v>
      </c>
      <c r="N731">
        <f>IF(AND($B731&lt;&gt;"",$C731&lt;&gt;"",$D731&lt;&gt;"",ISNUMBER($F731),COUNTIF(PracticeNames,$C731)&gt;0,COUNTIF(MotionNames,$D731)&gt;0,NOT(AND(ISNUMBER($G731),$G731&lt;$F731))),IF(StatusFilter="All (excl. Cancelled)",IF($H731="Cancelled",0,1),IF(StatusFilter="All",1,IF($H731=StatusFilter,1,0))),0)</f>
        <v>0</v>
      </c>
      <c r="O731">
        <f>IF($N731=0,0,IF(AND($F731&lt;=EOMONTH(DATE(PlanYear,1,1),0),IF(ISNUMBER($G731),$G731,$F731)&gt;=DATE(PlanYear,1,1)),1,0))</f>
        <v>0</v>
      </c>
      <c r="P731">
        <f>IF($N731=0,0,IF(AND($F731&lt;=EOMONTH(DATE(PlanYear,2,1),0),IF(ISNUMBER($G731),$G731,$F731)&gt;=DATE(PlanYear,2,1)),1,0))</f>
        <v>0</v>
      </c>
      <c r="Q731">
        <f>IF($N731=0,0,IF(AND($F731&lt;=EOMONTH(DATE(PlanYear,3,1),0),IF(ISNUMBER($G731),$G731,$F731)&gt;=DATE(PlanYear,3,1)),1,0))</f>
        <v>0</v>
      </c>
      <c r="R731">
        <f>IF($N731=0,0,IF(AND($F731&lt;=EOMONTH(DATE(PlanYear,4,1),0),IF(ISNUMBER($G731),$G731,$F731)&gt;=DATE(PlanYear,4,1)),1,0))</f>
        <v>0</v>
      </c>
      <c r="S731">
        <f>IF($N731=0,0,IF(AND($F731&lt;=EOMONTH(DATE(PlanYear,5,1),0),IF(ISNUMBER($G731),$G731,$F731)&gt;=DATE(PlanYear,5,1)),1,0))</f>
        <v>0</v>
      </c>
      <c r="T731">
        <f>IF($N731=0,0,IF(AND($F731&lt;=EOMONTH(DATE(PlanYear,6,1),0),IF(ISNUMBER($G731),$G731,$F731)&gt;=DATE(PlanYear,6,1)),1,0))</f>
        <v>0</v>
      </c>
      <c r="U731">
        <f>IF($N731=0,0,IF(AND($F731&lt;=EOMONTH(DATE(PlanYear,7,1),0),IF(ISNUMBER($G731),$G731,$F731)&gt;=DATE(PlanYear,7,1)),1,0))</f>
        <v>0</v>
      </c>
      <c r="V731">
        <f>IF($N731=0,0,IF(AND($F731&lt;=EOMONTH(DATE(PlanYear,8,1),0),IF(ISNUMBER($G731),$G731,$F731)&gt;=DATE(PlanYear,8,1)),1,0))</f>
        <v>0</v>
      </c>
      <c r="W731">
        <f>IF($N731=0,0,IF(AND($F731&lt;=EOMONTH(DATE(PlanYear,9,1),0),IF(ISNUMBER($G731),$G731,$F731)&gt;=DATE(PlanYear,9,1)),1,0))</f>
        <v>0</v>
      </c>
      <c r="X731">
        <f>IF($N731=0,0,IF(AND($F731&lt;=EOMONTH(DATE(PlanYear,10,1),0),IF(ISNUMBER($G731),$G731,$F731)&gt;=DATE(PlanYear,10,1)),1,0))</f>
        <v>0</v>
      </c>
      <c r="Y731">
        <f>IF($N731=0,0,IF(AND($F731&lt;=EOMONTH(DATE(PlanYear,11,1),0),IF(ISNUMBER($G731),$G731,$F731)&gt;=DATE(PlanYear,11,1)),1,0))</f>
        <v>0</v>
      </c>
      <c r="Z731">
        <f>IF($N731=0,0,IF(AND($F731&lt;=EOMONTH(DATE(PlanYear,12,1),0),IF(ISNUMBER($G731),$G731,$F731)&gt;=DATE(PlanYear,12,1)),1,0))</f>
        <v>0</v>
      </c>
      <c r="AA731">
        <f>SUM($O731:$Z731)</f>
        <v>0</v>
      </c>
    </row>
    <row r="732" spans="1:27">
      <c r="A732" s="42">
        <f>IF($B732="","","ACT-"&amp;TEXT(ROW()-4,"000"))</f>
        <v>0</v>
      </c>
      <c r="M732" s="43">
        <f>IF(COUNTA($B732:$K732)=0,"",IF($B732="","Missing activity name",IF($C732="","Missing practice",IF(COUNTIF(PracticeNames,$C732)=0,"Practice not in Lists",IF($D732="","Missing motion",IF(NOT(ISNUMBER($F732)),"Missing or invalid start date",IF(AND(ISNUMBER($G732),$G732&lt;$F732),"End date before start",IF(AND($N732=1,$AA732=0),"Outside planning year","OK"))))))))</f>
        <v>0</v>
      </c>
      <c r="N732">
        <f>IF(AND($B732&lt;&gt;"",$C732&lt;&gt;"",$D732&lt;&gt;"",ISNUMBER($F732),COUNTIF(PracticeNames,$C732)&gt;0,COUNTIF(MotionNames,$D732)&gt;0,NOT(AND(ISNUMBER($G732),$G732&lt;$F732))),IF(StatusFilter="All (excl. Cancelled)",IF($H732="Cancelled",0,1),IF(StatusFilter="All",1,IF($H732=StatusFilter,1,0))),0)</f>
        <v>0</v>
      </c>
      <c r="O732">
        <f>IF($N732=0,0,IF(AND($F732&lt;=EOMONTH(DATE(PlanYear,1,1),0),IF(ISNUMBER($G732),$G732,$F732)&gt;=DATE(PlanYear,1,1)),1,0))</f>
        <v>0</v>
      </c>
      <c r="P732">
        <f>IF($N732=0,0,IF(AND($F732&lt;=EOMONTH(DATE(PlanYear,2,1),0),IF(ISNUMBER($G732),$G732,$F732)&gt;=DATE(PlanYear,2,1)),1,0))</f>
        <v>0</v>
      </c>
      <c r="Q732">
        <f>IF($N732=0,0,IF(AND($F732&lt;=EOMONTH(DATE(PlanYear,3,1),0),IF(ISNUMBER($G732),$G732,$F732)&gt;=DATE(PlanYear,3,1)),1,0))</f>
        <v>0</v>
      </c>
      <c r="R732">
        <f>IF($N732=0,0,IF(AND($F732&lt;=EOMONTH(DATE(PlanYear,4,1),0),IF(ISNUMBER($G732),$G732,$F732)&gt;=DATE(PlanYear,4,1)),1,0))</f>
        <v>0</v>
      </c>
      <c r="S732">
        <f>IF($N732=0,0,IF(AND($F732&lt;=EOMONTH(DATE(PlanYear,5,1),0),IF(ISNUMBER($G732),$G732,$F732)&gt;=DATE(PlanYear,5,1)),1,0))</f>
        <v>0</v>
      </c>
      <c r="T732">
        <f>IF($N732=0,0,IF(AND($F732&lt;=EOMONTH(DATE(PlanYear,6,1),0),IF(ISNUMBER($G732),$G732,$F732)&gt;=DATE(PlanYear,6,1)),1,0))</f>
        <v>0</v>
      </c>
      <c r="U732">
        <f>IF($N732=0,0,IF(AND($F732&lt;=EOMONTH(DATE(PlanYear,7,1),0),IF(ISNUMBER($G732),$G732,$F732)&gt;=DATE(PlanYear,7,1)),1,0))</f>
        <v>0</v>
      </c>
      <c r="V732">
        <f>IF($N732=0,0,IF(AND($F732&lt;=EOMONTH(DATE(PlanYear,8,1),0),IF(ISNUMBER($G732),$G732,$F732)&gt;=DATE(PlanYear,8,1)),1,0))</f>
        <v>0</v>
      </c>
      <c r="W732">
        <f>IF($N732=0,0,IF(AND($F732&lt;=EOMONTH(DATE(PlanYear,9,1),0),IF(ISNUMBER($G732),$G732,$F732)&gt;=DATE(PlanYear,9,1)),1,0))</f>
        <v>0</v>
      </c>
      <c r="X732">
        <f>IF($N732=0,0,IF(AND($F732&lt;=EOMONTH(DATE(PlanYear,10,1),0),IF(ISNUMBER($G732),$G732,$F732)&gt;=DATE(PlanYear,10,1)),1,0))</f>
        <v>0</v>
      </c>
      <c r="Y732">
        <f>IF($N732=0,0,IF(AND($F732&lt;=EOMONTH(DATE(PlanYear,11,1),0),IF(ISNUMBER($G732),$G732,$F732)&gt;=DATE(PlanYear,11,1)),1,0))</f>
        <v>0</v>
      </c>
      <c r="Z732">
        <f>IF($N732=0,0,IF(AND($F732&lt;=EOMONTH(DATE(PlanYear,12,1),0),IF(ISNUMBER($G732),$G732,$F732)&gt;=DATE(PlanYear,12,1)),1,0))</f>
        <v>0</v>
      </c>
      <c r="AA732">
        <f>SUM($O732:$Z732)</f>
        <v>0</v>
      </c>
    </row>
    <row r="733" spans="1:27">
      <c r="A733" s="42">
        <f>IF($B733="","","ACT-"&amp;TEXT(ROW()-4,"000"))</f>
        <v>0</v>
      </c>
      <c r="M733" s="43">
        <f>IF(COUNTA($B733:$K733)=0,"",IF($B733="","Missing activity name",IF($C733="","Missing practice",IF(COUNTIF(PracticeNames,$C733)=0,"Practice not in Lists",IF($D733="","Missing motion",IF(NOT(ISNUMBER($F733)),"Missing or invalid start date",IF(AND(ISNUMBER($G733),$G733&lt;$F733),"End date before start",IF(AND($N733=1,$AA733=0),"Outside planning year","OK"))))))))</f>
        <v>0</v>
      </c>
      <c r="N733">
        <f>IF(AND($B733&lt;&gt;"",$C733&lt;&gt;"",$D733&lt;&gt;"",ISNUMBER($F733),COUNTIF(PracticeNames,$C733)&gt;0,COUNTIF(MotionNames,$D733)&gt;0,NOT(AND(ISNUMBER($G733),$G733&lt;$F733))),IF(StatusFilter="All (excl. Cancelled)",IF($H733="Cancelled",0,1),IF(StatusFilter="All",1,IF($H733=StatusFilter,1,0))),0)</f>
        <v>0</v>
      </c>
      <c r="O733">
        <f>IF($N733=0,0,IF(AND($F733&lt;=EOMONTH(DATE(PlanYear,1,1),0),IF(ISNUMBER($G733),$G733,$F733)&gt;=DATE(PlanYear,1,1)),1,0))</f>
        <v>0</v>
      </c>
      <c r="P733">
        <f>IF($N733=0,0,IF(AND($F733&lt;=EOMONTH(DATE(PlanYear,2,1),0),IF(ISNUMBER($G733),$G733,$F733)&gt;=DATE(PlanYear,2,1)),1,0))</f>
        <v>0</v>
      </c>
      <c r="Q733">
        <f>IF($N733=0,0,IF(AND($F733&lt;=EOMONTH(DATE(PlanYear,3,1),0),IF(ISNUMBER($G733),$G733,$F733)&gt;=DATE(PlanYear,3,1)),1,0))</f>
        <v>0</v>
      </c>
      <c r="R733">
        <f>IF($N733=0,0,IF(AND($F733&lt;=EOMONTH(DATE(PlanYear,4,1),0),IF(ISNUMBER($G733),$G733,$F733)&gt;=DATE(PlanYear,4,1)),1,0))</f>
        <v>0</v>
      </c>
      <c r="S733">
        <f>IF($N733=0,0,IF(AND($F733&lt;=EOMONTH(DATE(PlanYear,5,1),0),IF(ISNUMBER($G733),$G733,$F733)&gt;=DATE(PlanYear,5,1)),1,0))</f>
        <v>0</v>
      </c>
      <c r="T733">
        <f>IF($N733=0,0,IF(AND($F733&lt;=EOMONTH(DATE(PlanYear,6,1),0),IF(ISNUMBER($G733),$G733,$F733)&gt;=DATE(PlanYear,6,1)),1,0))</f>
        <v>0</v>
      </c>
      <c r="U733">
        <f>IF($N733=0,0,IF(AND($F733&lt;=EOMONTH(DATE(PlanYear,7,1),0),IF(ISNUMBER($G733),$G733,$F733)&gt;=DATE(PlanYear,7,1)),1,0))</f>
        <v>0</v>
      </c>
      <c r="V733">
        <f>IF($N733=0,0,IF(AND($F733&lt;=EOMONTH(DATE(PlanYear,8,1),0),IF(ISNUMBER($G733),$G733,$F733)&gt;=DATE(PlanYear,8,1)),1,0))</f>
        <v>0</v>
      </c>
      <c r="W733">
        <f>IF($N733=0,0,IF(AND($F733&lt;=EOMONTH(DATE(PlanYear,9,1),0),IF(ISNUMBER($G733),$G733,$F733)&gt;=DATE(PlanYear,9,1)),1,0))</f>
        <v>0</v>
      </c>
      <c r="X733">
        <f>IF($N733=0,0,IF(AND($F733&lt;=EOMONTH(DATE(PlanYear,10,1),0),IF(ISNUMBER($G733),$G733,$F733)&gt;=DATE(PlanYear,10,1)),1,0))</f>
        <v>0</v>
      </c>
      <c r="Y733">
        <f>IF($N733=0,0,IF(AND($F733&lt;=EOMONTH(DATE(PlanYear,11,1),0),IF(ISNUMBER($G733),$G733,$F733)&gt;=DATE(PlanYear,11,1)),1,0))</f>
        <v>0</v>
      </c>
      <c r="Z733">
        <f>IF($N733=0,0,IF(AND($F733&lt;=EOMONTH(DATE(PlanYear,12,1),0),IF(ISNUMBER($G733),$G733,$F733)&gt;=DATE(PlanYear,12,1)),1,0))</f>
        <v>0</v>
      </c>
      <c r="AA733">
        <f>SUM($O733:$Z733)</f>
        <v>0</v>
      </c>
    </row>
    <row r="734" spans="1:27">
      <c r="A734" s="42">
        <f>IF($B734="","","ACT-"&amp;TEXT(ROW()-4,"000"))</f>
        <v>0</v>
      </c>
      <c r="M734" s="43">
        <f>IF(COUNTA($B734:$K734)=0,"",IF($B734="","Missing activity name",IF($C734="","Missing practice",IF(COUNTIF(PracticeNames,$C734)=0,"Practice not in Lists",IF($D734="","Missing motion",IF(NOT(ISNUMBER($F734)),"Missing or invalid start date",IF(AND(ISNUMBER($G734),$G734&lt;$F734),"End date before start",IF(AND($N734=1,$AA734=0),"Outside planning year","OK"))))))))</f>
        <v>0</v>
      </c>
      <c r="N734">
        <f>IF(AND($B734&lt;&gt;"",$C734&lt;&gt;"",$D734&lt;&gt;"",ISNUMBER($F734),COUNTIF(PracticeNames,$C734)&gt;0,COUNTIF(MotionNames,$D734)&gt;0,NOT(AND(ISNUMBER($G734),$G734&lt;$F734))),IF(StatusFilter="All (excl. Cancelled)",IF($H734="Cancelled",0,1),IF(StatusFilter="All",1,IF($H734=StatusFilter,1,0))),0)</f>
        <v>0</v>
      </c>
      <c r="O734">
        <f>IF($N734=0,0,IF(AND($F734&lt;=EOMONTH(DATE(PlanYear,1,1),0),IF(ISNUMBER($G734),$G734,$F734)&gt;=DATE(PlanYear,1,1)),1,0))</f>
        <v>0</v>
      </c>
      <c r="P734">
        <f>IF($N734=0,0,IF(AND($F734&lt;=EOMONTH(DATE(PlanYear,2,1),0),IF(ISNUMBER($G734),$G734,$F734)&gt;=DATE(PlanYear,2,1)),1,0))</f>
        <v>0</v>
      </c>
      <c r="Q734">
        <f>IF($N734=0,0,IF(AND($F734&lt;=EOMONTH(DATE(PlanYear,3,1),0),IF(ISNUMBER($G734),$G734,$F734)&gt;=DATE(PlanYear,3,1)),1,0))</f>
        <v>0</v>
      </c>
      <c r="R734">
        <f>IF($N734=0,0,IF(AND($F734&lt;=EOMONTH(DATE(PlanYear,4,1),0),IF(ISNUMBER($G734),$G734,$F734)&gt;=DATE(PlanYear,4,1)),1,0))</f>
        <v>0</v>
      </c>
      <c r="S734">
        <f>IF($N734=0,0,IF(AND($F734&lt;=EOMONTH(DATE(PlanYear,5,1),0),IF(ISNUMBER($G734),$G734,$F734)&gt;=DATE(PlanYear,5,1)),1,0))</f>
        <v>0</v>
      </c>
      <c r="T734">
        <f>IF($N734=0,0,IF(AND($F734&lt;=EOMONTH(DATE(PlanYear,6,1),0),IF(ISNUMBER($G734),$G734,$F734)&gt;=DATE(PlanYear,6,1)),1,0))</f>
        <v>0</v>
      </c>
      <c r="U734">
        <f>IF($N734=0,0,IF(AND($F734&lt;=EOMONTH(DATE(PlanYear,7,1),0),IF(ISNUMBER($G734),$G734,$F734)&gt;=DATE(PlanYear,7,1)),1,0))</f>
        <v>0</v>
      </c>
      <c r="V734">
        <f>IF($N734=0,0,IF(AND($F734&lt;=EOMONTH(DATE(PlanYear,8,1),0),IF(ISNUMBER($G734),$G734,$F734)&gt;=DATE(PlanYear,8,1)),1,0))</f>
        <v>0</v>
      </c>
      <c r="W734">
        <f>IF($N734=0,0,IF(AND($F734&lt;=EOMONTH(DATE(PlanYear,9,1),0),IF(ISNUMBER($G734),$G734,$F734)&gt;=DATE(PlanYear,9,1)),1,0))</f>
        <v>0</v>
      </c>
      <c r="X734">
        <f>IF($N734=0,0,IF(AND($F734&lt;=EOMONTH(DATE(PlanYear,10,1),0),IF(ISNUMBER($G734),$G734,$F734)&gt;=DATE(PlanYear,10,1)),1,0))</f>
        <v>0</v>
      </c>
      <c r="Y734">
        <f>IF($N734=0,0,IF(AND($F734&lt;=EOMONTH(DATE(PlanYear,11,1),0),IF(ISNUMBER($G734),$G734,$F734)&gt;=DATE(PlanYear,11,1)),1,0))</f>
        <v>0</v>
      </c>
      <c r="Z734">
        <f>IF($N734=0,0,IF(AND($F734&lt;=EOMONTH(DATE(PlanYear,12,1),0),IF(ISNUMBER($G734),$G734,$F734)&gt;=DATE(PlanYear,12,1)),1,0))</f>
        <v>0</v>
      </c>
      <c r="AA734">
        <f>SUM($O734:$Z734)</f>
        <v>0</v>
      </c>
    </row>
    <row r="735" spans="1:27">
      <c r="A735" s="42">
        <f>IF($B735="","","ACT-"&amp;TEXT(ROW()-4,"000"))</f>
        <v>0</v>
      </c>
      <c r="M735" s="43">
        <f>IF(COUNTA($B735:$K735)=0,"",IF($B735="","Missing activity name",IF($C735="","Missing practice",IF(COUNTIF(PracticeNames,$C735)=0,"Practice not in Lists",IF($D735="","Missing motion",IF(NOT(ISNUMBER($F735)),"Missing or invalid start date",IF(AND(ISNUMBER($G735),$G735&lt;$F735),"End date before start",IF(AND($N735=1,$AA735=0),"Outside planning year","OK"))))))))</f>
        <v>0</v>
      </c>
      <c r="N735">
        <f>IF(AND($B735&lt;&gt;"",$C735&lt;&gt;"",$D735&lt;&gt;"",ISNUMBER($F735),COUNTIF(PracticeNames,$C735)&gt;0,COUNTIF(MotionNames,$D735)&gt;0,NOT(AND(ISNUMBER($G735),$G735&lt;$F735))),IF(StatusFilter="All (excl. Cancelled)",IF($H735="Cancelled",0,1),IF(StatusFilter="All",1,IF($H735=StatusFilter,1,0))),0)</f>
        <v>0</v>
      </c>
      <c r="O735">
        <f>IF($N735=0,0,IF(AND($F735&lt;=EOMONTH(DATE(PlanYear,1,1),0),IF(ISNUMBER($G735),$G735,$F735)&gt;=DATE(PlanYear,1,1)),1,0))</f>
        <v>0</v>
      </c>
      <c r="P735">
        <f>IF($N735=0,0,IF(AND($F735&lt;=EOMONTH(DATE(PlanYear,2,1),0),IF(ISNUMBER($G735),$G735,$F735)&gt;=DATE(PlanYear,2,1)),1,0))</f>
        <v>0</v>
      </c>
      <c r="Q735">
        <f>IF($N735=0,0,IF(AND($F735&lt;=EOMONTH(DATE(PlanYear,3,1),0),IF(ISNUMBER($G735),$G735,$F735)&gt;=DATE(PlanYear,3,1)),1,0))</f>
        <v>0</v>
      </c>
      <c r="R735">
        <f>IF($N735=0,0,IF(AND($F735&lt;=EOMONTH(DATE(PlanYear,4,1),0),IF(ISNUMBER($G735),$G735,$F735)&gt;=DATE(PlanYear,4,1)),1,0))</f>
        <v>0</v>
      </c>
      <c r="S735">
        <f>IF($N735=0,0,IF(AND($F735&lt;=EOMONTH(DATE(PlanYear,5,1),0),IF(ISNUMBER($G735),$G735,$F735)&gt;=DATE(PlanYear,5,1)),1,0))</f>
        <v>0</v>
      </c>
      <c r="T735">
        <f>IF($N735=0,0,IF(AND($F735&lt;=EOMONTH(DATE(PlanYear,6,1),0),IF(ISNUMBER($G735),$G735,$F735)&gt;=DATE(PlanYear,6,1)),1,0))</f>
        <v>0</v>
      </c>
      <c r="U735">
        <f>IF($N735=0,0,IF(AND($F735&lt;=EOMONTH(DATE(PlanYear,7,1),0),IF(ISNUMBER($G735),$G735,$F735)&gt;=DATE(PlanYear,7,1)),1,0))</f>
        <v>0</v>
      </c>
      <c r="V735">
        <f>IF($N735=0,0,IF(AND($F735&lt;=EOMONTH(DATE(PlanYear,8,1),0),IF(ISNUMBER($G735),$G735,$F735)&gt;=DATE(PlanYear,8,1)),1,0))</f>
        <v>0</v>
      </c>
      <c r="W735">
        <f>IF($N735=0,0,IF(AND($F735&lt;=EOMONTH(DATE(PlanYear,9,1),0),IF(ISNUMBER($G735),$G735,$F735)&gt;=DATE(PlanYear,9,1)),1,0))</f>
        <v>0</v>
      </c>
      <c r="X735">
        <f>IF($N735=0,0,IF(AND($F735&lt;=EOMONTH(DATE(PlanYear,10,1),0),IF(ISNUMBER($G735),$G735,$F735)&gt;=DATE(PlanYear,10,1)),1,0))</f>
        <v>0</v>
      </c>
      <c r="Y735">
        <f>IF($N735=0,0,IF(AND($F735&lt;=EOMONTH(DATE(PlanYear,11,1),0),IF(ISNUMBER($G735),$G735,$F735)&gt;=DATE(PlanYear,11,1)),1,0))</f>
        <v>0</v>
      </c>
      <c r="Z735">
        <f>IF($N735=0,0,IF(AND($F735&lt;=EOMONTH(DATE(PlanYear,12,1),0),IF(ISNUMBER($G735),$G735,$F735)&gt;=DATE(PlanYear,12,1)),1,0))</f>
        <v>0</v>
      </c>
      <c r="AA735">
        <f>SUM($O735:$Z735)</f>
        <v>0</v>
      </c>
    </row>
    <row r="736" spans="1:27">
      <c r="A736" s="42">
        <f>IF($B736="","","ACT-"&amp;TEXT(ROW()-4,"000"))</f>
        <v>0</v>
      </c>
      <c r="M736" s="43">
        <f>IF(COUNTA($B736:$K736)=0,"",IF($B736="","Missing activity name",IF($C736="","Missing practice",IF(COUNTIF(PracticeNames,$C736)=0,"Practice not in Lists",IF($D736="","Missing motion",IF(NOT(ISNUMBER($F736)),"Missing or invalid start date",IF(AND(ISNUMBER($G736),$G736&lt;$F736),"End date before start",IF(AND($N736=1,$AA736=0),"Outside planning year","OK"))))))))</f>
        <v>0</v>
      </c>
      <c r="N736">
        <f>IF(AND($B736&lt;&gt;"",$C736&lt;&gt;"",$D736&lt;&gt;"",ISNUMBER($F736),COUNTIF(PracticeNames,$C736)&gt;0,COUNTIF(MotionNames,$D736)&gt;0,NOT(AND(ISNUMBER($G736),$G736&lt;$F736))),IF(StatusFilter="All (excl. Cancelled)",IF($H736="Cancelled",0,1),IF(StatusFilter="All",1,IF($H736=StatusFilter,1,0))),0)</f>
        <v>0</v>
      </c>
      <c r="O736">
        <f>IF($N736=0,0,IF(AND($F736&lt;=EOMONTH(DATE(PlanYear,1,1),0),IF(ISNUMBER($G736),$G736,$F736)&gt;=DATE(PlanYear,1,1)),1,0))</f>
        <v>0</v>
      </c>
      <c r="P736">
        <f>IF($N736=0,0,IF(AND($F736&lt;=EOMONTH(DATE(PlanYear,2,1),0),IF(ISNUMBER($G736),$G736,$F736)&gt;=DATE(PlanYear,2,1)),1,0))</f>
        <v>0</v>
      </c>
      <c r="Q736">
        <f>IF($N736=0,0,IF(AND($F736&lt;=EOMONTH(DATE(PlanYear,3,1),0),IF(ISNUMBER($G736),$G736,$F736)&gt;=DATE(PlanYear,3,1)),1,0))</f>
        <v>0</v>
      </c>
      <c r="R736">
        <f>IF($N736=0,0,IF(AND($F736&lt;=EOMONTH(DATE(PlanYear,4,1),0),IF(ISNUMBER($G736),$G736,$F736)&gt;=DATE(PlanYear,4,1)),1,0))</f>
        <v>0</v>
      </c>
      <c r="S736">
        <f>IF($N736=0,0,IF(AND($F736&lt;=EOMONTH(DATE(PlanYear,5,1),0),IF(ISNUMBER($G736),$G736,$F736)&gt;=DATE(PlanYear,5,1)),1,0))</f>
        <v>0</v>
      </c>
      <c r="T736">
        <f>IF($N736=0,0,IF(AND($F736&lt;=EOMONTH(DATE(PlanYear,6,1),0),IF(ISNUMBER($G736),$G736,$F736)&gt;=DATE(PlanYear,6,1)),1,0))</f>
        <v>0</v>
      </c>
      <c r="U736">
        <f>IF($N736=0,0,IF(AND($F736&lt;=EOMONTH(DATE(PlanYear,7,1),0),IF(ISNUMBER($G736),$G736,$F736)&gt;=DATE(PlanYear,7,1)),1,0))</f>
        <v>0</v>
      </c>
      <c r="V736">
        <f>IF($N736=0,0,IF(AND($F736&lt;=EOMONTH(DATE(PlanYear,8,1),0),IF(ISNUMBER($G736),$G736,$F736)&gt;=DATE(PlanYear,8,1)),1,0))</f>
        <v>0</v>
      </c>
      <c r="W736">
        <f>IF($N736=0,0,IF(AND($F736&lt;=EOMONTH(DATE(PlanYear,9,1),0),IF(ISNUMBER($G736),$G736,$F736)&gt;=DATE(PlanYear,9,1)),1,0))</f>
        <v>0</v>
      </c>
      <c r="X736">
        <f>IF($N736=0,0,IF(AND($F736&lt;=EOMONTH(DATE(PlanYear,10,1),0),IF(ISNUMBER($G736),$G736,$F736)&gt;=DATE(PlanYear,10,1)),1,0))</f>
        <v>0</v>
      </c>
      <c r="Y736">
        <f>IF($N736=0,0,IF(AND($F736&lt;=EOMONTH(DATE(PlanYear,11,1),0),IF(ISNUMBER($G736),$G736,$F736)&gt;=DATE(PlanYear,11,1)),1,0))</f>
        <v>0</v>
      </c>
      <c r="Z736">
        <f>IF($N736=0,0,IF(AND($F736&lt;=EOMONTH(DATE(PlanYear,12,1),0),IF(ISNUMBER($G736),$G736,$F736)&gt;=DATE(PlanYear,12,1)),1,0))</f>
        <v>0</v>
      </c>
      <c r="AA736">
        <f>SUM($O736:$Z736)</f>
        <v>0</v>
      </c>
    </row>
    <row r="737" spans="1:27">
      <c r="A737" s="42">
        <f>IF($B737="","","ACT-"&amp;TEXT(ROW()-4,"000"))</f>
        <v>0</v>
      </c>
      <c r="M737" s="43">
        <f>IF(COUNTA($B737:$K737)=0,"",IF($B737="","Missing activity name",IF($C737="","Missing practice",IF(COUNTIF(PracticeNames,$C737)=0,"Practice not in Lists",IF($D737="","Missing motion",IF(NOT(ISNUMBER($F737)),"Missing or invalid start date",IF(AND(ISNUMBER($G737),$G737&lt;$F737),"End date before start",IF(AND($N737=1,$AA737=0),"Outside planning year","OK"))))))))</f>
        <v>0</v>
      </c>
      <c r="N737">
        <f>IF(AND($B737&lt;&gt;"",$C737&lt;&gt;"",$D737&lt;&gt;"",ISNUMBER($F737),COUNTIF(PracticeNames,$C737)&gt;0,COUNTIF(MotionNames,$D737)&gt;0,NOT(AND(ISNUMBER($G737),$G737&lt;$F737))),IF(StatusFilter="All (excl. Cancelled)",IF($H737="Cancelled",0,1),IF(StatusFilter="All",1,IF($H737=StatusFilter,1,0))),0)</f>
        <v>0</v>
      </c>
      <c r="O737">
        <f>IF($N737=0,0,IF(AND($F737&lt;=EOMONTH(DATE(PlanYear,1,1),0),IF(ISNUMBER($G737),$G737,$F737)&gt;=DATE(PlanYear,1,1)),1,0))</f>
        <v>0</v>
      </c>
      <c r="P737">
        <f>IF($N737=0,0,IF(AND($F737&lt;=EOMONTH(DATE(PlanYear,2,1),0),IF(ISNUMBER($G737),$G737,$F737)&gt;=DATE(PlanYear,2,1)),1,0))</f>
        <v>0</v>
      </c>
      <c r="Q737">
        <f>IF($N737=0,0,IF(AND($F737&lt;=EOMONTH(DATE(PlanYear,3,1),0),IF(ISNUMBER($G737),$G737,$F737)&gt;=DATE(PlanYear,3,1)),1,0))</f>
        <v>0</v>
      </c>
      <c r="R737">
        <f>IF($N737=0,0,IF(AND($F737&lt;=EOMONTH(DATE(PlanYear,4,1),0),IF(ISNUMBER($G737),$G737,$F737)&gt;=DATE(PlanYear,4,1)),1,0))</f>
        <v>0</v>
      </c>
      <c r="S737">
        <f>IF($N737=0,0,IF(AND($F737&lt;=EOMONTH(DATE(PlanYear,5,1),0),IF(ISNUMBER($G737),$G737,$F737)&gt;=DATE(PlanYear,5,1)),1,0))</f>
        <v>0</v>
      </c>
      <c r="T737">
        <f>IF($N737=0,0,IF(AND($F737&lt;=EOMONTH(DATE(PlanYear,6,1),0),IF(ISNUMBER($G737),$G737,$F737)&gt;=DATE(PlanYear,6,1)),1,0))</f>
        <v>0</v>
      </c>
      <c r="U737">
        <f>IF($N737=0,0,IF(AND($F737&lt;=EOMONTH(DATE(PlanYear,7,1),0),IF(ISNUMBER($G737),$G737,$F737)&gt;=DATE(PlanYear,7,1)),1,0))</f>
        <v>0</v>
      </c>
      <c r="V737">
        <f>IF($N737=0,0,IF(AND($F737&lt;=EOMONTH(DATE(PlanYear,8,1),0),IF(ISNUMBER($G737),$G737,$F737)&gt;=DATE(PlanYear,8,1)),1,0))</f>
        <v>0</v>
      </c>
      <c r="W737">
        <f>IF($N737=0,0,IF(AND($F737&lt;=EOMONTH(DATE(PlanYear,9,1),0),IF(ISNUMBER($G737),$G737,$F737)&gt;=DATE(PlanYear,9,1)),1,0))</f>
        <v>0</v>
      </c>
      <c r="X737">
        <f>IF($N737=0,0,IF(AND($F737&lt;=EOMONTH(DATE(PlanYear,10,1),0),IF(ISNUMBER($G737),$G737,$F737)&gt;=DATE(PlanYear,10,1)),1,0))</f>
        <v>0</v>
      </c>
      <c r="Y737">
        <f>IF($N737=0,0,IF(AND($F737&lt;=EOMONTH(DATE(PlanYear,11,1),0),IF(ISNUMBER($G737),$G737,$F737)&gt;=DATE(PlanYear,11,1)),1,0))</f>
        <v>0</v>
      </c>
      <c r="Z737">
        <f>IF($N737=0,0,IF(AND($F737&lt;=EOMONTH(DATE(PlanYear,12,1),0),IF(ISNUMBER($G737),$G737,$F737)&gt;=DATE(PlanYear,12,1)),1,0))</f>
        <v>0</v>
      </c>
      <c r="AA737">
        <f>SUM($O737:$Z737)</f>
        <v>0</v>
      </c>
    </row>
    <row r="738" spans="1:27">
      <c r="A738" s="42">
        <f>IF($B738="","","ACT-"&amp;TEXT(ROW()-4,"000"))</f>
        <v>0</v>
      </c>
      <c r="M738" s="43">
        <f>IF(COUNTA($B738:$K738)=0,"",IF($B738="","Missing activity name",IF($C738="","Missing practice",IF(COUNTIF(PracticeNames,$C738)=0,"Practice not in Lists",IF($D738="","Missing motion",IF(NOT(ISNUMBER($F738)),"Missing or invalid start date",IF(AND(ISNUMBER($G738),$G738&lt;$F738),"End date before start",IF(AND($N738=1,$AA738=0),"Outside planning year","OK"))))))))</f>
        <v>0</v>
      </c>
      <c r="N738">
        <f>IF(AND($B738&lt;&gt;"",$C738&lt;&gt;"",$D738&lt;&gt;"",ISNUMBER($F738),COUNTIF(PracticeNames,$C738)&gt;0,COUNTIF(MotionNames,$D738)&gt;0,NOT(AND(ISNUMBER($G738),$G738&lt;$F738))),IF(StatusFilter="All (excl. Cancelled)",IF($H738="Cancelled",0,1),IF(StatusFilter="All",1,IF($H738=StatusFilter,1,0))),0)</f>
        <v>0</v>
      </c>
      <c r="O738">
        <f>IF($N738=0,0,IF(AND($F738&lt;=EOMONTH(DATE(PlanYear,1,1),0),IF(ISNUMBER($G738),$G738,$F738)&gt;=DATE(PlanYear,1,1)),1,0))</f>
        <v>0</v>
      </c>
      <c r="P738">
        <f>IF($N738=0,0,IF(AND($F738&lt;=EOMONTH(DATE(PlanYear,2,1),0),IF(ISNUMBER($G738),$G738,$F738)&gt;=DATE(PlanYear,2,1)),1,0))</f>
        <v>0</v>
      </c>
      <c r="Q738">
        <f>IF($N738=0,0,IF(AND($F738&lt;=EOMONTH(DATE(PlanYear,3,1),0),IF(ISNUMBER($G738),$G738,$F738)&gt;=DATE(PlanYear,3,1)),1,0))</f>
        <v>0</v>
      </c>
      <c r="R738">
        <f>IF($N738=0,0,IF(AND($F738&lt;=EOMONTH(DATE(PlanYear,4,1),0),IF(ISNUMBER($G738),$G738,$F738)&gt;=DATE(PlanYear,4,1)),1,0))</f>
        <v>0</v>
      </c>
      <c r="S738">
        <f>IF($N738=0,0,IF(AND($F738&lt;=EOMONTH(DATE(PlanYear,5,1),0),IF(ISNUMBER($G738),$G738,$F738)&gt;=DATE(PlanYear,5,1)),1,0))</f>
        <v>0</v>
      </c>
      <c r="T738">
        <f>IF($N738=0,0,IF(AND($F738&lt;=EOMONTH(DATE(PlanYear,6,1),0),IF(ISNUMBER($G738),$G738,$F738)&gt;=DATE(PlanYear,6,1)),1,0))</f>
        <v>0</v>
      </c>
      <c r="U738">
        <f>IF($N738=0,0,IF(AND($F738&lt;=EOMONTH(DATE(PlanYear,7,1),0),IF(ISNUMBER($G738),$G738,$F738)&gt;=DATE(PlanYear,7,1)),1,0))</f>
        <v>0</v>
      </c>
      <c r="V738">
        <f>IF($N738=0,0,IF(AND($F738&lt;=EOMONTH(DATE(PlanYear,8,1),0),IF(ISNUMBER($G738),$G738,$F738)&gt;=DATE(PlanYear,8,1)),1,0))</f>
        <v>0</v>
      </c>
      <c r="W738">
        <f>IF($N738=0,0,IF(AND($F738&lt;=EOMONTH(DATE(PlanYear,9,1),0),IF(ISNUMBER($G738),$G738,$F738)&gt;=DATE(PlanYear,9,1)),1,0))</f>
        <v>0</v>
      </c>
      <c r="X738">
        <f>IF($N738=0,0,IF(AND($F738&lt;=EOMONTH(DATE(PlanYear,10,1),0),IF(ISNUMBER($G738),$G738,$F738)&gt;=DATE(PlanYear,10,1)),1,0))</f>
        <v>0</v>
      </c>
      <c r="Y738">
        <f>IF($N738=0,0,IF(AND($F738&lt;=EOMONTH(DATE(PlanYear,11,1),0),IF(ISNUMBER($G738),$G738,$F738)&gt;=DATE(PlanYear,11,1)),1,0))</f>
        <v>0</v>
      </c>
      <c r="Z738">
        <f>IF($N738=0,0,IF(AND($F738&lt;=EOMONTH(DATE(PlanYear,12,1),0),IF(ISNUMBER($G738),$G738,$F738)&gt;=DATE(PlanYear,12,1)),1,0))</f>
        <v>0</v>
      </c>
      <c r="AA738">
        <f>SUM($O738:$Z738)</f>
        <v>0</v>
      </c>
    </row>
    <row r="739" spans="1:27">
      <c r="A739" s="42">
        <f>IF($B739="","","ACT-"&amp;TEXT(ROW()-4,"000"))</f>
        <v>0</v>
      </c>
      <c r="M739" s="43">
        <f>IF(COUNTA($B739:$K739)=0,"",IF($B739="","Missing activity name",IF($C739="","Missing practice",IF(COUNTIF(PracticeNames,$C739)=0,"Practice not in Lists",IF($D739="","Missing motion",IF(NOT(ISNUMBER($F739)),"Missing or invalid start date",IF(AND(ISNUMBER($G739),$G739&lt;$F739),"End date before start",IF(AND($N739=1,$AA739=0),"Outside planning year","OK"))))))))</f>
        <v>0</v>
      </c>
      <c r="N739">
        <f>IF(AND($B739&lt;&gt;"",$C739&lt;&gt;"",$D739&lt;&gt;"",ISNUMBER($F739),COUNTIF(PracticeNames,$C739)&gt;0,COUNTIF(MotionNames,$D739)&gt;0,NOT(AND(ISNUMBER($G739),$G739&lt;$F739))),IF(StatusFilter="All (excl. Cancelled)",IF($H739="Cancelled",0,1),IF(StatusFilter="All",1,IF($H739=StatusFilter,1,0))),0)</f>
        <v>0</v>
      </c>
      <c r="O739">
        <f>IF($N739=0,0,IF(AND($F739&lt;=EOMONTH(DATE(PlanYear,1,1),0),IF(ISNUMBER($G739),$G739,$F739)&gt;=DATE(PlanYear,1,1)),1,0))</f>
        <v>0</v>
      </c>
      <c r="P739">
        <f>IF($N739=0,0,IF(AND($F739&lt;=EOMONTH(DATE(PlanYear,2,1),0),IF(ISNUMBER($G739),$G739,$F739)&gt;=DATE(PlanYear,2,1)),1,0))</f>
        <v>0</v>
      </c>
      <c r="Q739">
        <f>IF($N739=0,0,IF(AND($F739&lt;=EOMONTH(DATE(PlanYear,3,1),0),IF(ISNUMBER($G739),$G739,$F739)&gt;=DATE(PlanYear,3,1)),1,0))</f>
        <v>0</v>
      </c>
      <c r="R739">
        <f>IF($N739=0,0,IF(AND($F739&lt;=EOMONTH(DATE(PlanYear,4,1),0),IF(ISNUMBER($G739),$G739,$F739)&gt;=DATE(PlanYear,4,1)),1,0))</f>
        <v>0</v>
      </c>
      <c r="S739">
        <f>IF($N739=0,0,IF(AND($F739&lt;=EOMONTH(DATE(PlanYear,5,1),0),IF(ISNUMBER($G739),$G739,$F739)&gt;=DATE(PlanYear,5,1)),1,0))</f>
        <v>0</v>
      </c>
      <c r="T739">
        <f>IF($N739=0,0,IF(AND($F739&lt;=EOMONTH(DATE(PlanYear,6,1),0),IF(ISNUMBER($G739),$G739,$F739)&gt;=DATE(PlanYear,6,1)),1,0))</f>
        <v>0</v>
      </c>
      <c r="U739">
        <f>IF($N739=0,0,IF(AND($F739&lt;=EOMONTH(DATE(PlanYear,7,1),0),IF(ISNUMBER($G739),$G739,$F739)&gt;=DATE(PlanYear,7,1)),1,0))</f>
        <v>0</v>
      </c>
      <c r="V739">
        <f>IF($N739=0,0,IF(AND($F739&lt;=EOMONTH(DATE(PlanYear,8,1),0),IF(ISNUMBER($G739),$G739,$F739)&gt;=DATE(PlanYear,8,1)),1,0))</f>
        <v>0</v>
      </c>
      <c r="W739">
        <f>IF($N739=0,0,IF(AND($F739&lt;=EOMONTH(DATE(PlanYear,9,1),0),IF(ISNUMBER($G739),$G739,$F739)&gt;=DATE(PlanYear,9,1)),1,0))</f>
        <v>0</v>
      </c>
      <c r="X739">
        <f>IF($N739=0,0,IF(AND($F739&lt;=EOMONTH(DATE(PlanYear,10,1),0),IF(ISNUMBER($G739),$G739,$F739)&gt;=DATE(PlanYear,10,1)),1,0))</f>
        <v>0</v>
      </c>
      <c r="Y739">
        <f>IF($N739=0,0,IF(AND($F739&lt;=EOMONTH(DATE(PlanYear,11,1),0),IF(ISNUMBER($G739),$G739,$F739)&gt;=DATE(PlanYear,11,1)),1,0))</f>
        <v>0</v>
      </c>
      <c r="Z739">
        <f>IF($N739=0,0,IF(AND($F739&lt;=EOMONTH(DATE(PlanYear,12,1),0),IF(ISNUMBER($G739),$G739,$F739)&gt;=DATE(PlanYear,12,1)),1,0))</f>
        <v>0</v>
      </c>
      <c r="AA739">
        <f>SUM($O739:$Z739)</f>
        <v>0</v>
      </c>
    </row>
    <row r="740" spans="1:27">
      <c r="A740" s="42">
        <f>IF($B740="","","ACT-"&amp;TEXT(ROW()-4,"000"))</f>
        <v>0</v>
      </c>
      <c r="M740" s="43">
        <f>IF(COUNTA($B740:$K740)=0,"",IF($B740="","Missing activity name",IF($C740="","Missing practice",IF(COUNTIF(PracticeNames,$C740)=0,"Practice not in Lists",IF($D740="","Missing motion",IF(NOT(ISNUMBER($F740)),"Missing or invalid start date",IF(AND(ISNUMBER($G740),$G740&lt;$F740),"End date before start",IF(AND($N740=1,$AA740=0),"Outside planning year","OK"))))))))</f>
        <v>0</v>
      </c>
      <c r="N740">
        <f>IF(AND($B740&lt;&gt;"",$C740&lt;&gt;"",$D740&lt;&gt;"",ISNUMBER($F740),COUNTIF(PracticeNames,$C740)&gt;0,COUNTIF(MotionNames,$D740)&gt;0,NOT(AND(ISNUMBER($G740),$G740&lt;$F740))),IF(StatusFilter="All (excl. Cancelled)",IF($H740="Cancelled",0,1),IF(StatusFilter="All",1,IF($H740=StatusFilter,1,0))),0)</f>
        <v>0</v>
      </c>
      <c r="O740">
        <f>IF($N740=0,0,IF(AND($F740&lt;=EOMONTH(DATE(PlanYear,1,1),0),IF(ISNUMBER($G740),$G740,$F740)&gt;=DATE(PlanYear,1,1)),1,0))</f>
        <v>0</v>
      </c>
      <c r="P740">
        <f>IF($N740=0,0,IF(AND($F740&lt;=EOMONTH(DATE(PlanYear,2,1),0),IF(ISNUMBER($G740),$G740,$F740)&gt;=DATE(PlanYear,2,1)),1,0))</f>
        <v>0</v>
      </c>
      <c r="Q740">
        <f>IF($N740=0,0,IF(AND($F740&lt;=EOMONTH(DATE(PlanYear,3,1),0),IF(ISNUMBER($G740),$G740,$F740)&gt;=DATE(PlanYear,3,1)),1,0))</f>
        <v>0</v>
      </c>
      <c r="R740">
        <f>IF($N740=0,0,IF(AND($F740&lt;=EOMONTH(DATE(PlanYear,4,1),0),IF(ISNUMBER($G740),$G740,$F740)&gt;=DATE(PlanYear,4,1)),1,0))</f>
        <v>0</v>
      </c>
      <c r="S740">
        <f>IF($N740=0,0,IF(AND($F740&lt;=EOMONTH(DATE(PlanYear,5,1),0),IF(ISNUMBER($G740),$G740,$F740)&gt;=DATE(PlanYear,5,1)),1,0))</f>
        <v>0</v>
      </c>
      <c r="T740">
        <f>IF($N740=0,0,IF(AND($F740&lt;=EOMONTH(DATE(PlanYear,6,1),0),IF(ISNUMBER($G740),$G740,$F740)&gt;=DATE(PlanYear,6,1)),1,0))</f>
        <v>0</v>
      </c>
      <c r="U740">
        <f>IF($N740=0,0,IF(AND($F740&lt;=EOMONTH(DATE(PlanYear,7,1),0),IF(ISNUMBER($G740),$G740,$F740)&gt;=DATE(PlanYear,7,1)),1,0))</f>
        <v>0</v>
      </c>
      <c r="V740">
        <f>IF($N740=0,0,IF(AND($F740&lt;=EOMONTH(DATE(PlanYear,8,1),0),IF(ISNUMBER($G740),$G740,$F740)&gt;=DATE(PlanYear,8,1)),1,0))</f>
        <v>0</v>
      </c>
      <c r="W740">
        <f>IF($N740=0,0,IF(AND($F740&lt;=EOMONTH(DATE(PlanYear,9,1),0),IF(ISNUMBER($G740),$G740,$F740)&gt;=DATE(PlanYear,9,1)),1,0))</f>
        <v>0</v>
      </c>
      <c r="X740">
        <f>IF($N740=0,0,IF(AND($F740&lt;=EOMONTH(DATE(PlanYear,10,1),0),IF(ISNUMBER($G740),$G740,$F740)&gt;=DATE(PlanYear,10,1)),1,0))</f>
        <v>0</v>
      </c>
      <c r="Y740">
        <f>IF($N740=0,0,IF(AND($F740&lt;=EOMONTH(DATE(PlanYear,11,1),0),IF(ISNUMBER($G740),$G740,$F740)&gt;=DATE(PlanYear,11,1)),1,0))</f>
        <v>0</v>
      </c>
      <c r="Z740">
        <f>IF($N740=0,0,IF(AND($F740&lt;=EOMONTH(DATE(PlanYear,12,1),0),IF(ISNUMBER($G740),$G740,$F740)&gt;=DATE(PlanYear,12,1)),1,0))</f>
        <v>0</v>
      </c>
      <c r="AA740">
        <f>SUM($O740:$Z740)</f>
        <v>0</v>
      </c>
    </row>
    <row r="741" spans="1:27">
      <c r="A741" s="42">
        <f>IF($B741="","","ACT-"&amp;TEXT(ROW()-4,"000"))</f>
        <v>0</v>
      </c>
      <c r="M741" s="43">
        <f>IF(COUNTA($B741:$K741)=0,"",IF($B741="","Missing activity name",IF($C741="","Missing practice",IF(COUNTIF(PracticeNames,$C741)=0,"Practice not in Lists",IF($D741="","Missing motion",IF(NOT(ISNUMBER($F741)),"Missing or invalid start date",IF(AND(ISNUMBER($G741),$G741&lt;$F741),"End date before start",IF(AND($N741=1,$AA741=0),"Outside planning year","OK"))))))))</f>
        <v>0</v>
      </c>
      <c r="N741">
        <f>IF(AND($B741&lt;&gt;"",$C741&lt;&gt;"",$D741&lt;&gt;"",ISNUMBER($F741),COUNTIF(PracticeNames,$C741)&gt;0,COUNTIF(MotionNames,$D741)&gt;0,NOT(AND(ISNUMBER($G741),$G741&lt;$F741))),IF(StatusFilter="All (excl. Cancelled)",IF($H741="Cancelled",0,1),IF(StatusFilter="All",1,IF($H741=StatusFilter,1,0))),0)</f>
        <v>0</v>
      </c>
      <c r="O741">
        <f>IF($N741=0,0,IF(AND($F741&lt;=EOMONTH(DATE(PlanYear,1,1),0),IF(ISNUMBER($G741),$G741,$F741)&gt;=DATE(PlanYear,1,1)),1,0))</f>
        <v>0</v>
      </c>
      <c r="P741">
        <f>IF($N741=0,0,IF(AND($F741&lt;=EOMONTH(DATE(PlanYear,2,1),0),IF(ISNUMBER($G741),$G741,$F741)&gt;=DATE(PlanYear,2,1)),1,0))</f>
        <v>0</v>
      </c>
      <c r="Q741">
        <f>IF($N741=0,0,IF(AND($F741&lt;=EOMONTH(DATE(PlanYear,3,1),0),IF(ISNUMBER($G741),$G741,$F741)&gt;=DATE(PlanYear,3,1)),1,0))</f>
        <v>0</v>
      </c>
      <c r="R741">
        <f>IF($N741=0,0,IF(AND($F741&lt;=EOMONTH(DATE(PlanYear,4,1),0),IF(ISNUMBER($G741),$G741,$F741)&gt;=DATE(PlanYear,4,1)),1,0))</f>
        <v>0</v>
      </c>
      <c r="S741">
        <f>IF($N741=0,0,IF(AND($F741&lt;=EOMONTH(DATE(PlanYear,5,1),0),IF(ISNUMBER($G741),$G741,$F741)&gt;=DATE(PlanYear,5,1)),1,0))</f>
        <v>0</v>
      </c>
      <c r="T741">
        <f>IF($N741=0,0,IF(AND($F741&lt;=EOMONTH(DATE(PlanYear,6,1),0),IF(ISNUMBER($G741),$G741,$F741)&gt;=DATE(PlanYear,6,1)),1,0))</f>
        <v>0</v>
      </c>
      <c r="U741">
        <f>IF($N741=0,0,IF(AND($F741&lt;=EOMONTH(DATE(PlanYear,7,1),0),IF(ISNUMBER($G741),$G741,$F741)&gt;=DATE(PlanYear,7,1)),1,0))</f>
        <v>0</v>
      </c>
      <c r="V741">
        <f>IF($N741=0,0,IF(AND($F741&lt;=EOMONTH(DATE(PlanYear,8,1),0),IF(ISNUMBER($G741),$G741,$F741)&gt;=DATE(PlanYear,8,1)),1,0))</f>
        <v>0</v>
      </c>
      <c r="W741">
        <f>IF($N741=0,0,IF(AND($F741&lt;=EOMONTH(DATE(PlanYear,9,1),0),IF(ISNUMBER($G741),$G741,$F741)&gt;=DATE(PlanYear,9,1)),1,0))</f>
        <v>0</v>
      </c>
      <c r="X741">
        <f>IF($N741=0,0,IF(AND($F741&lt;=EOMONTH(DATE(PlanYear,10,1),0),IF(ISNUMBER($G741),$G741,$F741)&gt;=DATE(PlanYear,10,1)),1,0))</f>
        <v>0</v>
      </c>
      <c r="Y741">
        <f>IF($N741=0,0,IF(AND($F741&lt;=EOMONTH(DATE(PlanYear,11,1),0),IF(ISNUMBER($G741),$G741,$F741)&gt;=DATE(PlanYear,11,1)),1,0))</f>
        <v>0</v>
      </c>
      <c r="Z741">
        <f>IF($N741=0,0,IF(AND($F741&lt;=EOMONTH(DATE(PlanYear,12,1),0),IF(ISNUMBER($G741),$G741,$F741)&gt;=DATE(PlanYear,12,1)),1,0))</f>
        <v>0</v>
      </c>
      <c r="AA741">
        <f>SUM($O741:$Z741)</f>
        <v>0</v>
      </c>
    </row>
    <row r="742" spans="1:27">
      <c r="A742" s="42">
        <f>IF($B742="","","ACT-"&amp;TEXT(ROW()-4,"000"))</f>
        <v>0</v>
      </c>
      <c r="M742" s="43">
        <f>IF(COUNTA($B742:$K742)=0,"",IF($B742="","Missing activity name",IF($C742="","Missing practice",IF(COUNTIF(PracticeNames,$C742)=0,"Practice not in Lists",IF($D742="","Missing motion",IF(NOT(ISNUMBER($F742)),"Missing or invalid start date",IF(AND(ISNUMBER($G742),$G742&lt;$F742),"End date before start",IF(AND($N742=1,$AA742=0),"Outside planning year","OK"))))))))</f>
        <v>0</v>
      </c>
      <c r="N742">
        <f>IF(AND($B742&lt;&gt;"",$C742&lt;&gt;"",$D742&lt;&gt;"",ISNUMBER($F742),COUNTIF(PracticeNames,$C742)&gt;0,COUNTIF(MotionNames,$D742)&gt;0,NOT(AND(ISNUMBER($G742),$G742&lt;$F742))),IF(StatusFilter="All (excl. Cancelled)",IF($H742="Cancelled",0,1),IF(StatusFilter="All",1,IF($H742=StatusFilter,1,0))),0)</f>
        <v>0</v>
      </c>
      <c r="O742">
        <f>IF($N742=0,0,IF(AND($F742&lt;=EOMONTH(DATE(PlanYear,1,1),0),IF(ISNUMBER($G742),$G742,$F742)&gt;=DATE(PlanYear,1,1)),1,0))</f>
        <v>0</v>
      </c>
      <c r="P742">
        <f>IF($N742=0,0,IF(AND($F742&lt;=EOMONTH(DATE(PlanYear,2,1),0),IF(ISNUMBER($G742),$G742,$F742)&gt;=DATE(PlanYear,2,1)),1,0))</f>
        <v>0</v>
      </c>
      <c r="Q742">
        <f>IF($N742=0,0,IF(AND($F742&lt;=EOMONTH(DATE(PlanYear,3,1),0),IF(ISNUMBER($G742),$G742,$F742)&gt;=DATE(PlanYear,3,1)),1,0))</f>
        <v>0</v>
      </c>
      <c r="R742">
        <f>IF($N742=0,0,IF(AND($F742&lt;=EOMONTH(DATE(PlanYear,4,1),0),IF(ISNUMBER($G742),$G742,$F742)&gt;=DATE(PlanYear,4,1)),1,0))</f>
        <v>0</v>
      </c>
      <c r="S742">
        <f>IF($N742=0,0,IF(AND($F742&lt;=EOMONTH(DATE(PlanYear,5,1),0),IF(ISNUMBER($G742),$G742,$F742)&gt;=DATE(PlanYear,5,1)),1,0))</f>
        <v>0</v>
      </c>
      <c r="T742">
        <f>IF($N742=0,0,IF(AND($F742&lt;=EOMONTH(DATE(PlanYear,6,1),0),IF(ISNUMBER($G742),$G742,$F742)&gt;=DATE(PlanYear,6,1)),1,0))</f>
        <v>0</v>
      </c>
      <c r="U742">
        <f>IF($N742=0,0,IF(AND($F742&lt;=EOMONTH(DATE(PlanYear,7,1),0),IF(ISNUMBER($G742),$G742,$F742)&gt;=DATE(PlanYear,7,1)),1,0))</f>
        <v>0</v>
      </c>
      <c r="V742">
        <f>IF($N742=0,0,IF(AND($F742&lt;=EOMONTH(DATE(PlanYear,8,1),0),IF(ISNUMBER($G742),$G742,$F742)&gt;=DATE(PlanYear,8,1)),1,0))</f>
        <v>0</v>
      </c>
      <c r="W742">
        <f>IF($N742=0,0,IF(AND($F742&lt;=EOMONTH(DATE(PlanYear,9,1),0),IF(ISNUMBER($G742),$G742,$F742)&gt;=DATE(PlanYear,9,1)),1,0))</f>
        <v>0</v>
      </c>
      <c r="X742">
        <f>IF($N742=0,0,IF(AND($F742&lt;=EOMONTH(DATE(PlanYear,10,1),0),IF(ISNUMBER($G742),$G742,$F742)&gt;=DATE(PlanYear,10,1)),1,0))</f>
        <v>0</v>
      </c>
      <c r="Y742">
        <f>IF($N742=0,0,IF(AND($F742&lt;=EOMONTH(DATE(PlanYear,11,1),0),IF(ISNUMBER($G742),$G742,$F742)&gt;=DATE(PlanYear,11,1)),1,0))</f>
        <v>0</v>
      </c>
      <c r="Z742">
        <f>IF($N742=0,0,IF(AND($F742&lt;=EOMONTH(DATE(PlanYear,12,1),0),IF(ISNUMBER($G742),$G742,$F742)&gt;=DATE(PlanYear,12,1)),1,0))</f>
        <v>0</v>
      </c>
      <c r="AA742">
        <f>SUM($O742:$Z742)</f>
        <v>0</v>
      </c>
    </row>
    <row r="743" spans="1:27">
      <c r="A743" s="42">
        <f>IF($B743="","","ACT-"&amp;TEXT(ROW()-4,"000"))</f>
        <v>0</v>
      </c>
      <c r="M743" s="43">
        <f>IF(COUNTA($B743:$K743)=0,"",IF($B743="","Missing activity name",IF($C743="","Missing practice",IF(COUNTIF(PracticeNames,$C743)=0,"Practice not in Lists",IF($D743="","Missing motion",IF(NOT(ISNUMBER($F743)),"Missing or invalid start date",IF(AND(ISNUMBER($G743),$G743&lt;$F743),"End date before start",IF(AND($N743=1,$AA743=0),"Outside planning year","OK"))))))))</f>
        <v>0</v>
      </c>
      <c r="N743">
        <f>IF(AND($B743&lt;&gt;"",$C743&lt;&gt;"",$D743&lt;&gt;"",ISNUMBER($F743),COUNTIF(PracticeNames,$C743)&gt;0,COUNTIF(MotionNames,$D743)&gt;0,NOT(AND(ISNUMBER($G743),$G743&lt;$F743))),IF(StatusFilter="All (excl. Cancelled)",IF($H743="Cancelled",0,1),IF(StatusFilter="All",1,IF($H743=StatusFilter,1,0))),0)</f>
        <v>0</v>
      </c>
      <c r="O743">
        <f>IF($N743=0,0,IF(AND($F743&lt;=EOMONTH(DATE(PlanYear,1,1),0),IF(ISNUMBER($G743),$G743,$F743)&gt;=DATE(PlanYear,1,1)),1,0))</f>
        <v>0</v>
      </c>
      <c r="P743">
        <f>IF($N743=0,0,IF(AND($F743&lt;=EOMONTH(DATE(PlanYear,2,1),0),IF(ISNUMBER($G743),$G743,$F743)&gt;=DATE(PlanYear,2,1)),1,0))</f>
        <v>0</v>
      </c>
      <c r="Q743">
        <f>IF($N743=0,0,IF(AND($F743&lt;=EOMONTH(DATE(PlanYear,3,1),0),IF(ISNUMBER($G743),$G743,$F743)&gt;=DATE(PlanYear,3,1)),1,0))</f>
        <v>0</v>
      </c>
      <c r="R743">
        <f>IF($N743=0,0,IF(AND($F743&lt;=EOMONTH(DATE(PlanYear,4,1),0),IF(ISNUMBER($G743),$G743,$F743)&gt;=DATE(PlanYear,4,1)),1,0))</f>
        <v>0</v>
      </c>
      <c r="S743">
        <f>IF($N743=0,0,IF(AND($F743&lt;=EOMONTH(DATE(PlanYear,5,1),0),IF(ISNUMBER($G743),$G743,$F743)&gt;=DATE(PlanYear,5,1)),1,0))</f>
        <v>0</v>
      </c>
      <c r="T743">
        <f>IF($N743=0,0,IF(AND($F743&lt;=EOMONTH(DATE(PlanYear,6,1),0),IF(ISNUMBER($G743),$G743,$F743)&gt;=DATE(PlanYear,6,1)),1,0))</f>
        <v>0</v>
      </c>
      <c r="U743">
        <f>IF($N743=0,0,IF(AND($F743&lt;=EOMONTH(DATE(PlanYear,7,1),0),IF(ISNUMBER($G743),$G743,$F743)&gt;=DATE(PlanYear,7,1)),1,0))</f>
        <v>0</v>
      </c>
      <c r="V743">
        <f>IF($N743=0,0,IF(AND($F743&lt;=EOMONTH(DATE(PlanYear,8,1),0),IF(ISNUMBER($G743),$G743,$F743)&gt;=DATE(PlanYear,8,1)),1,0))</f>
        <v>0</v>
      </c>
      <c r="W743">
        <f>IF($N743=0,0,IF(AND($F743&lt;=EOMONTH(DATE(PlanYear,9,1),0),IF(ISNUMBER($G743),$G743,$F743)&gt;=DATE(PlanYear,9,1)),1,0))</f>
        <v>0</v>
      </c>
      <c r="X743">
        <f>IF($N743=0,0,IF(AND($F743&lt;=EOMONTH(DATE(PlanYear,10,1),0),IF(ISNUMBER($G743),$G743,$F743)&gt;=DATE(PlanYear,10,1)),1,0))</f>
        <v>0</v>
      </c>
      <c r="Y743">
        <f>IF($N743=0,0,IF(AND($F743&lt;=EOMONTH(DATE(PlanYear,11,1),0),IF(ISNUMBER($G743),$G743,$F743)&gt;=DATE(PlanYear,11,1)),1,0))</f>
        <v>0</v>
      </c>
      <c r="Z743">
        <f>IF($N743=0,0,IF(AND($F743&lt;=EOMONTH(DATE(PlanYear,12,1),0),IF(ISNUMBER($G743),$G743,$F743)&gt;=DATE(PlanYear,12,1)),1,0))</f>
        <v>0</v>
      </c>
      <c r="AA743">
        <f>SUM($O743:$Z743)</f>
        <v>0</v>
      </c>
    </row>
    <row r="744" spans="1:27">
      <c r="A744" s="42">
        <f>IF($B744="","","ACT-"&amp;TEXT(ROW()-4,"000"))</f>
        <v>0</v>
      </c>
      <c r="M744" s="43">
        <f>IF(COUNTA($B744:$K744)=0,"",IF($B744="","Missing activity name",IF($C744="","Missing practice",IF(COUNTIF(PracticeNames,$C744)=0,"Practice not in Lists",IF($D744="","Missing motion",IF(NOT(ISNUMBER($F744)),"Missing or invalid start date",IF(AND(ISNUMBER($G744),$G744&lt;$F744),"End date before start",IF(AND($N744=1,$AA744=0),"Outside planning year","OK"))))))))</f>
        <v>0</v>
      </c>
      <c r="N744">
        <f>IF(AND($B744&lt;&gt;"",$C744&lt;&gt;"",$D744&lt;&gt;"",ISNUMBER($F744),COUNTIF(PracticeNames,$C744)&gt;0,COUNTIF(MotionNames,$D744)&gt;0,NOT(AND(ISNUMBER($G744),$G744&lt;$F744))),IF(StatusFilter="All (excl. Cancelled)",IF($H744="Cancelled",0,1),IF(StatusFilter="All",1,IF($H744=StatusFilter,1,0))),0)</f>
        <v>0</v>
      </c>
      <c r="O744">
        <f>IF($N744=0,0,IF(AND($F744&lt;=EOMONTH(DATE(PlanYear,1,1),0),IF(ISNUMBER($G744),$G744,$F744)&gt;=DATE(PlanYear,1,1)),1,0))</f>
        <v>0</v>
      </c>
      <c r="P744">
        <f>IF($N744=0,0,IF(AND($F744&lt;=EOMONTH(DATE(PlanYear,2,1),0),IF(ISNUMBER($G744),$G744,$F744)&gt;=DATE(PlanYear,2,1)),1,0))</f>
        <v>0</v>
      </c>
      <c r="Q744">
        <f>IF($N744=0,0,IF(AND($F744&lt;=EOMONTH(DATE(PlanYear,3,1),0),IF(ISNUMBER($G744),$G744,$F744)&gt;=DATE(PlanYear,3,1)),1,0))</f>
        <v>0</v>
      </c>
      <c r="R744">
        <f>IF($N744=0,0,IF(AND($F744&lt;=EOMONTH(DATE(PlanYear,4,1),0),IF(ISNUMBER($G744),$G744,$F744)&gt;=DATE(PlanYear,4,1)),1,0))</f>
        <v>0</v>
      </c>
      <c r="S744">
        <f>IF($N744=0,0,IF(AND($F744&lt;=EOMONTH(DATE(PlanYear,5,1),0),IF(ISNUMBER($G744),$G744,$F744)&gt;=DATE(PlanYear,5,1)),1,0))</f>
        <v>0</v>
      </c>
      <c r="T744">
        <f>IF($N744=0,0,IF(AND($F744&lt;=EOMONTH(DATE(PlanYear,6,1),0),IF(ISNUMBER($G744),$G744,$F744)&gt;=DATE(PlanYear,6,1)),1,0))</f>
        <v>0</v>
      </c>
      <c r="U744">
        <f>IF($N744=0,0,IF(AND($F744&lt;=EOMONTH(DATE(PlanYear,7,1),0),IF(ISNUMBER($G744),$G744,$F744)&gt;=DATE(PlanYear,7,1)),1,0))</f>
        <v>0</v>
      </c>
      <c r="V744">
        <f>IF($N744=0,0,IF(AND($F744&lt;=EOMONTH(DATE(PlanYear,8,1),0),IF(ISNUMBER($G744),$G744,$F744)&gt;=DATE(PlanYear,8,1)),1,0))</f>
        <v>0</v>
      </c>
      <c r="W744">
        <f>IF($N744=0,0,IF(AND($F744&lt;=EOMONTH(DATE(PlanYear,9,1),0),IF(ISNUMBER($G744),$G744,$F744)&gt;=DATE(PlanYear,9,1)),1,0))</f>
        <v>0</v>
      </c>
      <c r="X744">
        <f>IF($N744=0,0,IF(AND($F744&lt;=EOMONTH(DATE(PlanYear,10,1),0),IF(ISNUMBER($G744),$G744,$F744)&gt;=DATE(PlanYear,10,1)),1,0))</f>
        <v>0</v>
      </c>
      <c r="Y744">
        <f>IF($N744=0,0,IF(AND($F744&lt;=EOMONTH(DATE(PlanYear,11,1),0),IF(ISNUMBER($G744),$G744,$F744)&gt;=DATE(PlanYear,11,1)),1,0))</f>
        <v>0</v>
      </c>
      <c r="Z744">
        <f>IF($N744=0,0,IF(AND($F744&lt;=EOMONTH(DATE(PlanYear,12,1),0),IF(ISNUMBER($G744),$G744,$F744)&gt;=DATE(PlanYear,12,1)),1,0))</f>
        <v>0</v>
      </c>
      <c r="AA744">
        <f>SUM($O744:$Z744)</f>
        <v>0</v>
      </c>
    </row>
    <row r="745" spans="1:27">
      <c r="A745" s="42">
        <f>IF($B745="","","ACT-"&amp;TEXT(ROW()-4,"000"))</f>
        <v>0</v>
      </c>
      <c r="M745" s="43">
        <f>IF(COUNTA($B745:$K745)=0,"",IF($B745="","Missing activity name",IF($C745="","Missing practice",IF(COUNTIF(PracticeNames,$C745)=0,"Practice not in Lists",IF($D745="","Missing motion",IF(NOT(ISNUMBER($F745)),"Missing or invalid start date",IF(AND(ISNUMBER($G745),$G745&lt;$F745),"End date before start",IF(AND($N745=1,$AA745=0),"Outside planning year","OK"))))))))</f>
        <v>0</v>
      </c>
      <c r="N745">
        <f>IF(AND($B745&lt;&gt;"",$C745&lt;&gt;"",$D745&lt;&gt;"",ISNUMBER($F745),COUNTIF(PracticeNames,$C745)&gt;0,COUNTIF(MotionNames,$D745)&gt;0,NOT(AND(ISNUMBER($G745),$G745&lt;$F745))),IF(StatusFilter="All (excl. Cancelled)",IF($H745="Cancelled",0,1),IF(StatusFilter="All",1,IF($H745=StatusFilter,1,0))),0)</f>
        <v>0</v>
      </c>
      <c r="O745">
        <f>IF($N745=0,0,IF(AND($F745&lt;=EOMONTH(DATE(PlanYear,1,1),0),IF(ISNUMBER($G745),$G745,$F745)&gt;=DATE(PlanYear,1,1)),1,0))</f>
        <v>0</v>
      </c>
      <c r="P745">
        <f>IF($N745=0,0,IF(AND($F745&lt;=EOMONTH(DATE(PlanYear,2,1),0),IF(ISNUMBER($G745),$G745,$F745)&gt;=DATE(PlanYear,2,1)),1,0))</f>
        <v>0</v>
      </c>
      <c r="Q745">
        <f>IF($N745=0,0,IF(AND($F745&lt;=EOMONTH(DATE(PlanYear,3,1),0),IF(ISNUMBER($G745),$G745,$F745)&gt;=DATE(PlanYear,3,1)),1,0))</f>
        <v>0</v>
      </c>
      <c r="R745">
        <f>IF($N745=0,0,IF(AND($F745&lt;=EOMONTH(DATE(PlanYear,4,1),0),IF(ISNUMBER($G745),$G745,$F745)&gt;=DATE(PlanYear,4,1)),1,0))</f>
        <v>0</v>
      </c>
      <c r="S745">
        <f>IF($N745=0,0,IF(AND($F745&lt;=EOMONTH(DATE(PlanYear,5,1),0),IF(ISNUMBER($G745),$G745,$F745)&gt;=DATE(PlanYear,5,1)),1,0))</f>
        <v>0</v>
      </c>
      <c r="T745">
        <f>IF($N745=0,0,IF(AND($F745&lt;=EOMONTH(DATE(PlanYear,6,1),0),IF(ISNUMBER($G745),$G745,$F745)&gt;=DATE(PlanYear,6,1)),1,0))</f>
        <v>0</v>
      </c>
      <c r="U745">
        <f>IF($N745=0,0,IF(AND($F745&lt;=EOMONTH(DATE(PlanYear,7,1),0),IF(ISNUMBER($G745),$G745,$F745)&gt;=DATE(PlanYear,7,1)),1,0))</f>
        <v>0</v>
      </c>
      <c r="V745">
        <f>IF($N745=0,0,IF(AND($F745&lt;=EOMONTH(DATE(PlanYear,8,1),0),IF(ISNUMBER($G745),$G745,$F745)&gt;=DATE(PlanYear,8,1)),1,0))</f>
        <v>0</v>
      </c>
      <c r="W745">
        <f>IF($N745=0,0,IF(AND($F745&lt;=EOMONTH(DATE(PlanYear,9,1),0),IF(ISNUMBER($G745),$G745,$F745)&gt;=DATE(PlanYear,9,1)),1,0))</f>
        <v>0</v>
      </c>
      <c r="X745">
        <f>IF($N745=0,0,IF(AND($F745&lt;=EOMONTH(DATE(PlanYear,10,1),0),IF(ISNUMBER($G745),$G745,$F745)&gt;=DATE(PlanYear,10,1)),1,0))</f>
        <v>0</v>
      </c>
      <c r="Y745">
        <f>IF($N745=0,0,IF(AND($F745&lt;=EOMONTH(DATE(PlanYear,11,1),0),IF(ISNUMBER($G745),$G745,$F745)&gt;=DATE(PlanYear,11,1)),1,0))</f>
        <v>0</v>
      </c>
      <c r="Z745">
        <f>IF($N745=0,0,IF(AND($F745&lt;=EOMONTH(DATE(PlanYear,12,1),0),IF(ISNUMBER($G745),$G745,$F745)&gt;=DATE(PlanYear,12,1)),1,0))</f>
        <v>0</v>
      </c>
      <c r="AA745">
        <f>SUM($O745:$Z745)</f>
        <v>0</v>
      </c>
    </row>
    <row r="746" spans="1:27">
      <c r="A746" s="42">
        <f>IF($B746="","","ACT-"&amp;TEXT(ROW()-4,"000"))</f>
        <v>0</v>
      </c>
      <c r="M746" s="43">
        <f>IF(COUNTA($B746:$K746)=0,"",IF($B746="","Missing activity name",IF($C746="","Missing practice",IF(COUNTIF(PracticeNames,$C746)=0,"Practice not in Lists",IF($D746="","Missing motion",IF(NOT(ISNUMBER($F746)),"Missing or invalid start date",IF(AND(ISNUMBER($G746),$G746&lt;$F746),"End date before start",IF(AND($N746=1,$AA746=0),"Outside planning year","OK"))))))))</f>
        <v>0</v>
      </c>
      <c r="N746">
        <f>IF(AND($B746&lt;&gt;"",$C746&lt;&gt;"",$D746&lt;&gt;"",ISNUMBER($F746),COUNTIF(PracticeNames,$C746)&gt;0,COUNTIF(MotionNames,$D746)&gt;0,NOT(AND(ISNUMBER($G746),$G746&lt;$F746))),IF(StatusFilter="All (excl. Cancelled)",IF($H746="Cancelled",0,1),IF(StatusFilter="All",1,IF($H746=StatusFilter,1,0))),0)</f>
        <v>0</v>
      </c>
      <c r="O746">
        <f>IF($N746=0,0,IF(AND($F746&lt;=EOMONTH(DATE(PlanYear,1,1),0),IF(ISNUMBER($G746),$G746,$F746)&gt;=DATE(PlanYear,1,1)),1,0))</f>
        <v>0</v>
      </c>
      <c r="P746">
        <f>IF($N746=0,0,IF(AND($F746&lt;=EOMONTH(DATE(PlanYear,2,1),0),IF(ISNUMBER($G746),$G746,$F746)&gt;=DATE(PlanYear,2,1)),1,0))</f>
        <v>0</v>
      </c>
      <c r="Q746">
        <f>IF($N746=0,0,IF(AND($F746&lt;=EOMONTH(DATE(PlanYear,3,1),0),IF(ISNUMBER($G746),$G746,$F746)&gt;=DATE(PlanYear,3,1)),1,0))</f>
        <v>0</v>
      </c>
      <c r="R746">
        <f>IF($N746=0,0,IF(AND($F746&lt;=EOMONTH(DATE(PlanYear,4,1),0),IF(ISNUMBER($G746),$G746,$F746)&gt;=DATE(PlanYear,4,1)),1,0))</f>
        <v>0</v>
      </c>
      <c r="S746">
        <f>IF($N746=0,0,IF(AND($F746&lt;=EOMONTH(DATE(PlanYear,5,1),0),IF(ISNUMBER($G746),$G746,$F746)&gt;=DATE(PlanYear,5,1)),1,0))</f>
        <v>0</v>
      </c>
      <c r="T746">
        <f>IF($N746=0,0,IF(AND($F746&lt;=EOMONTH(DATE(PlanYear,6,1),0),IF(ISNUMBER($G746),$G746,$F746)&gt;=DATE(PlanYear,6,1)),1,0))</f>
        <v>0</v>
      </c>
      <c r="U746">
        <f>IF($N746=0,0,IF(AND($F746&lt;=EOMONTH(DATE(PlanYear,7,1),0),IF(ISNUMBER($G746),$G746,$F746)&gt;=DATE(PlanYear,7,1)),1,0))</f>
        <v>0</v>
      </c>
      <c r="V746">
        <f>IF($N746=0,0,IF(AND($F746&lt;=EOMONTH(DATE(PlanYear,8,1),0),IF(ISNUMBER($G746),$G746,$F746)&gt;=DATE(PlanYear,8,1)),1,0))</f>
        <v>0</v>
      </c>
      <c r="W746">
        <f>IF($N746=0,0,IF(AND($F746&lt;=EOMONTH(DATE(PlanYear,9,1),0),IF(ISNUMBER($G746),$G746,$F746)&gt;=DATE(PlanYear,9,1)),1,0))</f>
        <v>0</v>
      </c>
      <c r="X746">
        <f>IF($N746=0,0,IF(AND($F746&lt;=EOMONTH(DATE(PlanYear,10,1),0),IF(ISNUMBER($G746),$G746,$F746)&gt;=DATE(PlanYear,10,1)),1,0))</f>
        <v>0</v>
      </c>
      <c r="Y746">
        <f>IF($N746=0,0,IF(AND($F746&lt;=EOMONTH(DATE(PlanYear,11,1),0),IF(ISNUMBER($G746),$G746,$F746)&gt;=DATE(PlanYear,11,1)),1,0))</f>
        <v>0</v>
      </c>
      <c r="Z746">
        <f>IF($N746=0,0,IF(AND($F746&lt;=EOMONTH(DATE(PlanYear,12,1),0),IF(ISNUMBER($G746),$G746,$F746)&gt;=DATE(PlanYear,12,1)),1,0))</f>
        <v>0</v>
      </c>
      <c r="AA746">
        <f>SUM($O746:$Z746)</f>
        <v>0</v>
      </c>
    </row>
    <row r="747" spans="1:27">
      <c r="A747" s="42">
        <f>IF($B747="","","ACT-"&amp;TEXT(ROW()-4,"000"))</f>
        <v>0</v>
      </c>
      <c r="M747" s="43">
        <f>IF(COUNTA($B747:$K747)=0,"",IF($B747="","Missing activity name",IF($C747="","Missing practice",IF(COUNTIF(PracticeNames,$C747)=0,"Practice not in Lists",IF($D747="","Missing motion",IF(NOT(ISNUMBER($F747)),"Missing or invalid start date",IF(AND(ISNUMBER($G747),$G747&lt;$F747),"End date before start",IF(AND($N747=1,$AA747=0),"Outside planning year","OK"))))))))</f>
        <v>0</v>
      </c>
      <c r="N747">
        <f>IF(AND($B747&lt;&gt;"",$C747&lt;&gt;"",$D747&lt;&gt;"",ISNUMBER($F747),COUNTIF(PracticeNames,$C747)&gt;0,COUNTIF(MotionNames,$D747)&gt;0,NOT(AND(ISNUMBER($G747),$G747&lt;$F747))),IF(StatusFilter="All (excl. Cancelled)",IF($H747="Cancelled",0,1),IF(StatusFilter="All",1,IF($H747=StatusFilter,1,0))),0)</f>
        <v>0</v>
      </c>
      <c r="O747">
        <f>IF($N747=0,0,IF(AND($F747&lt;=EOMONTH(DATE(PlanYear,1,1),0),IF(ISNUMBER($G747),$G747,$F747)&gt;=DATE(PlanYear,1,1)),1,0))</f>
        <v>0</v>
      </c>
      <c r="P747">
        <f>IF($N747=0,0,IF(AND($F747&lt;=EOMONTH(DATE(PlanYear,2,1),0),IF(ISNUMBER($G747),$G747,$F747)&gt;=DATE(PlanYear,2,1)),1,0))</f>
        <v>0</v>
      </c>
      <c r="Q747">
        <f>IF($N747=0,0,IF(AND($F747&lt;=EOMONTH(DATE(PlanYear,3,1),0),IF(ISNUMBER($G747),$G747,$F747)&gt;=DATE(PlanYear,3,1)),1,0))</f>
        <v>0</v>
      </c>
      <c r="R747">
        <f>IF($N747=0,0,IF(AND($F747&lt;=EOMONTH(DATE(PlanYear,4,1),0),IF(ISNUMBER($G747),$G747,$F747)&gt;=DATE(PlanYear,4,1)),1,0))</f>
        <v>0</v>
      </c>
      <c r="S747">
        <f>IF($N747=0,0,IF(AND($F747&lt;=EOMONTH(DATE(PlanYear,5,1),0),IF(ISNUMBER($G747),$G747,$F747)&gt;=DATE(PlanYear,5,1)),1,0))</f>
        <v>0</v>
      </c>
      <c r="T747">
        <f>IF($N747=0,0,IF(AND($F747&lt;=EOMONTH(DATE(PlanYear,6,1),0),IF(ISNUMBER($G747),$G747,$F747)&gt;=DATE(PlanYear,6,1)),1,0))</f>
        <v>0</v>
      </c>
      <c r="U747">
        <f>IF($N747=0,0,IF(AND($F747&lt;=EOMONTH(DATE(PlanYear,7,1),0),IF(ISNUMBER($G747),$G747,$F747)&gt;=DATE(PlanYear,7,1)),1,0))</f>
        <v>0</v>
      </c>
      <c r="V747">
        <f>IF($N747=0,0,IF(AND($F747&lt;=EOMONTH(DATE(PlanYear,8,1),0),IF(ISNUMBER($G747),$G747,$F747)&gt;=DATE(PlanYear,8,1)),1,0))</f>
        <v>0</v>
      </c>
      <c r="W747">
        <f>IF($N747=0,0,IF(AND($F747&lt;=EOMONTH(DATE(PlanYear,9,1),0),IF(ISNUMBER($G747),$G747,$F747)&gt;=DATE(PlanYear,9,1)),1,0))</f>
        <v>0</v>
      </c>
      <c r="X747">
        <f>IF($N747=0,0,IF(AND($F747&lt;=EOMONTH(DATE(PlanYear,10,1),0),IF(ISNUMBER($G747),$G747,$F747)&gt;=DATE(PlanYear,10,1)),1,0))</f>
        <v>0</v>
      </c>
      <c r="Y747">
        <f>IF($N747=0,0,IF(AND($F747&lt;=EOMONTH(DATE(PlanYear,11,1),0),IF(ISNUMBER($G747),$G747,$F747)&gt;=DATE(PlanYear,11,1)),1,0))</f>
        <v>0</v>
      </c>
      <c r="Z747">
        <f>IF($N747=0,0,IF(AND($F747&lt;=EOMONTH(DATE(PlanYear,12,1),0),IF(ISNUMBER($G747),$G747,$F747)&gt;=DATE(PlanYear,12,1)),1,0))</f>
        <v>0</v>
      </c>
      <c r="AA747">
        <f>SUM($O747:$Z747)</f>
        <v>0</v>
      </c>
    </row>
    <row r="748" spans="1:27">
      <c r="A748" s="42">
        <f>IF($B748="","","ACT-"&amp;TEXT(ROW()-4,"000"))</f>
        <v>0</v>
      </c>
      <c r="M748" s="43">
        <f>IF(COUNTA($B748:$K748)=0,"",IF($B748="","Missing activity name",IF($C748="","Missing practice",IF(COUNTIF(PracticeNames,$C748)=0,"Practice not in Lists",IF($D748="","Missing motion",IF(NOT(ISNUMBER($F748)),"Missing or invalid start date",IF(AND(ISNUMBER($G748),$G748&lt;$F748),"End date before start",IF(AND($N748=1,$AA748=0),"Outside planning year","OK"))))))))</f>
        <v>0</v>
      </c>
      <c r="N748">
        <f>IF(AND($B748&lt;&gt;"",$C748&lt;&gt;"",$D748&lt;&gt;"",ISNUMBER($F748),COUNTIF(PracticeNames,$C748)&gt;0,COUNTIF(MotionNames,$D748)&gt;0,NOT(AND(ISNUMBER($G748),$G748&lt;$F748))),IF(StatusFilter="All (excl. Cancelled)",IF($H748="Cancelled",0,1),IF(StatusFilter="All",1,IF($H748=StatusFilter,1,0))),0)</f>
        <v>0</v>
      </c>
      <c r="O748">
        <f>IF($N748=0,0,IF(AND($F748&lt;=EOMONTH(DATE(PlanYear,1,1),0),IF(ISNUMBER($G748),$G748,$F748)&gt;=DATE(PlanYear,1,1)),1,0))</f>
        <v>0</v>
      </c>
      <c r="P748">
        <f>IF($N748=0,0,IF(AND($F748&lt;=EOMONTH(DATE(PlanYear,2,1),0),IF(ISNUMBER($G748),$G748,$F748)&gt;=DATE(PlanYear,2,1)),1,0))</f>
        <v>0</v>
      </c>
      <c r="Q748">
        <f>IF($N748=0,0,IF(AND($F748&lt;=EOMONTH(DATE(PlanYear,3,1),0),IF(ISNUMBER($G748),$G748,$F748)&gt;=DATE(PlanYear,3,1)),1,0))</f>
        <v>0</v>
      </c>
      <c r="R748">
        <f>IF($N748=0,0,IF(AND($F748&lt;=EOMONTH(DATE(PlanYear,4,1),0),IF(ISNUMBER($G748),$G748,$F748)&gt;=DATE(PlanYear,4,1)),1,0))</f>
        <v>0</v>
      </c>
      <c r="S748">
        <f>IF($N748=0,0,IF(AND($F748&lt;=EOMONTH(DATE(PlanYear,5,1),0),IF(ISNUMBER($G748),$G748,$F748)&gt;=DATE(PlanYear,5,1)),1,0))</f>
        <v>0</v>
      </c>
      <c r="T748">
        <f>IF($N748=0,0,IF(AND($F748&lt;=EOMONTH(DATE(PlanYear,6,1),0),IF(ISNUMBER($G748),$G748,$F748)&gt;=DATE(PlanYear,6,1)),1,0))</f>
        <v>0</v>
      </c>
      <c r="U748">
        <f>IF($N748=0,0,IF(AND($F748&lt;=EOMONTH(DATE(PlanYear,7,1),0),IF(ISNUMBER($G748),$G748,$F748)&gt;=DATE(PlanYear,7,1)),1,0))</f>
        <v>0</v>
      </c>
      <c r="V748">
        <f>IF($N748=0,0,IF(AND($F748&lt;=EOMONTH(DATE(PlanYear,8,1),0),IF(ISNUMBER($G748),$G748,$F748)&gt;=DATE(PlanYear,8,1)),1,0))</f>
        <v>0</v>
      </c>
      <c r="W748">
        <f>IF($N748=0,0,IF(AND($F748&lt;=EOMONTH(DATE(PlanYear,9,1),0),IF(ISNUMBER($G748),$G748,$F748)&gt;=DATE(PlanYear,9,1)),1,0))</f>
        <v>0</v>
      </c>
      <c r="X748">
        <f>IF($N748=0,0,IF(AND($F748&lt;=EOMONTH(DATE(PlanYear,10,1),0),IF(ISNUMBER($G748),$G748,$F748)&gt;=DATE(PlanYear,10,1)),1,0))</f>
        <v>0</v>
      </c>
      <c r="Y748">
        <f>IF($N748=0,0,IF(AND($F748&lt;=EOMONTH(DATE(PlanYear,11,1),0),IF(ISNUMBER($G748),$G748,$F748)&gt;=DATE(PlanYear,11,1)),1,0))</f>
        <v>0</v>
      </c>
      <c r="Z748">
        <f>IF($N748=0,0,IF(AND($F748&lt;=EOMONTH(DATE(PlanYear,12,1),0),IF(ISNUMBER($G748),$G748,$F748)&gt;=DATE(PlanYear,12,1)),1,0))</f>
        <v>0</v>
      </c>
      <c r="AA748">
        <f>SUM($O748:$Z748)</f>
        <v>0</v>
      </c>
    </row>
    <row r="749" spans="1:27">
      <c r="A749" s="42">
        <f>IF($B749="","","ACT-"&amp;TEXT(ROW()-4,"000"))</f>
        <v>0</v>
      </c>
      <c r="M749" s="43">
        <f>IF(COUNTA($B749:$K749)=0,"",IF($B749="","Missing activity name",IF($C749="","Missing practice",IF(COUNTIF(PracticeNames,$C749)=0,"Practice not in Lists",IF($D749="","Missing motion",IF(NOT(ISNUMBER($F749)),"Missing or invalid start date",IF(AND(ISNUMBER($G749),$G749&lt;$F749),"End date before start",IF(AND($N749=1,$AA749=0),"Outside planning year","OK"))))))))</f>
        <v>0</v>
      </c>
      <c r="N749">
        <f>IF(AND($B749&lt;&gt;"",$C749&lt;&gt;"",$D749&lt;&gt;"",ISNUMBER($F749),COUNTIF(PracticeNames,$C749)&gt;0,COUNTIF(MotionNames,$D749)&gt;0,NOT(AND(ISNUMBER($G749),$G749&lt;$F749))),IF(StatusFilter="All (excl. Cancelled)",IF($H749="Cancelled",0,1),IF(StatusFilter="All",1,IF($H749=StatusFilter,1,0))),0)</f>
        <v>0</v>
      </c>
      <c r="O749">
        <f>IF($N749=0,0,IF(AND($F749&lt;=EOMONTH(DATE(PlanYear,1,1),0),IF(ISNUMBER($G749),$G749,$F749)&gt;=DATE(PlanYear,1,1)),1,0))</f>
        <v>0</v>
      </c>
      <c r="P749">
        <f>IF($N749=0,0,IF(AND($F749&lt;=EOMONTH(DATE(PlanYear,2,1),0),IF(ISNUMBER($G749),$G749,$F749)&gt;=DATE(PlanYear,2,1)),1,0))</f>
        <v>0</v>
      </c>
      <c r="Q749">
        <f>IF($N749=0,0,IF(AND($F749&lt;=EOMONTH(DATE(PlanYear,3,1),0),IF(ISNUMBER($G749),$G749,$F749)&gt;=DATE(PlanYear,3,1)),1,0))</f>
        <v>0</v>
      </c>
      <c r="R749">
        <f>IF($N749=0,0,IF(AND($F749&lt;=EOMONTH(DATE(PlanYear,4,1),0),IF(ISNUMBER($G749),$G749,$F749)&gt;=DATE(PlanYear,4,1)),1,0))</f>
        <v>0</v>
      </c>
      <c r="S749">
        <f>IF($N749=0,0,IF(AND($F749&lt;=EOMONTH(DATE(PlanYear,5,1),0),IF(ISNUMBER($G749),$G749,$F749)&gt;=DATE(PlanYear,5,1)),1,0))</f>
        <v>0</v>
      </c>
      <c r="T749">
        <f>IF($N749=0,0,IF(AND($F749&lt;=EOMONTH(DATE(PlanYear,6,1),0),IF(ISNUMBER($G749),$G749,$F749)&gt;=DATE(PlanYear,6,1)),1,0))</f>
        <v>0</v>
      </c>
      <c r="U749">
        <f>IF($N749=0,0,IF(AND($F749&lt;=EOMONTH(DATE(PlanYear,7,1),0),IF(ISNUMBER($G749),$G749,$F749)&gt;=DATE(PlanYear,7,1)),1,0))</f>
        <v>0</v>
      </c>
      <c r="V749">
        <f>IF($N749=0,0,IF(AND($F749&lt;=EOMONTH(DATE(PlanYear,8,1),0),IF(ISNUMBER($G749),$G749,$F749)&gt;=DATE(PlanYear,8,1)),1,0))</f>
        <v>0</v>
      </c>
      <c r="W749">
        <f>IF($N749=0,0,IF(AND($F749&lt;=EOMONTH(DATE(PlanYear,9,1),0),IF(ISNUMBER($G749),$G749,$F749)&gt;=DATE(PlanYear,9,1)),1,0))</f>
        <v>0</v>
      </c>
      <c r="X749">
        <f>IF($N749=0,0,IF(AND($F749&lt;=EOMONTH(DATE(PlanYear,10,1),0),IF(ISNUMBER($G749),$G749,$F749)&gt;=DATE(PlanYear,10,1)),1,0))</f>
        <v>0</v>
      </c>
      <c r="Y749">
        <f>IF($N749=0,0,IF(AND($F749&lt;=EOMONTH(DATE(PlanYear,11,1),0),IF(ISNUMBER($G749),$G749,$F749)&gt;=DATE(PlanYear,11,1)),1,0))</f>
        <v>0</v>
      </c>
      <c r="Z749">
        <f>IF($N749=0,0,IF(AND($F749&lt;=EOMONTH(DATE(PlanYear,12,1),0),IF(ISNUMBER($G749),$G749,$F749)&gt;=DATE(PlanYear,12,1)),1,0))</f>
        <v>0</v>
      </c>
      <c r="AA749">
        <f>SUM($O749:$Z749)</f>
        <v>0</v>
      </c>
    </row>
    <row r="750" spans="1:27">
      <c r="A750" s="42">
        <f>IF($B750="","","ACT-"&amp;TEXT(ROW()-4,"000"))</f>
        <v>0</v>
      </c>
      <c r="M750" s="43">
        <f>IF(COUNTA($B750:$K750)=0,"",IF($B750="","Missing activity name",IF($C750="","Missing practice",IF(COUNTIF(PracticeNames,$C750)=0,"Practice not in Lists",IF($D750="","Missing motion",IF(NOT(ISNUMBER($F750)),"Missing or invalid start date",IF(AND(ISNUMBER($G750),$G750&lt;$F750),"End date before start",IF(AND($N750=1,$AA750=0),"Outside planning year","OK"))))))))</f>
        <v>0</v>
      </c>
      <c r="N750">
        <f>IF(AND($B750&lt;&gt;"",$C750&lt;&gt;"",$D750&lt;&gt;"",ISNUMBER($F750),COUNTIF(PracticeNames,$C750)&gt;0,COUNTIF(MotionNames,$D750)&gt;0,NOT(AND(ISNUMBER($G750),$G750&lt;$F750))),IF(StatusFilter="All (excl. Cancelled)",IF($H750="Cancelled",0,1),IF(StatusFilter="All",1,IF($H750=StatusFilter,1,0))),0)</f>
        <v>0</v>
      </c>
      <c r="O750">
        <f>IF($N750=0,0,IF(AND($F750&lt;=EOMONTH(DATE(PlanYear,1,1),0),IF(ISNUMBER($G750),$G750,$F750)&gt;=DATE(PlanYear,1,1)),1,0))</f>
        <v>0</v>
      </c>
      <c r="P750">
        <f>IF($N750=0,0,IF(AND($F750&lt;=EOMONTH(DATE(PlanYear,2,1),0),IF(ISNUMBER($G750),$G750,$F750)&gt;=DATE(PlanYear,2,1)),1,0))</f>
        <v>0</v>
      </c>
      <c r="Q750">
        <f>IF($N750=0,0,IF(AND($F750&lt;=EOMONTH(DATE(PlanYear,3,1),0),IF(ISNUMBER($G750),$G750,$F750)&gt;=DATE(PlanYear,3,1)),1,0))</f>
        <v>0</v>
      </c>
      <c r="R750">
        <f>IF($N750=0,0,IF(AND($F750&lt;=EOMONTH(DATE(PlanYear,4,1),0),IF(ISNUMBER($G750),$G750,$F750)&gt;=DATE(PlanYear,4,1)),1,0))</f>
        <v>0</v>
      </c>
      <c r="S750">
        <f>IF($N750=0,0,IF(AND($F750&lt;=EOMONTH(DATE(PlanYear,5,1),0),IF(ISNUMBER($G750),$G750,$F750)&gt;=DATE(PlanYear,5,1)),1,0))</f>
        <v>0</v>
      </c>
      <c r="T750">
        <f>IF($N750=0,0,IF(AND($F750&lt;=EOMONTH(DATE(PlanYear,6,1),0),IF(ISNUMBER($G750),$G750,$F750)&gt;=DATE(PlanYear,6,1)),1,0))</f>
        <v>0</v>
      </c>
      <c r="U750">
        <f>IF($N750=0,0,IF(AND($F750&lt;=EOMONTH(DATE(PlanYear,7,1),0),IF(ISNUMBER($G750),$G750,$F750)&gt;=DATE(PlanYear,7,1)),1,0))</f>
        <v>0</v>
      </c>
      <c r="V750">
        <f>IF($N750=0,0,IF(AND($F750&lt;=EOMONTH(DATE(PlanYear,8,1),0),IF(ISNUMBER($G750),$G750,$F750)&gt;=DATE(PlanYear,8,1)),1,0))</f>
        <v>0</v>
      </c>
      <c r="W750">
        <f>IF($N750=0,0,IF(AND($F750&lt;=EOMONTH(DATE(PlanYear,9,1),0),IF(ISNUMBER($G750),$G750,$F750)&gt;=DATE(PlanYear,9,1)),1,0))</f>
        <v>0</v>
      </c>
      <c r="X750">
        <f>IF($N750=0,0,IF(AND($F750&lt;=EOMONTH(DATE(PlanYear,10,1),0),IF(ISNUMBER($G750),$G750,$F750)&gt;=DATE(PlanYear,10,1)),1,0))</f>
        <v>0</v>
      </c>
      <c r="Y750">
        <f>IF($N750=0,0,IF(AND($F750&lt;=EOMONTH(DATE(PlanYear,11,1),0),IF(ISNUMBER($G750),$G750,$F750)&gt;=DATE(PlanYear,11,1)),1,0))</f>
        <v>0</v>
      </c>
      <c r="Z750">
        <f>IF($N750=0,0,IF(AND($F750&lt;=EOMONTH(DATE(PlanYear,12,1),0),IF(ISNUMBER($G750),$G750,$F750)&gt;=DATE(PlanYear,12,1)),1,0))</f>
        <v>0</v>
      </c>
      <c r="AA750">
        <f>SUM($O750:$Z750)</f>
        <v>0</v>
      </c>
    </row>
    <row r="751" spans="1:27">
      <c r="A751" s="42">
        <f>IF($B751="","","ACT-"&amp;TEXT(ROW()-4,"000"))</f>
        <v>0</v>
      </c>
      <c r="M751" s="43">
        <f>IF(COUNTA($B751:$K751)=0,"",IF($B751="","Missing activity name",IF($C751="","Missing practice",IF(COUNTIF(PracticeNames,$C751)=0,"Practice not in Lists",IF($D751="","Missing motion",IF(NOT(ISNUMBER($F751)),"Missing or invalid start date",IF(AND(ISNUMBER($G751),$G751&lt;$F751),"End date before start",IF(AND($N751=1,$AA751=0),"Outside planning year","OK"))))))))</f>
        <v>0</v>
      </c>
      <c r="N751">
        <f>IF(AND($B751&lt;&gt;"",$C751&lt;&gt;"",$D751&lt;&gt;"",ISNUMBER($F751),COUNTIF(PracticeNames,$C751)&gt;0,COUNTIF(MotionNames,$D751)&gt;0,NOT(AND(ISNUMBER($G751),$G751&lt;$F751))),IF(StatusFilter="All (excl. Cancelled)",IF($H751="Cancelled",0,1),IF(StatusFilter="All",1,IF($H751=StatusFilter,1,0))),0)</f>
        <v>0</v>
      </c>
      <c r="O751">
        <f>IF($N751=0,0,IF(AND($F751&lt;=EOMONTH(DATE(PlanYear,1,1),0),IF(ISNUMBER($G751),$G751,$F751)&gt;=DATE(PlanYear,1,1)),1,0))</f>
        <v>0</v>
      </c>
      <c r="P751">
        <f>IF($N751=0,0,IF(AND($F751&lt;=EOMONTH(DATE(PlanYear,2,1),0),IF(ISNUMBER($G751),$G751,$F751)&gt;=DATE(PlanYear,2,1)),1,0))</f>
        <v>0</v>
      </c>
      <c r="Q751">
        <f>IF($N751=0,0,IF(AND($F751&lt;=EOMONTH(DATE(PlanYear,3,1),0),IF(ISNUMBER($G751),$G751,$F751)&gt;=DATE(PlanYear,3,1)),1,0))</f>
        <v>0</v>
      </c>
      <c r="R751">
        <f>IF($N751=0,0,IF(AND($F751&lt;=EOMONTH(DATE(PlanYear,4,1),0),IF(ISNUMBER($G751),$G751,$F751)&gt;=DATE(PlanYear,4,1)),1,0))</f>
        <v>0</v>
      </c>
      <c r="S751">
        <f>IF($N751=0,0,IF(AND($F751&lt;=EOMONTH(DATE(PlanYear,5,1),0),IF(ISNUMBER($G751),$G751,$F751)&gt;=DATE(PlanYear,5,1)),1,0))</f>
        <v>0</v>
      </c>
      <c r="T751">
        <f>IF($N751=0,0,IF(AND($F751&lt;=EOMONTH(DATE(PlanYear,6,1),0),IF(ISNUMBER($G751),$G751,$F751)&gt;=DATE(PlanYear,6,1)),1,0))</f>
        <v>0</v>
      </c>
      <c r="U751">
        <f>IF($N751=0,0,IF(AND($F751&lt;=EOMONTH(DATE(PlanYear,7,1),0),IF(ISNUMBER($G751),$G751,$F751)&gt;=DATE(PlanYear,7,1)),1,0))</f>
        <v>0</v>
      </c>
      <c r="V751">
        <f>IF($N751=0,0,IF(AND($F751&lt;=EOMONTH(DATE(PlanYear,8,1),0),IF(ISNUMBER($G751),$G751,$F751)&gt;=DATE(PlanYear,8,1)),1,0))</f>
        <v>0</v>
      </c>
      <c r="W751">
        <f>IF($N751=0,0,IF(AND($F751&lt;=EOMONTH(DATE(PlanYear,9,1),0),IF(ISNUMBER($G751),$G751,$F751)&gt;=DATE(PlanYear,9,1)),1,0))</f>
        <v>0</v>
      </c>
      <c r="X751">
        <f>IF($N751=0,0,IF(AND($F751&lt;=EOMONTH(DATE(PlanYear,10,1),0),IF(ISNUMBER($G751),$G751,$F751)&gt;=DATE(PlanYear,10,1)),1,0))</f>
        <v>0</v>
      </c>
      <c r="Y751">
        <f>IF($N751=0,0,IF(AND($F751&lt;=EOMONTH(DATE(PlanYear,11,1),0),IF(ISNUMBER($G751),$G751,$F751)&gt;=DATE(PlanYear,11,1)),1,0))</f>
        <v>0</v>
      </c>
      <c r="Z751">
        <f>IF($N751=0,0,IF(AND($F751&lt;=EOMONTH(DATE(PlanYear,12,1),0),IF(ISNUMBER($G751),$G751,$F751)&gt;=DATE(PlanYear,12,1)),1,0))</f>
        <v>0</v>
      </c>
      <c r="AA751">
        <f>SUM($O751:$Z751)</f>
        <v>0</v>
      </c>
    </row>
    <row r="752" spans="1:27">
      <c r="A752" s="42">
        <f>IF($B752="","","ACT-"&amp;TEXT(ROW()-4,"000"))</f>
        <v>0</v>
      </c>
      <c r="M752" s="43">
        <f>IF(COUNTA($B752:$K752)=0,"",IF($B752="","Missing activity name",IF($C752="","Missing practice",IF(COUNTIF(PracticeNames,$C752)=0,"Practice not in Lists",IF($D752="","Missing motion",IF(NOT(ISNUMBER($F752)),"Missing or invalid start date",IF(AND(ISNUMBER($G752),$G752&lt;$F752),"End date before start",IF(AND($N752=1,$AA752=0),"Outside planning year","OK"))))))))</f>
        <v>0</v>
      </c>
      <c r="N752">
        <f>IF(AND($B752&lt;&gt;"",$C752&lt;&gt;"",$D752&lt;&gt;"",ISNUMBER($F752),COUNTIF(PracticeNames,$C752)&gt;0,COUNTIF(MotionNames,$D752)&gt;0,NOT(AND(ISNUMBER($G752),$G752&lt;$F752))),IF(StatusFilter="All (excl. Cancelled)",IF($H752="Cancelled",0,1),IF(StatusFilter="All",1,IF($H752=StatusFilter,1,0))),0)</f>
        <v>0</v>
      </c>
      <c r="O752">
        <f>IF($N752=0,0,IF(AND($F752&lt;=EOMONTH(DATE(PlanYear,1,1),0),IF(ISNUMBER($G752),$G752,$F752)&gt;=DATE(PlanYear,1,1)),1,0))</f>
        <v>0</v>
      </c>
      <c r="P752">
        <f>IF($N752=0,0,IF(AND($F752&lt;=EOMONTH(DATE(PlanYear,2,1),0),IF(ISNUMBER($G752),$G752,$F752)&gt;=DATE(PlanYear,2,1)),1,0))</f>
        <v>0</v>
      </c>
      <c r="Q752">
        <f>IF($N752=0,0,IF(AND($F752&lt;=EOMONTH(DATE(PlanYear,3,1),0),IF(ISNUMBER($G752),$G752,$F752)&gt;=DATE(PlanYear,3,1)),1,0))</f>
        <v>0</v>
      </c>
      <c r="R752">
        <f>IF($N752=0,0,IF(AND($F752&lt;=EOMONTH(DATE(PlanYear,4,1),0),IF(ISNUMBER($G752),$G752,$F752)&gt;=DATE(PlanYear,4,1)),1,0))</f>
        <v>0</v>
      </c>
      <c r="S752">
        <f>IF($N752=0,0,IF(AND($F752&lt;=EOMONTH(DATE(PlanYear,5,1),0),IF(ISNUMBER($G752),$G752,$F752)&gt;=DATE(PlanYear,5,1)),1,0))</f>
        <v>0</v>
      </c>
      <c r="T752">
        <f>IF($N752=0,0,IF(AND($F752&lt;=EOMONTH(DATE(PlanYear,6,1),0),IF(ISNUMBER($G752),$G752,$F752)&gt;=DATE(PlanYear,6,1)),1,0))</f>
        <v>0</v>
      </c>
      <c r="U752">
        <f>IF($N752=0,0,IF(AND($F752&lt;=EOMONTH(DATE(PlanYear,7,1),0),IF(ISNUMBER($G752),$G752,$F752)&gt;=DATE(PlanYear,7,1)),1,0))</f>
        <v>0</v>
      </c>
      <c r="V752">
        <f>IF($N752=0,0,IF(AND($F752&lt;=EOMONTH(DATE(PlanYear,8,1),0),IF(ISNUMBER($G752),$G752,$F752)&gt;=DATE(PlanYear,8,1)),1,0))</f>
        <v>0</v>
      </c>
      <c r="W752">
        <f>IF($N752=0,0,IF(AND($F752&lt;=EOMONTH(DATE(PlanYear,9,1),0),IF(ISNUMBER($G752),$G752,$F752)&gt;=DATE(PlanYear,9,1)),1,0))</f>
        <v>0</v>
      </c>
      <c r="X752">
        <f>IF($N752=0,0,IF(AND($F752&lt;=EOMONTH(DATE(PlanYear,10,1),0),IF(ISNUMBER($G752),$G752,$F752)&gt;=DATE(PlanYear,10,1)),1,0))</f>
        <v>0</v>
      </c>
      <c r="Y752">
        <f>IF($N752=0,0,IF(AND($F752&lt;=EOMONTH(DATE(PlanYear,11,1),0),IF(ISNUMBER($G752),$G752,$F752)&gt;=DATE(PlanYear,11,1)),1,0))</f>
        <v>0</v>
      </c>
      <c r="Z752">
        <f>IF($N752=0,0,IF(AND($F752&lt;=EOMONTH(DATE(PlanYear,12,1),0),IF(ISNUMBER($G752),$G752,$F752)&gt;=DATE(PlanYear,12,1)),1,0))</f>
        <v>0</v>
      </c>
      <c r="AA752">
        <f>SUM($O752:$Z752)</f>
        <v>0</v>
      </c>
    </row>
    <row r="753" spans="1:27">
      <c r="A753" s="42">
        <f>IF($B753="","","ACT-"&amp;TEXT(ROW()-4,"000"))</f>
        <v>0</v>
      </c>
      <c r="M753" s="43">
        <f>IF(COUNTA($B753:$K753)=0,"",IF($B753="","Missing activity name",IF($C753="","Missing practice",IF(COUNTIF(PracticeNames,$C753)=0,"Practice not in Lists",IF($D753="","Missing motion",IF(NOT(ISNUMBER($F753)),"Missing or invalid start date",IF(AND(ISNUMBER($G753),$G753&lt;$F753),"End date before start",IF(AND($N753=1,$AA753=0),"Outside planning year","OK"))))))))</f>
        <v>0</v>
      </c>
      <c r="N753">
        <f>IF(AND($B753&lt;&gt;"",$C753&lt;&gt;"",$D753&lt;&gt;"",ISNUMBER($F753),COUNTIF(PracticeNames,$C753)&gt;0,COUNTIF(MotionNames,$D753)&gt;0,NOT(AND(ISNUMBER($G753),$G753&lt;$F753))),IF(StatusFilter="All (excl. Cancelled)",IF($H753="Cancelled",0,1),IF(StatusFilter="All",1,IF($H753=StatusFilter,1,0))),0)</f>
        <v>0</v>
      </c>
      <c r="O753">
        <f>IF($N753=0,0,IF(AND($F753&lt;=EOMONTH(DATE(PlanYear,1,1),0),IF(ISNUMBER($G753),$G753,$F753)&gt;=DATE(PlanYear,1,1)),1,0))</f>
        <v>0</v>
      </c>
      <c r="P753">
        <f>IF($N753=0,0,IF(AND($F753&lt;=EOMONTH(DATE(PlanYear,2,1),0),IF(ISNUMBER($G753),$G753,$F753)&gt;=DATE(PlanYear,2,1)),1,0))</f>
        <v>0</v>
      </c>
      <c r="Q753">
        <f>IF($N753=0,0,IF(AND($F753&lt;=EOMONTH(DATE(PlanYear,3,1),0),IF(ISNUMBER($G753),$G753,$F753)&gt;=DATE(PlanYear,3,1)),1,0))</f>
        <v>0</v>
      </c>
      <c r="R753">
        <f>IF($N753=0,0,IF(AND($F753&lt;=EOMONTH(DATE(PlanYear,4,1),0),IF(ISNUMBER($G753),$G753,$F753)&gt;=DATE(PlanYear,4,1)),1,0))</f>
        <v>0</v>
      </c>
      <c r="S753">
        <f>IF($N753=0,0,IF(AND($F753&lt;=EOMONTH(DATE(PlanYear,5,1),0),IF(ISNUMBER($G753),$G753,$F753)&gt;=DATE(PlanYear,5,1)),1,0))</f>
        <v>0</v>
      </c>
      <c r="T753">
        <f>IF($N753=0,0,IF(AND($F753&lt;=EOMONTH(DATE(PlanYear,6,1),0),IF(ISNUMBER($G753),$G753,$F753)&gt;=DATE(PlanYear,6,1)),1,0))</f>
        <v>0</v>
      </c>
      <c r="U753">
        <f>IF($N753=0,0,IF(AND($F753&lt;=EOMONTH(DATE(PlanYear,7,1),0),IF(ISNUMBER($G753),$G753,$F753)&gt;=DATE(PlanYear,7,1)),1,0))</f>
        <v>0</v>
      </c>
      <c r="V753">
        <f>IF($N753=0,0,IF(AND($F753&lt;=EOMONTH(DATE(PlanYear,8,1),0),IF(ISNUMBER($G753),$G753,$F753)&gt;=DATE(PlanYear,8,1)),1,0))</f>
        <v>0</v>
      </c>
      <c r="W753">
        <f>IF($N753=0,0,IF(AND($F753&lt;=EOMONTH(DATE(PlanYear,9,1),0),IF(ISNUMBER($G753),$G753,$F753)&gt;=DATE(PlanYear,9,1)),1,0))</f>
        <v>0</v>
      </c>
      <c r="X753">
        <f>IF($N753=0,0,IF(AND($F753&lt;=EOMONTH(DATE(PlanYear,10,1),0),IF(ISNUMBER($G753),$G753,$F753)&gt;=DATE(PlanYear,10,1)),1,0))</f>
        <v>0</v>
      </c>
      <c r="Y753">
        <f>IF($N753=0,0,IF(AND($F753&lt;=EOMONTH(DATE(PlanYear,11,1),0),IF(ISNUMBER($G753),$G753,$F753)&gt;=DATE(PlanYear,11,1)),1,0))</f>
        <v>0</v>
      </c>
      <c r="Z753">
        <f>IF($N753=0,0,IF(AND($F753&lt;=EOMONTH(DATE(PlanYear,12,1),0),IF(ISNUMBER($G753),$G753,$F753)&gt;=DATE(PlanYear,12,1)),1,0))</f>
        <v>0</v>
      </c>
      <c r="AA753">
        <f>SUM($O753:$Z753)</f>
        <v>0</v>
      </c>
    </row>
    <row r="754" spans="1:27">
      <c r="A754" s="42">
        <f>IF($B754="","","ACT-"&amp;TEXT(ROW()-4,"000"))</f>
        <v>0</v>
      </c>
      <c r="M754" s="43">
        <f>IF(COUNTA($B754:$K754)=0,"",IF($B754="","Missing activity name",IF($C754="","Missing practice",IF(COUNTIF(PracticeNames,$C754)=0,"Practice not in Lists",IF($D754="","Missing motion",IF(NOT(ISNUMBER($F754)),"Missing or invalid start date",IF(AND(ISNUMBER($G754),$G754&lt;$F754),"End date before start",IF(AND($N754=1,$AA754=0),"Outside planning year","OK"))))))))</f>
        <v>0</v>
      </c>
      <c r="N754">
        <f>IF(AND($B754&lt;&gt;"",$C754&lt;&gt;"",$D754&lt;&gt;"",ISNUMBER($F754),COUNTIF(PracticeNames,$C754)&gt;0,COUNTIF(MotionNames,$D754)&gt;0,NOT(AND(ISNUMBER($G754),$G754&lt;$F754))),IF(StatusFilter="All (excl. Cancelled)",IF($H754="Cancelled",0,1),IF(StatusFilter="All",1,IF($H754=StatusFilter,1,0))),0)</f>
        <v>0</v>
      </c>
      <c r="O754">
        <f>IF($N754=0,0,IF(AND($F754&lt;=EOMONTH(DATE(PlanYear,1,1),0),IF(ISNUMBER($G754),$G754,$F754)&gt;=DATE(PlanYear,1,1)),1,0))</f>
        <v>0</v>
      </c>
      <c r="P754">
        <f>IF($N754=0,0,IF(AND($F754&lt;=EOMONTH(DATE(PlanYear,2,1),0),IF(ISNUMBER($G754),$G754,$F754)&gt;=DATE(PlanYear,2,1)),1,0))</f>
        <v>0</v>
      </c>
      <c r="Q754">
        <f>IF($N754=0,0,IF(AND($F754&lt;=EOMONTH(DATE(PlanYear,3,1),0),IF(ISNUMBER($G754),$G754,$F754)&gt;=DATE(PlanYear,3,1)),1,0))</f>
        <v>0</v>
      </c>
      <c r="R754">
        <f>IF($N754=0,0,IF(AND($F754&lt;=EOMONTH(DATE(PlanYear,4,1),0),IF(ISNUMBER($G754),$G754,$F754)&gt;=DATE(PlanYear,4,1)),1,0))</f>
        <v>0</v>
      </c>
      <c r="S754">
        <f>IF($N754=0,0,IF(AND($F754&lt;=EOMONTH(DATE(PlanYear,5,1),0),IF(ISNUMBER($G754),$G754,$F754)&gt;=DATE(PlanYear,5,1)),1,0))</f>
        <v>0</v>
      </c>
      <c r="T754">
        <f>IF($N754=0,0,IF(AND($F754&lt;=EOMONTH(DATE(PlanYear,6,1),0),IF(ISNUMBER($G754),$G754,$F754)&gt;=DATE(PlanYear,6,1)),1,0))</f>
        <v>0</v>
      </c>
      <c r="U754">
        <f>IF($N754=0,0,IF(AND($F754&lt;=EOMONTH(DATE(PlanYear,7,1),0),IF(ISNUMBER($G754),$G754,$F754)&gt;=DATE(PlanYear,7,1)),1,0))</f>
        <v>0</v>
      </c>
      <c r="V754">
        <f>IF($N754=0,0,IF(AND($F754&lt;=EOMONTH(DATE(PlanYear,8,1),0),IF(ISNUMBER($G754),$G754,$F754)&gt;=DATE(PlanYear,8,1)),1,0))</f>
        <v>0</v>
      </c>
      <c r="W754">
        <f>IF($N754=0,0,IF(AND($F754&lt;=EOMONTH(DATE(PlanYear,9,1),0),IF(ISNUMBER($G754),$G754,$F754)&gt;=DATE(PlanYear,9,1)),1,0))</f>
        <v>0</v>
      </c>
      <c r="X754">
        <f>IF($N754=0,0,IF(AND($F754&lt;=EOMONTH(DATE(PlanYear,10,1),0),IF(ISNUMBER($G754),$G754,$F754)&gt;=DATE(PlanYear,10,1)),1,0))</f>
        <v>0</v>
      </c>
      <c r="Y754">
        <f>IF($N754=0,0,IF(AND($F754&lt;=EOMONTH(DATE(PlanYear,11,1),0),IF(ISNUMBER($G754),$G754,$F754)&gt;=DATE(PlanYear,11,1)),1,0))</f>
        <v>0</v>
      </c>
      <c r="Z754">
        <f>IF($N754=0,0,IF(AND($F754&lt;=EOMONTH(DATE(PlanYear,12,1),0),IF(ISNUMBER($G754),$G754,$F754)&gt;=DATE(PlanYear,12,1)),1,0))</f>
        <v>0</v>
      </c>
      <c r="AA754">
        <f>SUM($O754:$Z754)</f>
        <v>0</v>
      </c>
    </row>
    <row r="755" spans="1:27">
      <c r="A755" s="42">
        <f>IF($B755="","","ACT-"&amp;TEXT(ROW()-4,"000"))</f>
        <v>0</v>
      </c>
      <c r="M755" s="43">
        <f>IF(COUNTA($B755:$K755)=0,"",IF($B755="","Missing activity name",IF($C755="","Missing practice",IF(COUNTIF(PracticeNames,$C755)=0,"Practice not in Lists",IF($D755="","Missing motion",IF(NOT(ISNUMBER($F755)),"Missing or invalid start date",IF(AND(ISNUMBER($G755),$G755&lt;$F755),"End date before start",IF(AND($N755=1,$AA755=0),"Outside planning year","OK"))))))))</f>
        <v>0</v>
      </c>
      <c r="N755">
        <f>IF(AND($B755&lt;&gt;"",$C755&lt;&gt;"",$D755&lt;&gt;"",ISNUMBER($F755),COUNTIF(PracticeNames,$C755)&gt;0,COUNTIF(MotionNames,$D755)&gt;0,NOT(AND(ISNUMBER($G755),$G755&lt;$F755))),IF(StatusFilter="All (excl. Cancelled)",IF($H755="Cancelled",0,1),IF(StatusFilter="All",1,IF($H755=StatusFilter,1,0))),0)</f>
        <v>0</v>
      </c>
      <c r="O755">
        <f>IF($N755=0,0,IF(AND($F755&lt;=EOMONTH(DATE(PlanYear,1,1),0),IF(ISNUMBER($G755),$G755,$F755)&gt;=DATE(PlanYear,1,1)),1,0))</f>
        <v>0</v>
      </c>
      <c r="P755">
        <f>IF($N755=0,0,IF(AND($F755&lt;=EOMONTH(DATE(PlanYear,2,1),0),IF(ISNUMBER($G755),$G755,$F755)&gt;=DATE(PlanYear,2,1)),1,0))</f>
        <v>0</v>
      </c>
      <c r="Q755">
        <f>IF($N755=0,0,IF(AND($F755&lt;=EOMONTH(DATE(PlanYear,3,1),0),IF(ISNUMBER($G755),$G755,$F755)&gt;=DATE(PlanYear,3,1)),1,0))</f>
        <v>0</v>
      </c>
      <c r="R755">
        <f>IF($N755=0,0,IF(AND($F755&lt;=EOMONTH(DATE(PlanYear,4,1),0),IF(ISNUMBER($G755),$G755,$F755)&gt;=DATE(PlanYear,4,1)),1,0))</f>
        <v>0</v>
      </c>
      <c r="S755">
        <f>IF($N755=0,0,IF(AND($F755&lt;=EOMONTH(DATE(PlanYear,5,1),0),IF(ISNUMBER($G755),$G755,$F755)&gt;=DATE(PlanYear,5,1)),1,0))</f>
        <v>0</v>
      </c>
      <c r="T755">
        <f>IF($N755=0,0,IF(AND($F755&lt;=EOMONTH(DATE(PlanYear,6,1),0),IF(ISNUMBER($G755),$G755,$F755)&gt;=DATE(PlanYear,6,1)),1,0))</f>
        <v>0</v>
      </c>
      <c r="U755">
        <f>IF($N755=0,0,IF(AND($F755&lt;=EOMONTH(DATE(PlanYear,7,1),0),IF(ISNUMBER($G755),$G755,$F755)&gt;=DATE(PlanYear,7,1)),1,0))</f>
        <v>0</v>
      </c>
      <c r="V755">
        <f>IF($N755=0,0,IF(AND($F755&lt;=EOMONTH(DATE(PlanYear,8,1),0),IF(ISNUMBER($G755),$G755,$F755)&gt;=DATE(PlanYear,8,1)),1,0))</f>
        <v>0</v>
      </c>
      <c r="W755">
        <f>IF($N755=0,0,IF(AND($F755&lt;=EOMONTH(DATE(PlanYear,9,1),0),IF(ISNUMBER($G755),$G755,$F755)&gt;=DATE(PlanYear,9,1)),1,0))</f>
        <v>0</v>
      </c>
      <c r="X755">
        <f>IF($N755=0,0,IF(AND($F755&lt;=EOMONTH(DATE(PlanYear,10,1),0),IF(ISNUMBER($G755),$G755,$F755)&gt;=DATE(PlanYear,10,1)),1,0))</f>
        <v>0</v>
      </c>
      <c r="Y755">
        <f>IF($N755=0,0,IF(AND($F755&lt;=EOMONTH(DATE(PlanYear,11,1),0),IF(ISNUMBER($G755),$G755,$F755)&gt;=DATE(PlanYear,11,1)),1,0))</f>
        <v>0</v>
      </c>
      <c r="Z755">
        <f>IF($N755=0,0,IF(AND($F755&lt;=EOMONTH(DATE(PlanYear,12,1),0),IF(ISNUMBER($G755),$G755,$F755)&gt;=DATE(PlanYear,12,1)),1,0))</f>
        <v>0</v>
      </c>
      <c r="AA755">
        <f>SUM($O755:$Z755)</f>
        <v>0</v>
      </c>
    </row>
    <row r="756" spans="1:27">
      <c r="A756" s="42">
        <f>IF($B756="","","ACT-"&amp;TEXT(ROW()-4,"000"))</f>
        <v>0</v>
      </c>
      <c r="M756" s="43">
        <f>IF(COUNTA($B756:$K756)=0,"",IF($B756="","Missing activity name",IF($C756="","Missing practice",IF(COUNTIF(PracticeNames,$C756)=0,"Practice not in Lists",IF($D756="","Missing motion",IF(NOT(ISNUMBER($F756)),"Missing or invalid start date",IF(AND(ISNUMBER($G756),$G756&lt;$F756),"End date before start",IF(AND($N756=1,$AA756=0),"Outside planning year","OK"))))))))</f>
        <v>0</v>
      </c>
      <c r="N756">
        <f>IF(AND($B756&lt;&gt;"",$C756&lt;&gt;"",$D756&lt;&gt;"",ISNUMBER($F756),COUNTIF(PracticeNames,$C756)&gt;0,COUNTIF(MotionNames,$D756)&gt;0,NOT(AND(ISNUMBER($G756),$G756&lt;$F756))),IF(StatusFilter="All (excl. Cancelled)",IF($H756="Cancelled",0,1),IF(StatusFilter="All",1,IF($H756=StatusFilter,1,0))),0)</f>
        <v>0</v>
      </c>
      <c r="O756">
        <f>IF($N756=0,0,IF(AND($F756&lt;=EOMONTH(DATE(PlanYear,1,1),0),IF(ISNUMBER($G756),$G756,$F756)&gt;=DATE(PlanYear,1,1)),1,0))</f>
        <v>0</v>
      </c>
      <c r="P756">
        <f>IF($N756=0,0,IF(AND($F756&lt;=EOMONTH(DATE(PlanYear,2,1),0),IF(ISNUMBER($G756),$G756,$F756)&gt;=DATE(PlanYear,2,1)),1,0))</f>
        <v>0</v>
      </c>
      <c r="Q756">
        <f>IF($N756=0,0,IF(AND($F756&lt;=EOMONTH(DATE(PlanYear,3,1),0),IF(ISNUMBER($G756),$G756,$F756)&gt;=DATE(PlanYear,3,1)),1,0))</f>
        <v>0</v>
      </c>
      <c r="R756">
        <f>IF($N756=0,0,IF(AND($F756&lt;=EOMONTH(DATE(PlanYear,4,1),0),IF(ISNUMBER($G756),$G756,$F756)&gt;=DATE(PlanYear,4,1)),1,0))</f>
        <v>0</v>
      </c>
      <c r="S756">
        <f>IF($N756=0,0,IF(AND($F756&lt;=EOMONTH(DATE(PlanYear,5,1),0),IF(ISNUMBER($G756),$G756,$F756)&gt;=DATE(PlanYear,5,1)),1,0))</f>
        <v>0</v>
      </c>
      <c r="T756">
        <f>IF($N756=0,0,IF(AND($F756&lt;=EOMONTH(DATE(PlanYear,6,1),0),IF(ISNUMBER($G756),$G756,$F756)&gt;=DATE(PlanYear,6,1)),1,0))</f>
        <v>0</v>
      </c>
      <c r="U756">
        <f>IF($N756=0,0,IF(AND($F756&lt;=EOMONTH(DATE(PlanYear,7,1),0),IF(ISNUMBER($G756),$G756,$F756)&gt;=DATE(PlanYear,7,1)),1,0))</f>
        <v>0</v>
      </c>
      <c r="V756">
        <f>IF($N756=0,0,IF(AND($F756&lt;=EOMONTH(DATE(PlanYear,8,1),0),IF(ISNUMBER($G756),$G756,$F756)&gt;=DATE(PlanYear,8,1)),1,0))</f>
        <v>0</v>
      </c>
      <c r="W756">
        <f>IF($N756=0,0,IF(AND($F756&lt;=EOMONTH(DATE(PlanYear,9,1),0),IF(ISNUMBER($G756),$G756,$F756)&gt;=DATE(PlanYear,9,1)),1,0))</f>
        <v>0</v>
      </c>
      <c r="X756">
        <f>IF($N756=0,0,IF(AND($F756&lt;=EOMONTH(DATE(PlanYear,10,1),0),IF(ISNUMBER($G756),$G756,$F756)&gt;=DATE(PlanYear,10,1)),1,0))</f>
        <v>0</v>
      </c>
      <c r="Y756">
        <f>IF($N756=0,0,IF(AND($F756&lt;=EOMONTH(DATE(PlanYear,11,1),0),IF(ISNUMBER($G756),$G756,$F756)&gt;=DATE(PlanYear,11,1)),1,0))</f>
        <v>0</v>
      </c>
      <c r="Z756">
        <f>IF($N756=0,0,IF(AND($F756&lt;=EOMONTH(DATE(PlanYear,12,1),0),IF(ISNUMBER($G756),$G756,$F756)&gt;=DATE(PlanYear,12,1)),1,0))</f>
        <v>0</v>
      </c>
      <c r="AA756">
        <f>SUM($O756:$Z756)</f>
        <v>0</v>
      </c>
    </row>
    <row r="757" spans="1:27">
      <c r="A757" s="42">
        <f>IF($B757="","","ACT-"&amp;TEXT(ROW()-4,"000"))</f>
        <v>0</v>
      </c>
      <c r="M757" s="43">
        <f>IF(COUNTA($B757:$K757)=0,"",IF($B757="","Missing activity name",IF($C757="","Missing practice",IF(COUNTIF(PracticeNames,$C757)=0,"Practice not in Lists",IF($D757="","Missing motion",IF(NOT(ISNUMBER($F757)),"Missing or invalid start date",IF(AND(ISNUMBER($G757),$G757&lt;$F757),"End date before start",IF(AND($N757=1,$AA757=0),"Outside planning year","OK"))))))))</f>
        <v>0</v>
      </c>
      <c r="N757">
        <f>IF(AND($B757&lt;&gt;"",$C757&lt;&gt;"",$D757&lt;&gt;"",ISNUMBER($F757),COUNTIF(PracticeNames,$C757)&gt;0,COUNTIF(MotionNames,$D757)&gt;0,NOT(AND(ISNUMBER($G757),$G757&lt;$F757))),IF(StatusFilter="All (excl. Cancelled)",IF($H757="Cancelled",0,1),IF(StatusFilter="All",1,IF($H757=StatusFilter,1,0))),0)</f>
        <v>0</v>
      </c>
      <c r="O757">
        <f>IF($N757=0,0,IF(AND($F757&lt;=EOMONTH(DATE(PlanYear,1,1),0),IF(ISNUMBER($G757),$G757,$F757)&gt;=DATE(PlanYear,1,1)),1,0))</f>
        <v>0</v>
      </c>
      <c r="P757">
        <f>IF($N757=0,0,IF(AND($F757&lt;=EOMONTH(DATE(PlanYear,2,1),0),IF(ISNUMBER($G757),$G757,$F757)&gt;=DATE(PlanYear,2,1)),1,0))</f>
        <v>0</v>
      </c>
      <c r="Q757">
        <f>IF($N757=0,0,IF(AND($F757&lt;=EOMONTH(DATE(PlanYear,3,1),0),IF(ISNUMBER($G757),$G757,$F757)&gt;=DATE(PlanYear,3,1)),1,0))</f>
        <v>0</v>
      </c>
      <c r="R757">
        <f>IF($N757=0,0,IF(AND($F757&lt;=EOMONTH(DATE(PlanYear,4,1),0),IF(ISNUMBER($G757),$G757,$F757)&gt;=DATE(PlanYear,4,1)),1,0))</f>
        <v>0</v>
      </c>
      <c r="S757">
        <f>IF($N757=0,0,IF(AND($F757&lt;=EOMONTH(DATE(PlanYear,5,1),0),IF(ISNUMBER($G757),$G757,$F757)&gt;=DATE(PlanYear,5,1)),1,0))</f>
        <v>0</v>
      </c>
      <c r="T757">
        <f>IF($N757=0,0,IF(AND($F757&lt;=EOMONTH(DATE(PlanYear,6,1),0),IF(ISNUMBER($G757),$G757,$F757)&gt;=DATE(PlanYear,6,1)),1,0))</f>
        <v>0</v>
      </c>
      <c r="U757">
        <f>IF($N757=0,0,IF(AND($F757&lt;=EOMONTH(DATE(PlanYear,7,1),0),IF(ISNUMBER($G757),$G757,$F757)&gt;=DATE(PlanYear,7,1)),1,0))</f>
        <v>0</v>
      </c>
      <c r="V757">
        <f>IF($N757=0,0,IF(AND($F757&lt;=EOMONTH(DATE(PlanYear,8,1),0),IF(ISNUMBER($G757),$G757,$F757)&gt;=DATE(PlanYear,8,1)),1,0))</f>
        <v>0</v>
      </c>
      <c r="W757">
        <f>IF($N757=0,0,IF(AND($F757&lt;=EOMONTH(DATE(PlanYear,9,1),0),IF(ISNUMBER($G757),$G757,$F757)&gt;=DATE(PlanYear,9,1)),1,0))</f>
        <v>0</v>
      </c>
      <c r="X757">
        <f>IF($N757=0,0,IF(AND($F757&lt;=EOMONTH(DATE(PlanYear,10,1),0),IF(ISNUMBER($G757),$G757,$F757)&gt;=DATE(PlanYear,10,1)),1,0))</f>
        <v>0</v>
      </c>
      <c r="Y757">
        <f>IF($N757=0,0,IF(AND($F757&lt;=EOMONTH(DATE(PlanYear,11,1),0),IF(ISNUMBER($G757),$G757,$F757)&gt;=DATE(PlanYear,11,1)),1,0))</f>
        <v>0</v>
      </c>
      <c r="Z757">
        <f>IF($N757=0,0,IF(AND($F757&lt;=EOMONTH(DATE(PlanYear,12,1),0),IF(ISNUMBER($G757),$G757,$F757)&gt;=DATE(PlanYear,12,1)),1,0))</f>
        <v>0</v>
      </c>
      <c r="AA757">
        <f>SUM($O757:$Z757)</f>
        <v>0</v>
      </c>
    </row>
    <row r="758" spans="1:27">
      <c r="A758" s="42">
        <f>IF($B758="","","ACT-"&amp;TEXT(ROW()-4,"000"))</f>
        <v>0</v>
      </c>
      <c r="M758" s="43">
        <f>IF(COUNTA($B758:$K758)=0,"",IF($B758="","Missing activity name",IF($C758="","Missing practice",IF(COUNTIF(PracticeNames,$C758)=0,"Practice not in Lists",IF($D758="","Missing motion",IF(NOT(ISNUMBER($F758)),"Missing or invalid start date",IF(AND(ISNUMBER($G758),$G758&lt;$F758),"End date before start",IF(AND($N758=1,$AA758=0),"Outside planning year","OK"))))))))</f>
        <v>0</v>
      </c>
      <c r="N758">
        <f>IF(AND($B758&lt;&gt;"",$C758&lt;&gt;"",$D758&lt;&gt;"",ISNUMBER($F758),COUNTIF(PracticeNames,$C758)&gt;0,COUNTIF(MotionNames,$D758)&gt;0,NOT(AND(ISNUMBER($G758),$G758&lt;$F758))),IF(StatusFilter="All (excl. Cancelled)",IF($H758="Cancelled",0,1),IF(StatusFilter="All",1,IF($H758=StatusFilter,1,0))),0)</f>
        <v>0</v>
      </c>
      <c r="O758">
        <f>IF($N758=0,0,IF(AND($F758&lt;=EOMONTH(DATE(PlanYear,1,1),0),IF(ISNUMBER($G758),$G758,$F758)&gt;=DATE(PlanYear,1,1)),1,0))</f>
        <v>0</v>
      </c>
      <c r="P758">
        <f>IF($N758=0,0,IF(AND($F758&lt;=EOMONTH(DATE(PlanYear,2,1),0),IF(ISNUMBER($G758),$G758,$F758)&gt;=DATE(PlanYear,2,1)),1,0))</f>
        <v>0</v>
      </c>
      <c r="Q758">
        <f>IF($N758=0,0,IF(AND($F758&lt;=EOMONTH(DATE(PlanYear,3,1),0),IF(ISNUMBER($G758),$G758,$F758)&gt;=DATE(PlanYear,3,1)),1,0))</f>
        <v>0</v>
      </c>
      <c r="R758">
        <f>IF($N758=0,0,IF(AND($F758&lt;=EOMONTH(DATE(PlanYear,4,1),0),IF(ISNUMBER($G758),$G758,$F758)&gt;=DATE(PlanYear,4,1)),1,0))</f>
        <v>0</v>
      </c>
      <c r="S758">
        <f>IF($N758=0,0,IF(AND($F758&lt;=EOMONTH(DATE(PlanYear,5,1),0),IF(ISNUMBER($G758),$G758,$F758)&gt;=DATE(PlanYear,5,1)),1,0))</f>
        <v>0</v>
      </c>
      <c r="T758">
        <f>IF($N758=0,0,IF(AND($F758&lt;=EOMONTH(DATE(PlanYear,6,1),0),IF(ISNUMBER($G758),$G758,$F758)&gt;=DATE(PlanYear,6,1)),1,0))</f>
        <v>0</v>
      </c>
      <c r="U758">
        <f>IF($N758=0,0,IF(AND($F758&lt;=EOMONTH(DATE(PlanYear,7,1),0),IF(ISNUMBER($G758),$G758,$F758)&gt;=DATE(PlanYear,7,1)),1,0))</f>
        <v>0</v>
      </c>
      <c r="V758">
        <f>IF($N758=0,0,IF(AND($F758&lt;=EOMONTH(DATE(PlanYear,8,1),0),IF(ISNUMBER($G758),$G758,$F758)&gt;=DATE(PlanYear,8,1)),1,0))</f>
        <v>0</v>
      </c>
      <c r="W758">
        <f>IF($N758=0,0,IF(AND($F758&lt;=EOMONTH(DATE(PlanYear,9,1),0),IF(ISNUMBER($G758),$G758,$F758)&gt;=DATE(PlanYear,9,1)),1,0))</f>
        <v>0</v>
      </c>
      <c r="X758">
        <f>IF($N758=0,0,IF(AND($F758&lt;=EOMONTH(DATE(PlanYear,10,1),0),IF(ISNUMBER($G758),$G758,$F758)&gt;=DATE(PlanYear,10,1)),1,0))</f>
        <v>0</v>
      </c>
      <c r="Y758">
        <f>IF($N758=0,0,IF(AND($F758&lt;=EOMONTH(DATE(PlanYear,11,1),0),IF(ISNUMBER($G758),$G758,$F758)&gt;=DATE(PlanYear,11,1)),1,0))</f>
        <v>0</v>
      </c>
      <c r="Z758">
        <f>IF($N758=0,0,IF(AND($F758&lt;=EOMONTH(DATE(PlanYear,12,1),0),IF(ISNUMBER($G758),$G758,$F758)&gt;=DATE(PlanYear,12,1)),1,0))</f>
        <v>0</v>
      </c>
      <c r="AA758">
        <f>SUM($O758:$Z758)</f>
        <v>0</v>
      </c>
    </row>
    <row r="759" spans="1:27">
      <c r="A759" s="42">
        <f>IF($B759="","","ACT-"&amp;TEXT(ROW()-4,"000"))</f>
        <v>0</v>
      </c>
      <c r="M759" s="43">
        <f>IF(COUNTA($B759:$K759)=0,"",IF($B759="","Missing activity name",IF($C759="","Missing practice",IF(COUNTIF(PracticeNames,$C759)=0,"Practice not in Lists",IF($D759="","Missing motion",IF(NOT(ISNUMBER($F759)),"Missing or invalid start date",IF(AND(ISNUMBER($G759),$G759&lt;$F759),"End date before start",IF(AND($N759=1,$AA759=0),"Outside planning year","OK"))))))))</f>
        <v>0</v>
      </c>
      <c r="N759">
        <f>IF(AND($B759&lt;&gt;"",$C759&lt;&gt;"",$D759&lt;&gt;"",ISNUMBER($F759),COUNTIF(PracticeNames,$C759)&gt;0,COUNTIF(MotionNames,$D759)&gt;0,NOT(AND(ISNUMBER($G759),$G759&lt;$F759))),IF(StatusFilter="All (excl. Cancelled)",IF($H759="Cancelled",0,1),IF(StatusFilter="All",1,IF($H759=StatusFilter,1,0))),0)</f>
        <v>0</v>
      </c>
      <c r="O759">
        <f>IF($N759=0,0,IF(AND($F759&lt;=EOMONTH(DATE(PlanYear,1,1),0),IF(ISNUMBER($G759),$G759,$F759)&gt;=DATE(PlanYear,1,1)),1,0))</f>
        <v>0</v>
      </c>
      <c r="P759">
        <f>IF($N759=0,0,IF(AND($F759&lt;=EOMONTH(DATE(PlanYear,2,1),0),IF(ISNUMBER($G759),$G759,$F759)&gt;=DATE(PlanYear,2,1)),1,0))</f>
        <v>0</v>
      </c>
      <c r="Q759">
        <f>IF($N759=0,0,IF(AND($F759&lt;=EOMONTH(DATE(PlanYear,3,1),0),IF(ISNUMBER($G759),$G759,$F759)&gt;=DATE(PlanYear,3,1)),1,0))</f>
        <v>0</v>
      </c>
      <c r="R759">
        <f>IF($N759=0,0,IF(AND($F759&lt;=EOMONTH(DATE(PlanYear,4,1),0),IF(ISNUMBER($G759),$G759,$F759)&gt;=DATE(PlanYear,4,1)),1,0))</f>
        <v>0</v>
      </c>
      <c r="S759">
        <f>IF($N759=0,0,IF(AND($F759&lt;=EOMONTH(DATE(PlanYear,5,1),0),IF(ISNUMBER($G759),$G759,$F759)&gt;=DATE(PlanYear,5,1)),1,0))</f>
        <v>0</v>
      </c>
      <c r="T759">
        <f>IF($N759=0,0,IF(AND($F759&lt;=EOMONTH(DATE(PlanYear,6,1),0),IF(ISNUMBER($G759),$G759,$F759)&gt;=DATE(PlanYear,6,1)),1,0))</f>
        <v>0</v>
      </c>
      <c r="U759">
        <f>IF($N759=0,0,IF(AND($F759&lt;=EOMONTH(DATE(PlanYear,7,1),0),IF(ISNUMBER($G759),$G759,$F759)&gt;=DATE(PlanYear,7,1)),1,0))</f>
        <v>0</v>
      </c>
      <c r="V759">
        <f>IF($N759=0,0,IF(AND($F759&lt;=EOMONTH(DATE(PlanYear,8,1),0),IF(ISNUMBER($G759),$G759,$F759)&gt;=DATE(PlanYear,8,1)),1,0))</f>
        <v>0</v>
      </c>
      <c r="W759">
        <f>IF($N759=0,0,IF(AND($F759&lt;=EOMONTH(DATE(PlanYear,9,1),0),IF(ISNUMBER($G759),$G759,$F759)&gt;=DATE(PlanYear,9,1)),1,0))</f>
        <v>0</v>
      </c>
      <c r="X759">
        <f>IF($N759=0,0,IF(AND($F759&lt;=EOMONTH(DATE(PlanYear,10,1),0),IF(ISNUMBER($G759),$G759,$F759)&gt;=DATE(PlanYear,10,1)),1,0))</f>
        <v>0</v>
      </c>
      <c r="Y759">
        <f>IF($N759=0,0,IF(AND($F759&lt;=EOMONTH(DATE(PlanYear,11,1),0),IF(ISNUMBER($G759),$G759,$F759)&gt;=DATE(PlanYear,11,1)),1,0))</f>
        <v>0</v>
      </c>
      <c r="Z759">
        <f>IF($N759=0,0,IF(AND($F759&lt;=EOMONTH(DATE(PlanYear,12,1),0),IF(ISNUMBER($G759),$G759,$F759)&gt;=DATE(PlanYear,12,1)),1,0))</f>
        <v>0</v>
      </c>
      <c r="AA759">
        <f>SUM($O759:$Z759)</f>
        <v>0</v>
      </c>
    </row>
    <row r="760" spans="1:27">
      <c r="A760" s="42">
        <f>IF($B760="","","ACT-"&amp;TEXT(ROW()-4,"000"))</f>
        <v>0</v>
      </c>
      <c r="M760" s="43">
        <f>IF(COUNTA($B760:$K760)=0,"",IF($B760="","Missing activity name",IF($C760="","Missing practice",IF(COUNTIF(PracticeNames,$C760)=0,"Practice not in Lists",IF($D760="","Missing motion",IF(NOT(ISNUMBER($F760)),"Missing or invalid start date",IF(AND(ISNUMBER($G760),$G760&lt;$F760),"End date before start",IF(AND($N760=1,$AA760=0),"Outside planning year","OK"))))))))</f>
        <v>0</v>
      </c>
      <c r="N760">
        <f>IF(AND($B760&lt;&gt;"",$C760&lt;&gt;"",$D760&lt;&gt;"",ISNUMBER($F760),COUNTIF(PracticeNames,$C760)&gt;0,COUNTIF(MotionNames,$D760)&gt;0,NOT(AND(ISNUMBER($G760),$G760&lt;$F760))),IF(StatusFilter="All (excl. Cancelled)",IF($H760="Cancelled",0,1),IF(StatusFilter="All",1,IF($H760=StatusFilter,1,0))),0)</f>
        <v>0</v>
      </c>
      <c r="O760">
        <f>IF($N760=0,0,IF(AND($F760&lt;=EOMONTH(DATE(PlanYear,1,1),0),IF(ISNUMBER($G760),$G760,$F760)&gt;=DATE(PlanYear,1,1)),1,0))</f>
        <v>0</v>
      </c>
      <c r="P760">
        <f>IF($N760=0,0,IF(AND($F760&lt;=EOMONTH(DATE(PlanYear,2,1),0),IF(ISNUMBER($G760),$G760,$F760)&gt;=DATE(PlanYear,2,1)),1,0))</f>
        <v>0</v>
      </c>
      <c r="Q760">
        <f>IF($N760=0,0,IF(AND($F760&lt;=EOMONTH(DATE(PlanYear,3,1),0),IF(ISNUMBER($G760),$G760,$F760)&gt;=DATE(PlanYear,3,1)),1,0))</f>
        <v>0</v>
      </c>
      <c r="R760">
        <f>IF($N760=0,0,IF(AND($F760&lt;=EOMONTH(DATE(PlanYear,4,1),0),IF(ISNUMBER($G760),$G760,$F760)&gt;=DATE(PlanYear,4,1)),1,0))</f>
        <v>0</v>
      </c>
      <c r="S760">
        <f>IF($N760=0,0,IF(AND($F760&lt;=EOMONTH(DATE(PlanYear,5,1),0),IF(ISNUMBER($G760),$G760,$F760)&gt;=DATE(PlanYear,5,1)),1,0))</f>
        <v>0</v>
      </c>
      <c r="T760">
        <f>IF($N760=0,0,IF(AND($F760&lt;=EOMONTH(DATE(PlanYear,6,1),0),IF(ISNUMBER($G760),$G760,$F760)&gt;=DATE(PlanYear,6,1)),1,0))</f>
        <v>0</v>
      </c>
      <c r="U760">
        <f>IF($N760=0,0,IF(AND($F760&lt;=EOMONTH(DATE(PlanYear,7,1),0),IF(ISNUMBER($G760),$G760,$F760)&gt;=DATE(PlanYear,7,1)),1,0))</f>
        <v>0</v>
      </c>
      <c r="V760">
        <f>IF($N760=0,0,IF(AND($F760&lt;=EOMONTH(DATE(PlanYear,8,1),0),IF(ISNUMBER($G760),$G760,$F760)&gt;=DATE(PlanYear,8,1)),1,0))</f>
        <v>0</v>
      </c>
      <c r="W760">
        <f>IF($N760=0,0,IF(AND($F760&lt;=EOMONTH(DATE(PlanYear,9,1),0),IF(ISNUMBER($G760),$G760,$F760)&gt;=DATE(PlanYear,9,1)),1,0))</f>
        <v>0</v>
      </c>
      <c r="X760">
        <f>IF($N760=0,0,IF(AND($F760&lt;=EOMONTH(DATE(PlanYear,10,1),0),IF(ISNUMBER($G760),$G760,$F760)&gt;=DATE(PlanYear,10,1)),1,0))</f>
        <v>0</v>
      </c>
      <c r="Y760">
        <f>IF($N760=0,0,IF(AND($F760&lt;=EOMONTH(DATE(PlanYear,11,1),0),IF(ISNUMBER($G760),$G760,$F760)&gt;=DATE(PlanYear,11,1)),1,0))</f>
        <v>0</v>
      </c>
      <c r="Z760">
        <f>IF($N760=0,0,IF(AND($F760&lt;=EOMONTH(DATE(PlanYear,12,1),0),IF(ISNUMBER($G760),$G760,$F760)&gt;=DATE(PlanYear,12,1)),1,0))</f>
        <v>0</v>
      </c>
      <c r="AA760">
        <f>SUM($O760:$Z760)</f>
        <v>0</v>
      </c>
    </row>
    <row r="761" spans="1:27">
      <c r="A761" s="42">
        <f>IF($B761="","","ACT-"&amp;TEXT(ROW()-4,"000"))</f>
        <v>0</v>
      </c>
      <c r="M761" s="43">
        <f>IF(COUNTA($B761:$K761)=0,"",IF($B761="","Missing activity name",IF($C761="","Missing practice",IF(COUNTIF(PracticeNames,$C761)=0,"Practice not in Lists",IF($D761="","Missing motion",IF(NOT(ISNUMBER($F761)),"Missing or invalid start date",IF(AND(ISNUMBER($G761),$G761&lt;$F761),"End date before start",IF(AND($N761=1,$AA761=0),"Outside planning year","OK"))))))))</f>
        <v>0</v>
      </c>
      <c r="N761">
        <f>IF(AND($B761&lt;&gt;"",$C761&lt;&gt;"",$D761&lt;&gt;"",ISNUMBER($F761),COUNTIF(PracticeNames,$C761)&gt;0,COUNTIF(MotionNames,$D761)&gt;0,NOT(AND(ISNUMBER($G761),$G761&lt;$F761))),IF(StatusFilter="All (excl. Cancelled)",IF($H761="Cancelled",0,1),IF(StatusFilter="All",1,IF($H761=StatusFilter,1,0))),0)</f>
        <v>0</v>
      </c>
      <c r="O761">
        <f>IF($N761=0,0,IF(AND($F761&lt;=EOMONTH(DATE(PlanYear,1,1),0),IF(ISNUMBER($G761),$G761,$F761)&gt;=DATE(PlanYear,1,1)),1,0))</f>
        <v>0</v>
      </c>
      <c r="P761">
        <f>IF($N761=0,0,IF(AND($F761&lt;=EOMONTH(DATE(PlanYear,2,1),0),IF(ISNUMBER($G761),$G761,$F761)&gt;=DATE(PlanYear,2,1)),1,0))</f>
        <v>0</v>
      </c>
      <c r="Q761">
        <f>IF($N761=0,0,IF(AND($F761&lt;=EOMONTH(DATE(PlanYear,3,1),0),IF(ISNUMBER($G761),$G761,$F761)&gt;=DATE(PlanYear,3,1)),1,0))</f>
        <v>0</v>
      </c>
      <c r="R761">
        <f>IF($N761=0,0,IF(AND($F761&lt;=EOMONTH(DATE(PlanYear,4,1),0),IF(ISNUMBER($G761),$G761,$F761)&gt;=DATE(PlanYear,4,1)),1,0))</f>
        <v>0</v>
      </c>
      <c r="S761">
        <f>IF($N761=0,0,IF(AND($F761&lt;=EOMONTH(DATE(PlanYear,5,1),0),IF(ISNUMBER($G761),$G761,$F761)&gt;=DATE(PlanYear,5,1)),1,0))</f>
        <v>0</v>
      </c>
      <c r="T761">
        <f>IF($N761=0,0,IF(AND($F761&lt;=EOMONTH(DATE(PlanYear,6,1),0),IF(ISNUMBER($G761),$G761,$F761)&gt;=DATE(PlanYear,6,1)),1,0))</f>
        <v>0</v>
      </c>
      <c r="U761">
        <f>IF($N761=0,0,IF(AND($F761&lt;=EOMONTH(DATE(PlanYear,7,1),0),IF(ISNUMBER($G761),$G761,$F761)&gt;=DATE(PlanYear,7,1)),1,0))</f>
        <v>0</v>
      </c>
      <c r="V761">
        <f>IF($N761=0,0,IF(AND($F761&lt;=EOMONTH(DATE(PlanYear,8,1),0),IF(ISNUMBER($G761),$G761,$F761)&gt;=DATE(PlanYear,8,1)),1,0))</f>
        <v>0</v>
      </c>
      <c r="W761">
        <f>IF($N761=0,0,IF(AND($F761&lt;=EOMONTH(DATE(PlanYear,9,1),0),IF(ISNUMBER($G761),$G761,$F761)&gt;=DATE(PlanYear,9,1)),1,0))</f>
        <v>0</v>
      </c>
      <c r="X761">
        <f>IF($N761=0,0,IF(AND($F761&lt;=EOMONTH(DATE(PlanYear,10,1),0),IF(ISNUMBER($G761),$G761,$F761)&gt;=DATE(PlanYear,10,1)),1,0))</f>
        <v>0</v>
      </c>
      <c r="Y761">
        <f>IF($N761=0,0,IF(AND($F761&lt;=EOMONTH(DATE(PlanYear,11,1),0),IF(ISNUMBER($G761),$G761,$F761)&gt;=DATE(PlanYear,11,1)),1,0))</f>
        <v>0</v>
      </c>
      <c r="Z761">
        <f>IF($N761=0,0,IF(AND($F761&lt;=EOMONTH(DATE(PlanYear,12,1),0),IF(ISNUMBER($G761),$G761,$F761)&gt;=DATE(PlanYear,12,1)),1,0))</f>
        <v>0</v>
      </c>
      <c r="AA761">
        <f>SUM($O761:$Z761)</f>
        <v>0</v>
      </c>
    </row>
    <row r="762" spans="1:27">
      <c r="A762" s="42">
        <f>IF($B762="","","ACT-"&amp;TEXT(ROW()-4,"000"))</f>
        <v>0</v>
      </c>
      <c r="M762" s="43">
        <f>IF(COUNTA($B762:$K762)=0,"",IF($B762="","Missing activity name",IF($C762="","Missing practice",IF(COUNTIF(PracticeNames,$C762)=0,"Practice not in Lists",IF($D762="","Missing motion",IF(NOT(ISNUMBER($F762)),"Missing or invalid start date",IF(AND(ISNUMBER($G762),$G762&lt;$F762),"End date before start",IF(AND($N762=1,$AA762=0),"Outside planning year","OK"))))))))</f>
        <v>0</v>
      </c>
      <c r="N762">
        <f>IF(AND($B762&lt;&gt;"",$C762&lt;&gt;"",$D762&lt;&gt;"",ISNUMBER($F762),COUNTIF(PracticeNames,$C762)&gt;0,COUNTIF(MotionNames,$D762)&gt;0,NOT(AND(ISNUMBER($G762),$G762&lt;$F762))),IF(StatusFilter="All (excl. Cancelled)",IF($H762="Cancelled",0,1),IF(StatusFilter="All",1,IF($H762=StatusFilter,1,0))),0)</f>
        <v>0</v>
      </c>
      <c r="O762">
        <f>IF($N762=0,0,IF(AND($F762&lt;=EOMONTH(DATE(PlanYear,1,1),0),IF(ISNUMBER($G762),$G762,$F762)&gt;=DATE(PlanYear,1,1)),1,0))</f>
        <v>0</v>
      </c>
      <c r="P762">
        <f>IF($N762=0,0,IF(AND($F762&lt;=EOMONTH(DATE(PlanYear,2,1),0),IF(ISNUMBER($G762),$G762,$F762)&gt;=DATE(PlanYear,2,1)),1,0))</f>
        <v>0</v>
      </c>
      <c r="Q762">
        <f>IF($N762=0,0,IF(AND($F762&lt;=EOMONTH(DATE(PlanYear,3,1),0),IF(ISNUMBER($G762),$G762,$F762)&gt;=DATE(PlanYear,3,1)),1,0))</f>
        <v>0</v>
      </c>
      <c r="R762">
        <f>IF($N762=0,0,IF(AND($F762&lt;=EOMONTH(DATE(PlanYear,4,1),0),IF(ISNUMBER($G762),$G762,$F762)&gt;=DATE(PlanYear,4,1)),1,0))</f>
        <v>0</v>
      </c>
      <c r="S762">
        <f>IF($N762=0,0,IF(AND($F762&lt;=EOMONTH(DATE(PlanYear,5,1),0),IF(ISNUMBER($G762),$G762,$F762)&gt;=DATE(PlanYear,5,1)),1,0))</f>
        <v>0</v>
      </c>
      <c r="T762">
        <f>IF($N762=0,0,IF(AND($F762&lt;=EOMONTH(DATE(PlanYear,6,1),0),IF(ISNUMBER($G762),$G762,$F762)&gt;=DATE(PlanYear,6,1)),1,0))</f>
        <v>0</v>
      </c>
      <c r="U762">
        <f>IF($N762=0,0,IF(AND($F762&lt;=EOMONTH(DATE(PlanYear,7,1),0),IF(ISNUMBER($G762),$G762,$F762)&gt;=DATE(PlanYear,7,1)),1,0))</f>
        <v>0</v>
      </c>
      <c r="V762">
        <f>IF($N762=0,0,IF(AND($F762&lt;=EOMONTH(DATE(PlanYear,8,1),0),IF(ISNUMBER($G762),$G762,$F762)&gt;=DATE(PlanYear,8,1)),1,0))</f>
        <v>0</v>
      </c>
      <c r="W762">
        <f>IF($N762=0,0,IF(AND($F762&lt;=EOMONTH(DATE(PlanYear,9,1),0),IF(ISNUMBER($G762),$G762,$F762)&gt;=DATE(PlanYear,9,1)),1,0))</f>
        <v>0</v>
      </c>
      <c r="X762">
        <f>IF($N762=0,0,IF(AND($F762&lt;=EOMONTH(DATE(PlanYear,10,1),0),IF(ISNUMBER($G762),$G762,$F762)&gt;=DATE(PlanYear,10,1)),1,0))</f>
        <v>0</v>
      </c>
      <c r="Y762">
        <f>IF($N762=0,0,IF(AND($F762&lt;=EOMONTH(DATE(PlanYear,11,1),0),IF(ISNUMBER($G762),$G762,$F762)&gt;=DATE(PlanYear,11,1)),1,0))</f>
        <v>0</v>
      </c>
      <c r="Z762">
        <f>IF($N762=0,0,IF(AND($F762&lt;=EOMONTH(DATE(PlanYear,12,1),0),IF(ISNUMBER($G762),$G762,$F762)&gt;=DATE(PlanYear,12,1)),1,0))</f>
        <v>0</v>
      </c>
      <c r="AA762">
        <f>SUM($O762:$Z762)</f>
        <v>0</v>
      </c>
    </row>
    <row r="763" spans="1:27">
      <c r="A763" s="42">
        <f>IF($B763="","","ACT-"&amp;TEXT(ROW()-4,"000"))</f>
        <v>0</v>
      </c>
      <c r="M763" s="43">
        <f>IF(COUNTA($B763:$K763)=0,"",IF($B763="","Missing activity name",IF($C763="","Missing practice",IF(COUNTIF(PracticeNames,$C763)=0,"Practice not in Lists",IF($D763="","Missing motion",IF(NOT(ISNUMBER($F763)),"Missing or invalid start date",IF(AND(ISNUMBER($G763),$G763&lt;$F763),"End date before start",IF(AND($N763=1,$AA763=0),"Outside planning year","OK"))))))))</f>
        <v>0</v>
      </c>
      <c r="N763">
        <f>IF(AND($B763&lt;&gt;"",$C763&lt;&gt;"",$D763&lt;&gt;"",ISNUMBER($F763),COUNTIF(PracticeNames,$C763)&gt;0,COUNTIF(MotionNames,$D763)&gt;0,NOT(AND(ISNUMBER($G763),$G763&lt;$F763))),IF(StatusFilter="All (excl. Cancelled)",IF($H763="Cancelled",0,1),IF(StatusFilter="All",1,IF($H763=StatusFilter,1,0))),0)</f>
        <v>0</v>
      </c>
      <c r="O763">
        <f>IF($N763=0,0,IF(AND($F763&lt;=EOMONTH(DATE(PlanYear,1,1),0),IF(ISNUMBER($G763),$G763,$F763)&gt;=DATE(PlanYear,1,1)),1,0))</f>
        <v>0</v>
      </c>
      <c r="P763">
        <f>IF($N763=0,0,IF(AND($F763&lt;=EOMONTH(DATE(PlanYear,2,1),0),IF(ISNUMBER($G763),$G763,$F763)&gt;=DATE(PlanYear,2,1)),1,0))</f>
        <v>0</v>
      </c>
      <c r="Q763">
        <f>IF($N763=0,0,IF(AND($F763&lt;=EOMONTH(DATE(PlanYear,3,1),0),IF(ISNUMBER($G763),$G763,$F763)&gt;=DATE(PlanYear,3,1)),1,0))</f>
        <v>0</v>
      </c>
      <c r="R763">
        <f>IF($N763=0,0,IF(AND($F763&lt;=EOMONTH(DATE(PlanYear,4,1),0),IF(ISNUMBER($G763),$G763,$F763)&gt;=DATE(PlanYear,4,1)),1,0))</f>
        <v>0</v>
      </c>
      <c r="S763">
        <f>IF($N763=0,0,IF(AND($F763&lt;=EOMONTH(DATE(PlanYear,5,1),0),IF(ISNUMBER($G763),$G763,$F763)&gt;=DATE(PlanYear,5,1)),1,0))</f>
        <v>0</v>
      </c>
      <c r="T763">
        <f>IF($N763=0,0,IF(AND($F763&lt;=EOMONTH(DATE(PlanYear,6,1),0),IF(ISNUMBER($G763),$G763,$F763)&gt;=DATE(PlanYear,6,1)),1,0))</f>
        <v>0</v>
      </c>
      <c r="U763">
        <f>IF($N763=0,0,IF(AND($F763&lt;=EOMONTH(DATE(PlanYear,7,1),0),IF(ISNUMBER($G763),$G763,$F763)&gt;=DATE(PlanYear,7,1)),1,0))</f>
        <v>0</v>
      </c>
      <c r="V763">
        <f>IF($N763=0,0,IF(AND($F763&lt;=EOMONTH(DATE(PlanYear,8,1),0),IF(ISNUMBER($G763),$G763,$F763)&gt;=DATE(PlanYear,8,1)),1,0))</f>
        <v>0</v>
      </c>
      <c r="W763">
        <f>IF($N763=0,0,IF(AND($F763&lt;=EOMONTH(DATE(PlanYear,9,1),0),IF(ISNUMBER($G763),$G763,$F763)&gt;=DATE(PlanYear,9,1)),1,0))</f>
        <v>0</v>
      </c>
      <c r="X763">
        <f>IF($N763=0,0,IF(AND($F763&lt;=EOMONTH(DATE(PlanYear,10,1),0),IF(ISNUMBER($G763),$G763,$F763)&gt;=DATE(PlanYear,10,1)),1,0))</f>
        <v>0</v>
      </c>
      <c r="Y763">
        <f>IF($N763=0,0,IF(AND($F763&lt;=EOMONTH(DATE(PlanYear,11,1),0),IF(ISNUMBER($G763),$G763,$F763)&gt;=DATE(PlanYear,11,1)),1,0))</f>
        <v>0</v>
      </c>
      <c r="Z763">
        <f>IF($N763=0,0,IF(AND($F763&lt;=EOMONTH(DATE(PlanYear,12,1),0),IF(ISNUMBER($G763),$G763,$F763)&gt;=DATE(PlanYear,12,1)),1,0))</f>
        <v>0</v>
      </c>
      <c r="AA763">
        <f>SUM($O763:$Z763)</f>
        <v>0</v>
      </c>
    </row>
    <row r="764" spans="1:27">
      <c r="A764" s="42">
        <f>IF($B764="","","ACT-"&amp;TEXT(ROW()-4,"000"))</f>
        <v>0</v>
      </c>
      <c r="M764" s="43">
        <f>IF(COUNTA($B764:$K764)=0,"",IF($B764="","Missing activity name",IF($C764="","Missing practice",IF(COUNTIF(PracticeNames,$C764)=0,"Practice not in Lists",IF($D764="","Missing motion",IF(NOT(ISNUMBER($F764)),"Missing or invalid start date",IF(AND(ISNUMBER($G764),$G764&lt;$F764),"End date before start",IF(AND($N764=1,$AA764=0),"Outside planning year","OK"))))))))</f>
        <v>0</v>
      </c>
      <c r="N764">
        <f>IF(AND($B764&lt;&gt;"",$C764&lt;&gt;"",$D764&lt;&gt;"",ISNUMBER($F764),COUNTIF(PracticeNames,$C764)&gt;0,COUNTIF(MotionNames,$D764)&gt;0,NOT(AND(ISNUMBER($G764),$G764&lt;$F764))),IF(StatusFilter="All (excl. Cancelled)",IF($H764="Cancelled",0,1),IF(StatusFilter="All",1,IF($H764=StatusFilter,1,0))),0)</f>
        <v>0</v>
      </c>
      <c r="O764">
        <f>IF($N764=0,0,IF(AND($F764&lt;=EOMONTH(DATE(PlanYear,1,1),0),IF(ISNUMBER($G764),$G764,$F764)&gt;=DATE(PlanYear,1,1)),1,0))</f>
        <v>0</v>
      </c>
      <c r="P764">
        <f>IF($N764=0,0,IF(AND($F764&lt;=EOMONTH(DATE(PlanYear,2,1),0),IF(ISNUMBER($G764),$G764,$F764)&gt;=DATE(PlanYear,2,1)),1,0))</f>
        <v>0</v>
      </c>
      <c r="Q764">
        <f>IF($N764=0,0,IF(AND($F764&lt;=EOMONTH(DATE(PlanYear,3,1),0),IF(ISNUMBER($G764),$G764,$F764)&gt;=DATE(PlanYear,3,1)),1,0))</f>
        <v>0</v>
      </c>
      <c r="R764">
        <f>IF($N764=0,0,IF(AND($F764&lt;=EOMONTH(DATE(PlanYear,4,1),0),IF(ISNUMBER($G764),$G764,$F764)&gt;=DATE(PlanYear,4,1)),1,0))</f>
        <v>0</v>
      </c>
      <c r="S764">
        <f>IF($N764=0,0,IF(AND($F764&lt;=EOMONTH(DATE(PlanYear,5,1),0),IF(ISNUMBER($G764),$G764,$F764)&gt;=DATE(PlanYear,5,1)),1,0))</f>
        <v>0</v>
      </c>
      <c r="T764">
        <f>IF($N764=0,0,IF(AND($F764&lt;=EOMONTH(DATE(PlanYear,6,1),0),IF(ISNUMBER($G764),$G764,$F764)&gt;=DATE(PlanYear,6,1)),1,0))</f>
        <v>0</v>
      </c>
      <c r="U764">
        <f>IF($N764=0,0,IF(AND($F764&lt;=EOMONTH(DATE(PlanYear,7,1),0),IF(ISNUMBER($G764),$G764,$F764)&gt;=DATE(PlanYear,7,1)),1,0))</f>
        <v>0</v>
      </c>
      <c r="V764">
        <f>IF($N764=0,0,IF(AND($F764&lt;=EOMONTH(DATE(PlanYear,8,1),0),IF(ISNUMBER($G764),$G764,$F764)&gt;=DATE(PlanYear,8,1)),1,0))</f>
        <v>0</v>
      </c>
      <c r="W764">
        <f>IF($N764=0,0,IF(AND($F764&lt;=EOMONTH(DATE(PlanYear,9,1),0),IF(ISNUMBER($G764),$G764,$F764)&gt;=DATE(PlanYear,9,1)),1,0))</f>
        <v>0</v>
      </c>
      <c r="X764">
        <f>IF($N764=0,0,IF(AND($F764&lt;=EOMONTH(DATE(PlanYear,10,1),0),IF(ISNUMBER($G764),$G764,$F764)&gt;=DATE(PlanYear,10,1)),1,0))</f>
        <v>0</v>
      </c>
      <c r="Y764">
        <f>IF($N764=0,0,IF(AND($F764&lt;=EOMONTH(DATE(PlanYear,11,1),0),IF(ISNUMBER($G764),$G764,$F764)&gt;=DATE(PlanYear,11,1)),1,0))</f>
        <v>0</v>
      </c>
      <c r="Z764">
        <f>IF($N764=0,0,IF(AND($F764&lt;=EOMONTH(DATE(PlanYear,12,1),0),IF(ISNUMBER($G764),$G764,$F764)&gt;=DATE(PlanYear,12,1)),1,0))</f>
        <v>0</v>
      </c>
      <c r="AA764">
        <f>SUM($O764:$Z764)</f>
        <v>0</v>
      </c>
    </row>
    <row r="765" spans="1:27">
      <c r="A765" s="42">
        <f>IF($B765="","","ACT-"&amp;TEXT(ROW()-4,"000"))</f>
        <v>0</v>
      </c>
      <c r="M765" s="43">
        <f>IF(COUNTA($B765:$K765)=0,"",IF($B765="","Missing activity name",IF($C765="","Missing practice",IF(COUNTIF(PracticeNames,$C765)=0,"Practice not in Lists",IF($D765="","Missing motion",IF(NOT(ISNUMBER($F765)),"Missing or invalid start date",IF(AND(ISNUMBER($G765),$G765&lt;$F765),"End date before start",IF(AND($N765=1,$AA765=0),"Outside planning year","OK"))))))))</f>
        <v>0</v>
      </c>
      <c r="N765">
        <f>IF(AND($B765&lt;&gt;"",$C765&lt;&gt;"",$D765&lt;&gt;"",ISNUMBER($F765),COUNTIF(PracticeNames,$C765)&gt;0,COUNTIF(MotionNames,$D765)&gt;0,NOT(AND(ISNUMBER($G765),$G765&lt;$F765))),IF(StatusFilter="All (excl. Cancelled)",IF($H765="Cancelled",0,1),IF(StatusFilter="All",1,IF($H765=StatusFilter,1,0))),0)</f>
        <v>0</v>
      </c>
      <c r="O765">
        <f>IF($N765=0,0,IF(AND($F765&lt;=EOMONTH(DATE(PlanYear,1,1),0),IF(ISNUMBER($G765),$G765,$F765)&gt;=DATE(PlanYear,1,1)),1,0))</f>
        <v>0</v>
      </c>
      <c r="P765">
        <f>IF($N765=0,0,IF(AND($F765&lt;=EOMONTH(DATE(PlanYear,2,1),0),IF(ISNUMBER($G765),$G765,$F765)&gt;=DATE(PlanYear,2,1)),1,0))</f>
        <v>0</v>
      </c>
      <c r="Q765">
        <f>IF($N765=0,0,IF(AND($F765&lt;=EOMONTH(DATE(PlanYear,3,1),0),IF(ISNUMBER($G765),$G765,$F765)&gt;=DATE(PlanYear,3,1)),1,0))</f>
        <v>0</v>
      </c>
      <c r="R765">
        <f>IF($N765=0,0,IF(AND($F765&lt;=EOMONTH(DATE(PlanYear,4,1),0),IF(ISNUMBER($G765),$G765,$F765)&gt;=DATE(PlanYear,4,1)),1,0))</f>
        <v>0</v>
      </c>
      <c r="S765">
        <f>IF($N765=0,0,IF(AND($F765&lt;=EOMONTH(DATE(PlanYear,5,1),0),IF(ISNUMBER($G765),$G765,$F765)&gt;=DATE(PlanYear,5,1)),1,0))</f>
        <v>0</v>
      </c>
      <c r="T765">
        <f>IF($N765=0,0,IF(AND($F765&lt;=EOMONTH(DATE(PlanYear,6,1),0),IF(ISNUMBER($G765),$G765,$F765)&gt;=DATE(PlanYear,6,1)),1,0))</f>
        <v>0</v>
      </c>
      <c r="U765">
        <f>IF($N765=0,0,IF(AND($F765&lt;=EOMONTH(DATE(PlanYear,7,1),0),IF(ISNUMBER($G765),$G765,$F765)&gt;=DATE(PlanYear,7,1)),1,0))</f>
        <v>0</v>
      </c>
      <c r="V765">
        <f>IF($N765=0,0,IF(AND($F765&lt;=EOMONTH(DATE(PlanYear,8,1),0),IF(ISNUMBER($G765),$G765,$F765)&gt;=DATE(PlanYear,8,1)),1,0))</f>
        <v>0</v>
      </c>
      <c r="W765">
        <f>IF($N765=0,0,IF(AND($F765&lt;=EOMONTH(DATE(PlanYear,9,1),0),IF(ISNUMBER($G765),$G765,$F765)&gt;=DATE(PlanYear,9,1)),1,0))</f>
        <v>0</v>
      </c>
      <c r="X765">
        <f>IF($N765=0,0,IF(AND($F765&lt;=EOMONTH(DATE(PlanYear,10,1),0),IF(ISNUMBER($G765),$G765,$F765)&gt;=DATE(PlanYear,10,1)),1,0))</f>
        <v>0</v>
      </c>
      <c r="Y765">
        <f>IF($N765=0,0,IF(AND($F765&lt;=EOMONTH(DATE(PlanYear,11,1),0),IF(ISNUMBER($G765),$G765,$F765)&gt;=DATE(PlanYear,11,1)),1,0))</f>
        <v>0</v>
      </c>
      <c r="Z765">
        <f>IF($N765=0,0,IF(AND($F765&lt;=EOMONTH(DATE(PlanYear,12,1),0),IF(ISNUMBER($G765),$G765,$F765)&gt;=DATE(PlanYear,12,1)),1,0))</f>
        <v>0</v>
      </c>
      <c r="AA765">
        <f>SUM($O765:$Z765)</f>
        <v>0</v>
      </c>
    </row>
    <row r="766" spans="1:27">
      <c r="A766" s="42">
        <f>IF($B766="","","ACT-"&amp;TEXT(ROW()-4,"000"))</f>
        <v>0</v>
      </c>
      <c r="M766" s="43">
        <f>IF(COUNTA($B766:$K766)=0,"",IF($B766="","Missing activity name",IF($C766="","Missing practice",IF(COUNTIF(PracticeNames,$C766)=0,"Practice not in Lists",IF($D766="","Missing motion",IF(NOT(ISNUMBER($F766)),"Missing or invalid start date",IF(AND(ISNUMBER($G766),$G766&lt;$F766),"End date before start",IF(AND($N766=1,$AA766=0),"Outside planning year","OK"))))))))</f>
        <v>0</v>
      </c>
      <c r="N766">
        <f>IF(AND($B766&lt;&gt;"",$C766&lt;&gt;"",$D766&lt;&gt;"",ISNUMBER($F766),COUNTIF(PracticeNames,$C766)&gt;0,COUNTIF(MotionNames,$D766)&gt;0,NOT(AND(ISNUMBER($G766),$G766&lt;$F766))),IF(StatusFilter="All (excl. Cancelled)",IF($H766="Cancelled",0,1),IF(StatusFilter="All",1,IF($H766=StatusFilter,1,0))),0)</f>
        <v>0</v>
      </c>
      <c r="O766">
        <f>IF($N766=0,0,IF(AND($F766&lt;=EOMONTH(DATE(PlanYear,1,1),0),IF(ISNUMBER($G766),$G766,$F766)&gt;=DATE(PlanYear,1,1)),1,0))</f>
        <v>0</v>
      </c>
      <c r="P766">
        <f>IF($N766=0,0,IF(AND($F766&lt;=EOMONTH(DATE(PlanYear,2,1),0),IF(ISNUMBER($G766),$G766,$F766)&gt;=DATE(PlanYear,2,1)),1,0))</f>
        <v>0</v>
      </c>
      <c r="Q766">
        <f>IF($N766=0,0,IF(AND($F766&lt;=EOMONTH(DATE(PlanYear,3,1),0),IF(ISNUMBER($G766),$G766,$F766)&gt;=DATE(PlanYear,3,1)),1,0))</f>
        <v>0</v>
      </c>
      <c r="R766">
        <f>IF($N766=0,0,IF(AND($F766&lt;=EOMONTH(DATE(PlanYear,4,1),0),IF(ISNUMBER($G766),$G766,$F766)&gt;=DATE(PlanYear,4,1)),1,0))</f>
        <v>0</v>
      </c>
      <c r="S766">
        <f>IF($N766=0,0,IF(AND($F766&lt;=EOMONTH(DATE(PlanYear,5,1),0),IF(ISNUMBER($G766),$G766,$F766)&gt;=DATE(PlanYear,5,1)),1,0))</f>
        <v>0</v>
      </c>
      <c r="T766">
        <f>IF($N766=0,0,IF(AND($F766&lt;=EOMONTH(DATE(PlanYear,6,1),0),IF(ISNUMBER($G766),$G766,$F766)&gt;=DATE(PlanYear,6,1)),1,0))</f>
        <v>0</v>
      </c>
      <c r="U766">
        <f>IF($N766=0,0,IF(AND($F766&lt;=EOMONTH(DATE(PlanYear,7,1),0),IF(ISNUMBER($G766),$G766,$F766)&gt;=DATE(PlanYear,7,1)),1,0))</f>
        <v>0</v>
      </c>
      <c r="V766">
        <f>IF($N766=0,0,IF(AND($F766&lt;=EOMONTH(DATE(PlanYear,8,1),0),IF(ISNUMBER($G766),$G766,$F766)&gt;=DATE(PlanYear,8,1)),1,0))</f>
        <v>0</v>
      </c>
      <c r="W766">
        <f>IF($N766=0,0,IF(AND($F766&lt;=EOMONTH(DATE(PlanYear,9,1),0),IF(ISNUMBER($G766),$G766,$F766)&gt;=DATE(PlanYear,9,1)),1,0))</f>
        <v>0</v>
      </c>
      <c r="X766">
        <f>IF($N766=0,0,IF(AND($F766&lt;=EOMONTH(DATE(PlanYear,10,1),0),IF(ISNUMBER($G766),$G766,$F766)&gt;=DATE(PlanYear,10,1)),1,0))</f>
        <v>0</v>
      </c>
      <c r="Y766">
        <f>IF($N766=0,0,IF(AND($F766&lt;=EOMONTH(DATE(PlanYear,11,1),0),IF(ISNUMBER($G766),$G766,$F766)&gt;=DATE(PlanYear,11,1)),1,0))</f>
        <v>0</v>
      </c>
      <c r="Z766">
        <f>IF($N766=0,0,IF(AND($F766&lt;=EOMONTH(DATE(PlanYear,12,1),0),IF(ISNUMBER($G766),$G766,$F766)&gt;=DATE(PlanYear,12,1)),1,0))</f>
        <v>0</v>
      </c>
      <c r="AA766">
        <f>SUM($O766:$Z766)</f>
        <v>0</v>
      </c>
    </row>
    <row r="767" spans="1:27">
      <c r="A767" s="42">
        <f>IF($B767="","","ACT-"&amp;TEXT(ROW()-4,"000"))</f>
        <v>0</v>
      </c>
      <c r="M767" s="43">
        <f>IF(COUNTA($B767:$K767)=0,"",IF($B767="","Missing activity name",IF($C767="","Missing practice",IF(COUNTIF(PracticeNames,$C767)=0,"Practice not in Lists",IF($D767="","Missing motion",IF(NOT(ISNUMBER($F767)),"Missing or invalid start date",IF(AND(ISNUMBER($G767),$G767&lt;$F767),"End date before start",IF(AND($N767=1,$AA767=0),"Outside planning year","OK"))))))))</f>
        <v>0</v>
      </c>
      <c r="N767">
        <f>IF(AND($B767&lt;&gt;"",$C767&lt;&gt;"",$D767&lt;&gt;"",ISNUMBER($F767),COUNTIF(PracticeNames,$C767)&gt;0,COUNTIF(MotionNames,$D767)&gt;0,NOT(AND(ISNUMBER($G767),$G767&lt;$F767))),IF(StatusFilter="All (excl. Cancelled)",IF($H767="Cancelled",0,1),IF(StatusFilter="All",1,IF($H767=StatusFilter,1,0))),0)</f>
        <v>0</v>
      </c>
      <c r="O767">
        <f>IF($N767=0,0,IF(AND($F767&lt;=EOMONTH(DATE(PlanYear,1,1),0),IF(ISNUMBER($G767),$G767,$F767)&gt;=DATE(PlanYear,1,1)),1,0))</f>
        <v>0</v>
      </c>
      <c r="P767">
        <f>IF($N767=0,0,IF(AND($F767&lt;=EOMONTH(DATE(PlanYear,2,1),0),IF(ISNUMBER($G767),$G767,$F767)&gt;=DATE(PlanYear,2,1)),1,0))</f>
        <v>0</v>
      </c>
      <c r="Q767">
        <f>IF($N767=0,0,IF(AND($F767&lt;=EOMONTH(DATE(PlanYear,3,1),0),IF(ISNUMBER($G767),$G767,$F767)&gt;=DATE(PlanYear,3,1)),1,0))</f>
        <v>0</v>
      </c>
      <c r="R767">
        <f>IF($N767=0,0,IF(AND($F767&lt;=EOMONTH(DATE(PlanYear,4,1),0),IF(ISNUMBER($G767),$G767,$F767)&gt;=DATE(PlanYear,4,1)),1,0))</f>
        <v>0</v>
      </c>
      <c r="S767">
        <f>IF($N767=0,0,IF(AND($F767&lt;=EOMONTH(DATE(PlanYear,5,1),0),IF(ISNUMBER($G767),$G767,$F767)&gt;=DATE(PlanYear,5,1)),1,0))</f>
        <v>0</v>
      </c>
      <c r="T767">
        <f>IF($N767=0,0,IF(AND($F767&lt;=EOMONTH(DATE(PlanYear,6,1),0),IF(ISNUMBER($G767),$G767,$F767)&gt;=DATE(PlanYear,6,1)),1,0))</f>
        <v>0</v>
      </c>
      <c r="U767">
        <f>IF($N767=0,0,IF(AND($F767&lt;=EOMONTH(DATE(PlanYear,7,1),0),IF(ISNUMBER($G767),$G767,$F767)&gt;=DATE(PlanYear,7,1)),1,0))</f>
        <v>0</v>
      </c>
      <c r="V767">
        <f>IF($N767=0,0,IF(AND($F767&lt;=EOMONTH(DATE(PlanYear,8,1),0),IF(ISNUMBER($G767),$G767,$F767)&gt;=DATE(PlanYear,8,1)),1,0))</f>
        <v>0</v>
      </c>
      <c r="W767">
        <f>IF($N767=0,0,IF(AND($F767&lt;=EOMONTH(DATE(PlanYear,9,1),0),IF(ISNUMBER($G767),$G767,$F767)&gt;=DATE(PlanYear,9,1)),1,0))</f>
        <v>0</v>
      </c>
      <c r="X767">
        <f>IF($N767=0,0,IF(AND($F767&lt;=EOMONTH(DATE(PlanYear,10,1),0),IF(ISNUMBER($G767),$G767,$F767)&gt;=DATE(PlanYear,10,1)),1,0))</f>
        <v>0</v>
      </c>
      <c r="Y767">
        <f>IF($N767=0,0,IF(AND($F767&lt;=EOMONTH(DATE(PlanYear,11,1),0),IF(ISNUMBER($G767),$G767,$F767)&gt;=DATE(PlanYear,11,1)),1,0))</f>
        <v>0</v>
      </c>
      <c r="Z767">
        <f>IF($N767=0,0,IF(AND($F767&lt;=EOMONTH(DATE(PlanYear,12,1),0),IF(ISNUMBER($G767),$G767,$F767)&gt;=DATE(PlanYear,12,1)),1,0))</f>
        <v>0</v>
      </c>
      <c r="AA767">
        <f>SUM($O767:$Z767)</f>
        <v>0</v>
      </c>
    </row>
    <row r="768" spans="1:27">
      <c r="A768" s="42">
        <f>IF($B768="","","ACT-"&amp;TEXT(ROW()-4,"000"))</f>
        <v>0</v>
      </c>
      <c r="M768" s="43">
        <f>IF(COUNTA($B768:$K768)=0,"",IF($B768="","Missing activity name",IF($C768="","Missing practice",IF(COUNTIF(PracticeNames,$C768)=0,"Practice not in Lists",IF($D768="","Missing motion",IF(NOT(ISNUMBER($F768)),"Missing or invalid start date",IF(AND(ISNUMBER($G768),$G768&lt;$F768),"End date before start",IF(AND($N768=1,$AA768=0),"Outside planning year","OK"))))))))</f>
        <v>0</v>
      </c>
      <c r="N768">
        <f>IF(AND($B768&lt;&gt;"",$C768&lt;&gt;"",$D768&lt;&gt;"",ISNUMBER($F768),COUNTIF(PracticeNames,$C768)&gt;0,COUNTIF(MotionNames,$D768)&gt;0,NOT(AND(ISNUMBER($G768),$G768&lt;$F768))),IF(StatusFilter="All (excl. Cancelled)",IF($H768="Cancelled",0,1),IF(StatusFilter="All",1,IF($H768=StatusFilter,1,0))),0)</f>
        <v>0</v>
      </c>
      <c r="O768">
        <f>IF($N768=0,0,IF(AND($F768&lt;=EOMONTH(DATE(PlanYear,1,1),0),IF(ISNUMBER($G768),$G768,$F768)&gt;=DATE(PlanYear,1,1)),1,0))</f>
        <v>0</v>
      </c>
      <c r="P768">
        <f>IF($N768=0,0,IF(AND($F768&lt;=EOMONTH(DATE(PlanYear,2,1),0),IF(ISNUMBER($G768),$G768,$F768)&gt;=DATE(PlanYear,2,1)),1,0))</f>
        <v>0</v>
      </c>
      <c r="Q768">
        <f>IF($N768=0,0,IF(AND($F768&lt;=EOMONTH(DATE(PlanYear,3,1),0),IF(ISNUMBER($G768),$G768,$F768)&gt;=DATE(PlanYear,3,1)),1,0))</f>
        <v>0</v>
      </c>
      <c r="R768">
        <f>IF($N768=0,0,IF(AND($F768&lt;=EOMONTH(DATE(PlanYear,4,1),0),IF(ISNUMBER($G768),$G768,$F768)&gt;=DATE(PlanYear,4,1)),1,0))</f>
        <v>0</v>
      </c>
      <c r="S768">
        <f>IF($N768=0,0,IF(AND($F768&lt;=EOMONTH(DATE(PlanYear,5,1),0),IF(ISNUMBER($G768),$G768,$F768)&gt;=DATE(PlanYear,5,1)),1,0))</f>
        <v>0</v>
      </c>
      <c r="T768">
        <f>IF($N768=0,0,IF(AND($F768&lt;=EOMONTH(DATE(PlanYear,6,1),0),IF(ISNUMBER($G768),$G768,$F768)&gt;=DATE(PlanYear,6,1)),1,0))</f>
        <v>0</v>
      </c>
      <c r="U768">
        <f>IF($N768=0,0,IF(AND($F768&lt;=EOMONTH(DATE(PlanYear,7,1),0),IF(ISNUMBER($G768),$G768,$F768)&gt;=DATE(PlanYear,7,1)),1,0))</f>
        <v>0</v>
      </c>
      <c r="V768">
        <f>IF($N768=0,0,IF(AND($F768&lt;=EOMONTH(DATE(PlanYear,8,1),0),IF(ISNUMBER($G768),$G768,$F768)&gt;=DATE(PlanYear,8,1)),1,0))</f>
        <v>0</v>
      </c>
      <c r="W768">
        <f>IF($N768=0,0,IF(AND($F768&lt;=EOMONTH(DATE(PlanYear,9,1),0),IF(ISNUMBER($G768),$G768,$F768)&gt;=DATE(PlanYear,9,1)),1,0))</f>
        <v>0</v>
      </c>
      <c r="X768">
        <f>IF($N768=0,0,IF(AND($F768&lt;=EOMONTH(DATE(PlanYear,10,1),0),IF(ISNUMBER($G768),$G768,$F768)&gt;=DATE(PlanYear,10,1)),1,0))</f>
        <v>0</v>
      </c>
      <c r="Y768">
        <f>IF($N768=0,0,IF(AND($F768&lt;=EOMONTH(DATE(PlanYear,11,1),0),IF(ISNUMBER($G768),$G768,$F768)&gt;=DATE(PlanYear,11,1)),1,0))</f>
        <v>0</v>
      </c>
      <c r="Z768">
        <f>IF($N768=0,0,IF(AND($F768&lt;=EOMONTH(DATE(PlanYear,12,1),0),IF(ISNUMBER($G768),$G768,$F768)&gt;=DATE(PlanYear,12,1)),1,0))</f>
        <v>0</v>
      </c>
      <c r="AA768">
        <f>SUM($O768:$Z768)</f>
        <v>0</v>
      </c>
    </row>
    <row r="769" spans="1:27">
      <c r="A769" s="42">
        <f>IF($B769="","","ACT-"&amp;TEXT(ROW()-4,"000"))</f>
        <v>0</v>
      </c>
      <c r="M769" s="43">
        <f>IF(COUNTA($B769:$K769)=0,"",IF($B769="","Missing activity name",IF($C769="","Missing practice",IF(COUNTIF(PracticeNames,$C769)=0,"Practice not in Lists",IF($D769="","Missing motion",IF(NOT(ISNUMBER($F769)),"Missing or invalid start date",IF(AND(ISNUMBER($G769),$G769&lt;$F769),"End date before start",IF(AND($N769=1,$AA769=0),"Outside planning year","OK"))))))))</f>
        <v>0</v>
      </c>
      <c r="N769">
        <f>IF(AND($B769&lt;&gt;"",$C769&lt;&gt;"",$D769&lt;&gt;"",ISNUMBER($F769),COUNTIF(PracticeNames,$C769)&gt;0,COUNTIF(MotionNames,$D769)&gt;0,NOT(AND(ISNUMBER($G769),$G769&lt;$F769))),IF(StatusFilter="All (excl. Cancelled)",IF($H769="Cancelled",0,1),IF(StatusFilter="All",1,IF($H769=StatusFilter,1,0))),0)</f>
        <v>0</v>
      </c>
      <c r="O769">
        <f>IF($N769=0,0,IF(AND($F769&lt;=EOMONTH(DATE(PlanYear,1,1),0),IF(ISNUMBER($G769),$G769,$F769)&gt;=DATE(PlanYear,1,1)),1,0))</f>
        <v>0</v>
      </c>
      <c r="P769">
        <f>IF($N769=0,0,IF(AND($F769&lt;=EOMONTH(DATE(PlanYear,2,1),0),IF(ISNUMBER($G769),$G769,$F769)&gt;=DATE(PlanYear,2,1)),1,0))</f>
        <v>0</v>
      </c>
      <c r="Q769">
        <f>IF($N769=0,0,IF(AND($F769&lt;=EOMONTH(DATE(PlanYear,3,1),0),IF(ISNUMBER($G769),$G769,$F769)&gt;=DATE(PlanYear,3,1)),1,0))</f>
        <v>0</v>
      </c>
      <c r="R769">
        <f>IF($N769=0,0,IF(AND($F769&lt;=EOMONTH(DATE(PlanYear,4,1),0),IF(ISNUMBER($G769),$G769,$F769)&gt;=DATE(PlanYear,4,1)),1,0))</f>
        <v>0</v>
      </c>
      <c r="S769">
        <f>IF($N769=0,0,IF(AND($F769&lt;=EOMONTH(DATE(PlanYear,5,1),0),IF(ISNUMBER($G769),$G769,$F769)&gt;=DATE(PlanYear,5,1)),1,0))</f>
        <v>0</v>
      </c>
      <c r="T769">
        <f>IF($N769=0,0,IF(AND($F769&lt;=EOMONTH(DATE(PlanYear,6,1),0),IF(ISNUMBER($G769),$G769,$F769)&gt;=DATE(PlanYear,6,1)),1,0))</f>
        <v>0</v>
      </c>
      <c r="U769">
        <f>IF($N769=0,0,IF(AND($F769&lt;=EOMONTH(DATE(PlanYear,7,1),0),IF(ISNUMBER($G769),$G769,$F769)&gt;=DATE(PlanYear,7,1)),1,0))</f>
        <v>0</v>
      </c>
      <c r="V769">
        <f>IF($N769=0,0,IF(AND($F769&lt;=EOMONTH(DATE(PlanYear,8,1),0),IF(ISNUMBER($G769),$G769,$F769)&gt;=DATE(PlanYear,8,1)),1,0))</f>
        <v>0</v>
      </c>
      <c r="W769">
        <f>IF($N769=0,0,IF(AND($F769&lt;=EOMONTH(DATE(PlanYear,9,1),0),IF(ISNUMBER($G769),$G769,$F769)&gt;=DATE(PlanYear,9,1)),1,0))</f>
        <v>0</v>
      </c>
      <c r="X769">
        <f>IF($N769=0,0,IF(AND($F769&lt;=EOMONTH(DATE(PlanYear,10,1),0),IF(ISNUMBER($G769),$G769,$F769)&gt;=DATE(PlanYear,10,1)),1,0))</f>
        <v>0</v>
      </c>
      <c r="Y769">
        <f>IF($N769=0,0,IF(AND($F769&lt;=EOMONTH(DATE(PlanYear,11,1),0),IF(ISNUMBER($G769),$G769,$F769)&gt;=DATE(PlanYear,11,1)),1,0))</f>
        <v>0</v>
      </c>
      <c r="Z769">
        <f>IF($N769=0,0,IF(AND($F769&lt;=EOMONTH(DATE(PlanYear,12,1),0),IF(ISNUMBER($G769),$G769,$F769)&gt;=DATE(PlanYear,12,1)),1,0))</f>
        <v>0</v>
      </c>
      <c r="AA769">
        <f>SUM($O769:$Z769)</f>
        <v>0</v>
      </c>
    </row>
    <row r="770" spans="1:27">
      <c r="A770" s="42">
        <f>IF($B770="","","ACT-"&amp;TEXT(ROW()-4,"000"))</f>
        <v>0</v>
      </c>
      <c r="M770" s="43">
        <f>IF(COUNTA($B770:$K770)=0,"",IF($B770="","Missing activity name",IF($C770="","Missing practice",IF(COUNTIF(PracticeNames,$C770)=0,"Practice not in Lists",IF($D770="","Missing motion",IF(NOT(ISNUMBER($F770)),"Missing or invalid start date",IF(AND(ISNUMBER($G770),$G770&lt;$F770),"End date before start",IF(AND($N770=1,$AA770=0),"Outside planning year","OK"))))))))</f>
        <v>0</v>
      </c>
      <c r="N770">
        <f>IF(AND($B770&lt;&gt;"",$C770&lt;&gt;"",$D770&lt;&gt;"",ISNUMBER($F770),COUNTIF(PracticeNames,$C770)&gt;0,COUNTIF(MotionNames,$D770)&gt;0,NOT(AND(ISNUMBER($G770),$G770&lt;$F770))),IF(StatusFilter="All (excl. Cancelled)",IF($H770="Cancelled",0,1),IF(StatusFilter="All",1,IF($H770=StatusFilter,1,0))),0)</f>
        <v>0</v>
      </c>
      <c r="O770">
        <f>IF($N770=0,0,IF(AND($F770&lt;=EOMONTH(DATE(PlanYear,1,1),0),IF(ISNUMBER($G770),$G770,$F770)&gt;=DATE(PlanYear,1,1)),1,0))</f>
        <v>0</v>
      </c>
      <c r="P770">
        <f>IF($N770=0,0,IF(AND($F770&lt;=EOMONTH(DATE(PlanYear,2,1),0),IF(ISNUMBER($G770),$G770,$F770)&gt;=DATE(PlanYear,2,1)),1,0))</f>
        <v>0</v>
      </c>
      <c r="Q770">
        <f>IF($N770=0,0,IF(AND($F770&lt;=EOMONTH(DATE(PlanYear,3,1),0),IF(ISNUMBER($G770),$G770,$F770)&gt;=DATE(PlanYear,3,1)),1,0))</f>
        <v>0</v>
      </c>
      <c r="R770">
        <f>IF($N770=0,0,IF(AND($F770&lt;=EOMONTH(DATE(PlanYear,4,1),0),IF(ISNUMBER($G770),$G770,$F770)&gt;=DATE(PlanYear,4,1)),1,0))</f>
        <v>0</v>
      </c>
      <c r="S770">
        <f>IF($N770=0,0,IF(AND($F770&lt;=EOMONTH(DATE(PlanYear,5,1),0),IF(ISNUMBER($G770),$G770,$F770)&gt;=DATE(PlanYear,5,1)),1,0))</f>
        <v>0</v>
      </c>
      <c r="T770">
        <f>IF($N770=0,0,IF(AND($F770&lt;=EOMONTH(DATE(PlanYear,6,1),0),IF(ISNUMBER($G770),$G770,$F770)&gt;=DATE(PlanYear,6,1)),1,0))</f>
        <v>0</v>
      </c>
      <c r="U770">
        <f>IF($N770=0,0,IF(AND($F770&lt;=EOMONTH(DATE(PlanYear,7,1),0),IF(ISNUMBER($G770),$G770,$F770)&gt;=DATE(PlanYear,7,1)),1,0))</f>
        <v>0</v>
      </c>
      <c r="V770">
        <f>IF($N770=0,0,IF(AND($F770&lt;=EOMONTH(DATE(PlanYear,8,1),0),IF(ISNUMBER($G770),$G770,$F770)&gt;=DATE(PlanYear,8,1)),1,0))</f>
        <v>0</v>
      </c>
      <c r="W770">
        <f>IF($N770=0,0,IF(AND($F770&lt;=EOMONTH(DATE(PlanYear,9,1),0),IF(ISNUMBER($G770),$G770,$F770)&gt;=DATE(PlanYear,9,1)),1,0))</f>
        <v>0</v>
      </c>
      <c r="X770">
        <f>IF($N770=0,0,IF(AND($F770&lt;=EOMONTH(DATE(PlanYear,10,1),0),IF(ISNUMBER($G770),$G770,$F770)&gt;=DATE(PlanYear,10,1)),1,0))</f>
        <v>0</v>
      </c>
      <c r="Y770">
        <f>IF($N770=0,0,IF(AND($F770&lt;=EOMONTH(DATE(PlanYear,11,1),0),IF(ISNUMBER($G770),$G770,$F770)&gt;=DATE(PlanYear,11,1)),1,0))</f>
        <v>0</v>
      </c>
      <c r="Z770">
        <f>IF($N770=0,0,IF(AND($F770&lt;=EOMONTH(DATE(PlanYear,12,1),0),IF(ISNUMBER($G770),$G770,$F770)&gt;=DATE(PlanYear,12,1)),1,0))</f>
        <v>0</v>
      </c>
      <c r="AA770">
        <f>SUM($O770:$Z770)</f>
        <v>0</v>
      </c>
    </row>
    <row r="771" spans="1:27">
      <c r="A771" s="42">
        <f>IF($B771="","","ACT-"&amp;TEXT(ROW()-4,"000"))</f>
        <v>0</v>
      </c>
      <c r="M771" s="43">
        <f>IF(COUNTA($B771:$K771)=0,"",IF($B771="","Missing activity name",IF($C771="","Missing practice",IF(COUNTIF(PracticeNames,$C771)=0,"Practice not in Lists",IF($D771="","Missing motion",IF(NOT(ISNUMBER($F771)),"Missing or invalid start date",IF(AND(ISNUMBER($G771),$G771&lt;$F771),"End date before start",IF(AND($N771=1,$AA771=0),"Outside planning year","OK"))))))))</f>
        <v>0</v>
      </c>
      <c r="N771">
        <f>IF(AND($B771&lt;&gt;"",$C771&lt;&gt;"",$D771&lt;&gt;"",ISNUMBER($F771),COUNTIF(PracticeNames,$C771)&gt;0,COUNTIF(MotionNames,$D771)&gt;0,NOT(AND(ISNUMBER($G771),$G771&lt;$F771))),IF(StatusFilter="All (excl. Cancelled)",IF($H771="Cancelled",0,1),IF(StatusFilter="All",1,IF($H771=StatusFilter,1,0))),0)</f>
        <v>0</v>
      </c>
      <c r="O771">
        <f>IF($N771=0,0,IF(AND($F771&lt;=EOMONTH(DATE(PlanYear,1,1),0),IF(ISNUMBER($G771),$G771,$F771)&gt;=DATE(PlanYear,1,1)),1,0))</f>
        <v>0</v>
      </c>
      <c r="P771">
        <f>IF($N771=0,0,IF(AND($F771&lt;=EOMONTH(DATE(PlanYear,2,1),0),IF(ISNUMBER($G771),$G771,$F771)&gt;=DATE(PlanYear,2,1)),1,0))</f>
        <v>0</v>
      </c>
      <c r="Q771">
        <f>IF($N771=0,0,IF(AND($F771&lt;=EOMONTH(DATE(PlanYear,3,1),0),IF(ISNUMBER($G771),$G771,$F771)&gt;=DATE(PlanYear,3,1)),1,0))</f>
        <v>0</v>
      </c>
      <c r="R771">
        <f>IF($N771=0,0,IF(AND($F771&lt;=EOMONTH(DATE(PlanYear,4,1),0),IF(ISNUMBER($G771),$G771,$F771)&gt;=DATE(PlanYear,4,1)),1,0))</f>
        <v>0</v>
      </c>
      <c r="S771">
        <f>IF($N771=0,0,IF(AND($F771&lt;=EOMONTH(DATE(PlanYear,5,1),0),IF(ISNUMBER($G771),$G771,$F771)&gt;=DATE(PlanYear,5,1)),1,0))</f>
        <v>0</v>
      </c>
      <c r="T771">
        <f>IF($N771=0,0,IF(AND($F771&lt;=EOMONTH(DATE(PlanYear,6,1),0),IF(ISNUMBER($G771),$G771,$F771)&gt;=DATE(PlanYear,6,1)),1,0))</f>
        <v>0</v>
      </c>
      <c r="U771">
        <f>IF($N771=0,0,IF(AND($F771&lt;=EOMONTH(DATE(PlanYear,7,1),0),IF(ISNUMBER($G771),$G771,$F771)&gt;=DATE(PlanYear,7,1)),1,0))</f>
        <v>0</v>
      </c>
      <c r="V771">
        <f>IF($N771=0,0,IF(AND($F771&lt;=EOMONTH(DATE(PlanYear,8,1),0),IF(ISNUMBER($G771),$G771,$F771)&gt;=DATE(PlanYear,8,1)),1,0))</f>
        <v>0</v>
      </c>
      <c r="W771">
        <f>IF($N771=0,0,IF(AND($F771&lt;=EOMONTH(DATE(PlanYear,9,1),0),IF(ISNUMBER($G771),$G771,$F771)&gt;=DATE(PlanYear,9,1)),1,0))</f>
        <v>0</v>
      </c>
      <c r="X771">
        <f>IF($N771=0,0,IF(AND($F771&lt;=EOMONTH(DATE(PlanYear,10,1),0),IF(ISNUMBER($G771),$G771,$F771)&gt;=DATE(PlanYear,10,1)),1,0))</f>
        <v>0</v>
      </c>
      <c r="Y771">
        <f>IF($N771=0,0,IF(AND($F771&lt;=EOMONTH(DATE(PlanYear,11,1),0),IF(ISNUMBER($G771),$G771,$F771)&gt;=DATE(PlanYear,11,1)),1,0))</f>
        <v>0</v>
      </c>
      <c r="Z771">
        <f>IF($N771=0,0,IF(AND($F771&lt;=EOMONTH(DATE(PlanYear,12,1),0),IF(ISNUMBER($G771),$G771,$F771)&gt;=DATE(PlanYear,12,1)),1,0))</f>
        <v>0</v>
      </c>
      <c r="AA771">
        <f>SUM($O771:$Z771)</f>
        <v>0</v>
      </c>
    </row>
    <row r="772" spans="1:27">
      <c r="A772" s="42">
        <f>IF($B772="","","ACT-"&amp;TEXT(ROW()-4,"000"))</f>
        <v>0</v>
      </c>
      <c r="M772" s="43">
        <f>IF(COUNTA($B772:$K772)=0,"",IF($B772="","Missing activity name",IF($C772="","Missing practice",IF(COUNTIF(PracticeNames,$C772)=0,"Practice not in Lists",IF($D772="","Missing motion",IF(NOT(ISNUMBER($F772)),"Missing or invalid start date",IF(AND(ISNUMBER($G772),$G772&lt;$F772),"End date before start",IF(AND($N772=1,$AA772=0),"Outside planning year","OK"))))))))</f>
        <v>0</v>
      </c>
      <c r="N772">
        <f>IF(AND($B772&lt;&gt;"",$C772&lt;&gt;"",$D772&lt;&gt;"",ISNUMBER($F772),COUNTIF(PracticeNames,$C772)&gt;0,COUNTIF(MotionNames,$D772)&gt;0,NOT(AND(ISNUMBER($G772),$G772&lt;$F772))),IF(StatusFilter="All (excl. Cancelled)",IF($H772="Cancelled",0,1),IF(StatusFilter="All",1,IF($H772=StatusFilter,1,0))),0)</f>
        <v>0</v>
      </c>
      <c r="O772">
        <f>IF($N772=0,0,IF(AND($F772&lt;=EOMONTH(DATE(PlanYear,1,1),0),IF(ISNUMBER($G772),$G772,$F772)&gt;=DATE(PlanYear,1,1)),1,0))</f>
        <v>0</v>
      </c>
      <c r="P772">
        <f>IF($N772=0,0,IF(AND($F772&lt;=EOMONTH(DATE(PlanYear,2,1),0),IF(ISNUMBER($G772),$G772,$F772)&gt;=DATE(PlanYear,2,1)),1,0))</f>
        <v>0</v>
      </c>
      <c r="Q772">
        <f>IF($N772=0,0,IF(AND($F772&lt;=EOMONTH(DATE(PlanYear,3,1),0),IF(ISNUMBER($G772),$G772,$F772)&gt;=DATE(PlanYear,3,1)),1,0))</f>
        <v>0</v>
      </c>
      <c r="R772">
        <f>IF($N772=0,0,IF(AND($F772&lt;=EOMONTH(DATE(PlanYear,4,1),0),IF(ISNUMBER($G772),$G772,$F772)&gt;=DATE(PlanYear,4,1)),1,0))</f>
        <v>0</v>
      </c>
      <c r="S772">
        <f>IF($N772=0,0,IF(AND($F772&lt;=EOMONTH(DATE(PlanYear,5,1),0),IF(ISNUMBER($G772),$G772,$F772)&gt;=DATE(PlanYear,5,1)),1,0))</f>
        <v>0</v>
      </c>
      <c r="T772">
        <f>IF($N772=0,0,IF(AND($F772&lt;=EOMONTH(DATE(PlanYear,6,1),0),IF(ISNUMBER($G772),$G772,$F772)&gt;=DATE(PlanYear,6,1)),1,0))</f>
        <v>0</v>
      </c>
      <c r="U772">
        <f>IF($N772=0,0,IF(AND($F772&lt;=EOMONTH(DATE(PlanYear,7,1),0),IF(ISNUMBER($G772),$G772,$F772)&gt;=DATE(PlanYear,7,1)),1,0))</f>
        <v>0</v>
      </c>
      <c r="V772">
        <f>IF($N772=0,0,IF(AND($F772&lt;=EOMONTH(DATE(PlanYear,8,1),0),IF(ISNUMBER($G772),$G772,$F772)&gt;=DATE(PlanYear,8,1)),1,0))</f>
        <v>0</v>
      </c>
      <c r="W772">
        <f>IF($N772=0,0,IF(AND($F772&lt;=EOMONTH(DATE(PlanYear,9,1),0),IF(ISNUMBER($G772),$G772,$F772)&gt;=DATE(PlanYear,9,1)),1,0))</f>
        <v>0</v>
      </c>
      <c r="X772">
        <f>IF($N772=0,0,IF(AND($F772&lt;=EOMONTH(DATE(PlanYear,10,1),0),IF(ISNUMBER($G772),$G772,$F772)&gt;=DATE(PlanYear,10,1)),1,0))</f>
        <v>0</v>
      </c>
      <c r="Y772">
        <f>IF($N772=0,0,IF(AND($F772&lt;=EOMONTH(DATE(PlanYear,11,1),0),IF(ISNUMBER($G772),$G772,$F772)&gt;=DATE(PlanYear,11,1)),1,0))</f>
        <v>0</v>
      </c>
      <c r="Z772">
        <f>IF($N772=0,0,IF(AND($F772&lt;=EOMONTH(DATE(PlanYear,12,1),0),IF(ISNUMBER($G772),$G772,$F772)&gt;=DATE(PlanYear,12,1)),1,0))</f>
        <v>0</v>
      </c>
      <c r="AA772">
        <f>SUM($O772:$Z772)</f>
        <v>0</v>
      </c>
    </row>
    <row r="773" spans="1:27">
      <c r="A773" s="42">
        <f>IF($B773="","","ACT-"&amp;TEXT(ROW()-4,"000"))</f>
        <v>0</v>
      </c>
      <c r="M773" s="43">
        <f>IF(COUNTA($B773:$K773)=0,"",IF($B773="","Missing activity name",IF($C773="","Missing practice",IF(COUNTIF(PracticeNames,$C773)=0,"Practice not in Lists",IF($D773="","Missing motion",IF(NOT(ISNUMBER($F773)),"Missing or invalid start date",IF(AND(ISNUMBER($G773),$G773&lt;$F773),"End date before start",IF(AND($N773=1,$AA773=0),"Outside planning year","OK"))))))))</f>
        <v>0</v>
      </c>
      <c r="N773">
        <f>IF(AND($B773&lt;&gt;"",$C773&lt;&gt;"",$D773&lt;&gt;"",ISNUMBER($F773),COUNTIF(PracticeNames,$C773)&gt;0,COUNTIF(MotionNames,$D773)&gt;0,NOT(AND(ISNUMBER($G773),$G773&lt;$F773))),IF(StatusFilter="All (excl. Cancelled)",IF($H773="Cancelled",0,1),IF(StatusFilter="All",1,IF($H773=StatusFilter,1,0))),0)</f>
        <v>0</v>
      </c>
      <c r="O773">
        <f>IF($N773=0,0,IF(AND($F773&lt;=EOMONTH(DATE(PlanYear,1,1),0),IF(ISNUMBER($G773),$G773,$F773)&gt;=DATE(PlanYear,1,1)),1,0))</f>
        <v>0</v>
      </c>
      <c r="P773">
        <f>IF($N773=0,0,IF(AND($F773&lt;=EOMONTH(DATE(PlanYear,2,1),0),IF(ISNUMBER($G773),$G773,$F773)&gt;=DATE(PlanYear,2,1)),1,0))</f>
        <v>0</v>
      </c>
      <c r="Q773">
        <f>IF($N773=0,0,IF(AND($F773&lt;=EOMONTH(DATE(PlanYear,3,1),0),IF(ISNUMBER($G773),$G773,$F773)&gt;=DATE(PlanYear,3,1)),1,0))</f>
        <v>0</v>
      </c>
      <c r="R773">
        <f>IF($N773=0,0,IF(AND($F773&lt;=EOMONTH(DATE(PlanYear,4,1),0),IF(ISNUMBER($G773),$G773,$F773)&gt;=DATE(PlanYear,4,1)),1,0))</f>
        <v>0</v>
      </c>
      <c r="S773">
        <f>IF($N773=0,0,IF(AND($F773&lt;=EOMONTH(DATE(PlanYear,5,1),0),IF(ISNUMBER($G773),$G773,$F773)&gt;=DATE(PlanYear,5,1)),1,0))</f>
        <v>0</v>
      </c>
      <c r="T773">
        <f>IF($N773=0,0,IF(AND($F773&lt;=EOMONTH(DATE(PlanYear,6,1),0),IF(ISNUMBER($G773),$G773,$F773)&gt;=DATE(PlanYear,6,1)),1,0))</f>
        <v>0</v>
      </c>
      <c r="U773">
        <f>IF($N773=0,0,IF(AND($F773&lt;=EOMONTH(DATE(PlanYear,7,1),0),IF(ISNUMBER($G773),$G773,$F773)&gt;=DATE(PlanYear,7,1)),1,0))</f>
        <v>0</v>
      </c>
      <c r="V773">
        <f>IF($N773=0,0,IF(AND($F773&lt;=EOMONTH(DATE(PlanYear,8,1),0),IF(ISNUMBER($G773),$G773,$F773)&gt;=DATE(PlanYear,8,1)),1,0))</f>
        <v>0</v>
      </c>
      <c r="W773">
        <f>IF($N773=0,0,IF(AND($F773&lt;=EOMONTH(DATE(PlanYear,9,1),0),IF(ISNUMBER($G773),$G773,$F773)&gt;=DATE(PlanYear,9,1)),1,0))</f>
        <v>0</v>
      </c>
      <c r="X773">
        <f>IF($N773=0,0,IF(AND($F773&lt;=EOMONTH(DATE(PlanYear,10,1),0),IF(ISNUMBER($G773),$G773,$F773)&gt;=DATE(PlanYear,10,1)),1,0))</f>
        <v>0</v>
      </c>
      <c r="Y773">
        <f>IF($N773=0,0,IF(AND($F773&lt;=EOMONTH(DATE(PlanYear,11,1),0),IF(ISNUMBER($G773),$G773,$F773)&gt;=DATE(PlanYear,11,1)),1,0))</f>
        <v>0</v>
      </c>
      <c r="Z773">
        <f>IF($N773=0,0,IF(AND($F773&lt;=EOMONTH(DATE(PlanYear,12,1),0),IF(ISNUMBER($G773),$G773,$F773)&gt;=DATE(PlanYear,12,1)),1,0))</f>
        <v>0</v>
      </c>
      <c r="AA773">
        <f>SUM($O773:$Z773)</f>
        <v>0</v>
      </c>
    </row>
    <row r="774" spans="1:27">
      <c r="A774" s="42">
        <f>IF($B774="","","ACT-"&amp;TEXT(ROW()-4,"000"))</f>
        <v>0</v>
      </c>
      <c r="M774" s="43">
        <f>IF(COUNTA($B774:$K774)=0,"",IF($B774="","Missing activity name",IF($C774="","Missing practice",IF(COUNTIF(PracticeNames,$C774)=0,"Practice not in Lists",IF($D774="","Missing motion",IF(NOT(ISNUMBER($F774)),"Missing or invalid start date",IF(AND(ISNUMBER($G774),$G774&lt;$F774),"End date before start",IF(AND($N774=1,$AA774=0),"Outside planning year","OK"))))))))</f>
        <v>0</v>
      </c>
      <c r="N774">
        <f>IF(AND($B774&lt;&gt;"",$C774&lt;&gt;"",$D774&lt;&gt;"",ISNUMBER($F774),COUNTIF(PracticeNames,$C774)&gt;0,COUNTIF(MotionNames,$D774)&gt;0,NOT(AND(ISNUMBER($G774),$G774&lt;$F774))),IF(StatusFilter="All (excl. Cancelled)",IF($H774="Cancelled",0,1),IF(StatusFilter="All",1,IF($H774=StatusFilter,1,0))),0)</f>
        <v>0</v>
      </c>
      <c r="O774">
        <f>IF($N774=0,0,IF(AND($F774&lt;=EOMONTH(DATE(PlanYear,1,1),0),IF(ISNUMBER($G774),$G774,$F774)&gt;=DATE(PlanYear,1,1)),1,0))</f>
        <v>0</v>
      </c>
      <c r="P774">
        <f>IF($N774=0,0,IF(AND($F774&lt;=EOMONTH(DATE(PlanYear,2,1),0),IF(ISNUMBER($G774),$G774,$F774)&gt;=DATE(PlanYear,2,1)),1,0))</f>
        <v>0</v>
      </c>
      <c r="Q774">
        <f>IF($N774=0,0,IF(AND($F774&lt;=EOMONTH(DATE(PlanYear,3,1),0),IF(ISNUMBER($G774),$G774,$F774)&gt;=DATE(PlanYear,3,1)),1,0))</f>
        <v>0</v>
      </c>
      <c r="R774">
        <f>IF($N774=0,0,IF(AND($F774&lt;=EOMONTH(DATE(PlanYear,4,1),0),IF(ISNUMBER($G774),$G774,$F774)&gt;=DATE(PlanYear,4,1)),1,0))</f>
        <v>0</v>
      </c>
      <c r="S774">
        <f>IF($N774=0,0,IF(AND($F774&lt;=EOMONTH(DATE(PlanYear,5,1),0),IF(ISNUMBER($G774),$G774,$F774)&gt;=DATE(PlanYear,5,1)),1,0))</f>
        <v>0</v>
      </c>
      <c r="T774">
        <f>IF($N774=0,0,IF(AND($F774&lt;=EOMONTH(DATE(PlanYear,6,1),0),IF(ISNUMBER($G774),$G774,$F774)&gt;=DATE(PlanYear,6,1)),1,0))</f>
        <v>0</v>
      </c>
      <c r="U774">
        <f>IF($N774=0,0,IF(AND($F774&lt;=EOMONTH(DATE(PlanYear,7,1),0),IF(ISNUMBER($G774),$G774,$F774)&gt;=DATE(PlanYear,7,1)),1,0))</f>
        <v>0</v>
      </c>
      <c r="V774">
        <f>IF($N774=0,0,IF(AND($F774&lt;=EOMONTH(DATE(PlanYear,8,1),0),IF(ISNUMBER($G774),$G774,$F774)&gt;=DATE(PlanYear,8,1)),1,0))</f>
        <v>0</v>
      </c>
      <c r="W774">
        <f>IF($N774=0,0,IF(AND($F774&lt;=EOMONTH(DATE(PlanYear,9,1),0),IF(ISNUMBER($G774),$G774,$F774)&gt;=DATE(PlanYear,9,1)),1,0))</f>
        <v>0</v>
      </c>
      <c r="X774">
        <f>IF($N774=0,0,IF(AND($F774&lt;=EOMONTH(DATE(PlanYear,10,1),0),IF(ISNUMBER($G774),$G774,$F774)&gt;=DATE(PlanYear,10,1)),1,0))</f>
        <v>0</v>
      </c>
      <c r="Y774">
        <f>IF($N774=0,0,IF(AND($F774&lt;=EOMONTH(DATE(PlanYear,11,1),0),IF(ISNUMBER($G774),$G774,$F774)&gt;=DATE(PlanYear,11,1)),1,0))</f>
        <v>0</v>
      </c>
      <c r="Z774">
        <f>IF($N774=0,0,IF(AND($F774&lt;=EOMONTH(DATE(PlanYear,12,1),0),IF(ISNUMBER($G774),$G774,$F774)&gt;=DATE(PlanYear,12,1)),1,0))</f>
        <v>0</v>
      </c>
      <c r="AA774">
        <f>SUM($O774:$Z774)</f>
        <v>0</v>
      </c>
    </row>
    <row r="775" spans="1:27">
      <c r="A775" s="42">
        <f>IF($B775="","","ACT-"&amp;TEXT(ROW()-4,"000"))</f>
        <v>0</v>
      </c>
      <c r="M775" s="43">
        <f>IF(COUNTA($B775:$K775)=0,"",IF($B775="","Missing activity name",IF($C775="","Missing practice",IF(COUNTIF(PracticeNames,$C775)=0,"Practice not in Lists",IF($D775="","Missing motion",IF(NOT(ISNUMBER($F775)),"Missing or invalid start date",IF(AND(ISNUMBER($G775),$G775&lt;$F775),"End date before start",IF(AND($N775=1,$AA775=0),"Outside planning year","OK"))))))))</f>
        <v>0</v>
      </c>
      <c r="N775">
        <f>IF(AND($B775&lt;&gt;"",$C775&lt;&gt;"",$D775&lt;&gt;"",ISNUMBER($F775),COUNTIF(PracticeNames,$C775)&gt;0,COUNTIF(MotionNames,$D775)&gt;0,NOT(AND(ISNUMBER($G775),$G775&lt;$F775))),IF(StatusFilter="All (excl. Cancelled)",IF($H775="Cancelled",0,1),IF(StatusFilter="All",1,IF($H775=StatusFilter,1,0))),0)</f>
        <v>0</v>
      </c>
      <c r="O775">
        <f>IF($N775=0,0,IF(AND($F775&lt;=EOMONTH(DATE(PlanYear,1,1),0),IF(ISNUMBER($G775),$G775,$F775)&gt;=DATE(PlanYear,1,1)),1,0))</f>
        <v>0</v>
      </c>
      <c r="P775">
        <f>IF($N775=0,0,IF(AND($F775&lt;=EOMONTH(DATE(PlanYear,2,1),0),IF(ISNUMBER($G775),$G775,$F775)&gt;=DATE(PlanYear,2,1)),1,0))</f>
        <v>0</v>
      </c>
      <c r="Q775">
        <f>IF($N775=0,0,IF(AND($F775&lt;=EOMONTH(DATE(PlanYear,3,1),0),IF(ISNUMBER($G775),$G775,$F775)&gt;=DATE(PlanYear,3,1)),1,0))</f>
        <v>0</v>
      </c>
      <c r="R775">
        <f>IF($N775=0,0,IF(AND($F775&lt;=EOMONTH(DATE(PlanYear,4,1),0),IF(ISNUMBER($G775),$G775,$F775)&gt;=DATE(PlanYear,4,1)),1,0))</f>
        <v>0</v>
      </c>
      <c r="S775">
        <f>IF($N775=0,0,IF(AND($F775&lt;=EOMONTH(DATE(PlanYear,5,1),0),IF(ISNUMBER($G775),$G775,$F775)&gt;=DATE(PlanYear,5,1)),1,0))</f>
        <v>0</v>
      </c>
      <c r="T775">
        <f>IF($N775=0,0,IF(AND($F775&lt;=EOMONTH(DATE(PlanYear,6,1),0),IF(ISNUMBER($G775),$G775,$F775)&gt;=DATE(PlanYear,6,1)),1,0))</f>
        <v>0</v>
      </c>
      <c r="U775">
        <f>IF($N775=0,0,IF(AND($F775&lt;=EOMONTH(DATE(PlanYear,7,1),0),IF(ISNUMBER($G775),$G775,$F775)&gt;=DATE(PlanYear,7,1)),1,0))</f>
        <v>0</v>
      </c>
      <c r="V775">
        <f>IF($N775=0,0,IF(AND($F775&lt;=EOMONTH(DATE(PlanYear,8,1),0),IF(ISNUMBER($G775),$G775,$F775)&gt;=DATE(PlanYear,8,1)),1,0))</f>
        <v>0</v>
      </c>
      <c r="W775">
        <f>IF($N775=0,0,IF(AND($F775&lt;=EOMONTH(DATE(PlanYear,9,1),0),IF(ISNUMBER($G775),$G775,$F775)&gt;=DATE(PlanYear,9,1)),1,0))</f>
        <v>0</v>
      </c>
      <c r="X775">
        <f>IF($N775=0,0,IF(AND($F775&lt;=EOMONTH(DATE(PlanYear,10,1),0),IF(ISNUMBER($G775),$G775,$F775)&gt;=DATE(PlanYear,10,1)),1,0))</f>
        <v>0</v>
      </c>
      <c r="Y775">
        <f>IF($N775=0,0,IF(AND($F775&lt;=EOMONTH(DATE(PlanYear,11,1),0),IF(ISNUMBER($G775),$G775,$F775)&gt;=DATE(PlanYear,11,1)),1,0))</f>
        <v>0</v>
      </c>
      <c r="Z775">
        <f>IF($N775=0,0,IF(AND($F775&lt;=EOMONTH(DATE(PlanYear,12,1),0),IF(ISNUMBER($G775),$G775,$F775)&gt;=DATE(PlanYear,12,1)),1,0))</f>
        <v>0</v>
      </c>
      <c r="AA775">
        <f>SUM($O775:$Z775)</f>
        <v>0</v>
      </c>
    </row>
    <row r="776" spans="1:27">
      <c r="A776" s="42">
        <f>IF($B776="","","ACT-"&amp;TEXT(ROW()-4,"000"))</f>
        <v>0</v>
      </c>
      <c r="M776" s="43">
        <f>IF(COUNTA($B776:$K776)=0,"",IF($B776="","Missing activity name",IF($C776="","Missing practice",IF(COUNTIF(PracticeNames,$C776)=0,"Practice not in Lists",IF($D776="","Missing motion",IF(NOT(ISNUMBER($F776)),"Missing or invalid start date",IF(AND(ISNUMBER($G776),$G776&lt;$F776),"End date before start",IF(AND($N776=1,$AA776=0),"Outside planning year","OK"))))))))</f>
        <v>0</v>
      </c>
      <c r="N776">
        <f>IF(AND($B776&lt;&gt;"",$C776&lt;&gt;"",$D776&lt;&gt;"",ISNUMBER($F776),COUNTIF(PracticeNames,$C776)&gt;0,COUNTIF(MotionNames,$D776)&gt;0,NOT(AND(ISNUMBER($G776),$G776&lt;$F776))),IF(StatusFilter="All (excl. Cancelled)",IF($H776="Cancelled",0,1),IF(StatusFilter="All",1,IF($H776=StatusFilter,1,0))),0)</f>
        <v>0</v>
      </c>
      <c r="O776">
        <f>IF($N776=0,0,IF(AND($F776&lt;=EOMONTH(DATE(PlanYear,1,1),0),IF(ISNUMBER($G776),$G776,$F776)&gt;=DATE(PlanYear,1,1)),1,0))</f>
        <v>0</v>
      </c>
      <c r="P776">
        <f>IF($N776=0,0,IF(AND($F776&lt;=EOMONTH(DATE(PlanYear,2,1),0),IF(ISNUMBER($G776),$G776,$F776)&gt;=DATE(PlanYear,2,1)),1,0))</f>
        <v>0</v>
      </c>
      <c r="Q776">
        <f>IF($N776=0,0,IF(AND($F776&lt;=EOMONTH(DATE(PlanYear,3,1),0),IF(ISNUMBER($G776),$G776,$F776)&gt;=DATE(PlanYear,3,1)),1,0))</f>
        <v>0</v>
      </c>
      <c r="R776">
        <f>IF($N776=0,0,IF(AND($F776&lt;=EOMONTH(DATE(PlanYear,4,1),0),IF(ISNUMBER($G776),$G776,$F776)&gt;=DATE(PlanYear,4,1)),1,0))</f>
        <v>0</v>
      </c>
      <c r="S776">
        <f>IF($N776=0,0,IF(AND($F776&lt;=EOMONTH(DATE(PlanYear,5,1),0),IF(ISNUMBER($G776),$G776,$F776)&gt;=DATE(PlanYear,5,1)),1,0))</f>
        <v>0</v>
      </c>
      <c r="T776">
        <f>IF($N776=0,0,IF(AND($F776&lt;=EOMONTH(DATE(PlanYear,6,1),0),IF(ISNUMBER($G776),$G776,$F776)&gt;=DATE(PlanYear,6,1)),1,0))</f>
        <v>0</v>
      </c>
      <c r="U776">
        <f>IF($N776=0,0,IF(AND($F776&lt;=EOMONTH(DATE(PlanYear,7,1),0),IF(ISNUMBER($G776),$G776,$F776)&gt;=DATE(PlanYear,7,1)),1,0))</f>
        <v>0</v>
      </c>
      <c r="V776">
        <f>IF($N776=0,0,IF(AND($F776&lt;=EOMONTH(DATE(PlanYear,8,1),0),IF(ISNUMBER($G776),$G776,$F776)&gt;=DATE(PlanYear,8,1)),1,0))</f>
        <v>0</v>
      </c>
      <c r="W776">
        <f>IF($N776=0,0,IF(AND($F776&lt;=EOMONTH(DATE(PlanYear,9,1),0),IF(ISNUMBER($G776),$G776,$F776)&gt;=DATE(PlanYear,9,1)),1,0))</f>
        <v>0</v>
      </c>
      <c r="X776">
        <f>IF($N776=0,0,IF(AND($F776&lt;=EOMONTH(DATE(PlanYear,10,1),0),IF(ISNUMBER($G776),$G776,$F776)&gt;=DATE(PlanYear,10,1)),1,0))</f>
        <v>0</v>
      </c>
      <c r="Y776">
        <f>IF($N776=0,0,IF(AND($F776&lt;=EOMONTH(DATE(PlanYear,11,1),0),IF(ISNUMBER($G776),$G776,$F776)&gt;=DATE(PlanYear,11,1)),1,0))</f>
        <v>0</v>
      </c>
      <c r="Z776">
        <f>IF($N776=0,0,IF(AND($F776&lt;=EOMONTH(DATE(PlanYear,12,1),0),IF(ISNUMBER($G776),$G776,$F776)&gt;=DATE(PlanYear,12,1)),1,0))</f>
        <v>0</v>
      </c>
      <c r="AA776">
        <f>SUM($O776:$Z776)</f>
        <v>0</v>
      </c>
    </row>
    <row r="777" spans="1:27">
      <c r="A777" s="42">
        <f>IF($B777="","","ACT-"&amp;TEXT(ROW()-4,"000"))</f>
        <v>0</v>
      </c>
      <c r="M777" s="43">
        <f>IF(COUNTA($B777:$K777)=0,"",IF($B777="","Missing activity name",IF($C777="","Missing practice",IF(COUNTIF(PracticeNames,$C777)=0,"Practice not in Lists",IF($D777="","Missing motion",IF(NOT(ISNUMBER($F777)),"Missing or invalid start date",IF(AND(ISNUMBER($G777),$G777&lt;$F777),"End date before start",IF(AND($N777=1,$AA777=0),"Outside planning year","OK"))))))))</f>
        <v>0</v>
      </c>
      <c r="N777">
        <f>IF(AND($B777&lt;&gt;"",$C777&lt;&gt;"",$D777&lt;&gt;"",ISNUMBER($F777),COUNTIF(PracticeNames,$C777)&gt;0,COUNTIF(MotionNames,$D777)&gt;0,NOT(AND(ISNUMBER($G777),$G777&lt;$F777))),IF(StatusFilter="All (excl. Cancelled)",IF($H777="Cancelled",0,1),IF(StatusFilter="All",1,IF($H777=StatusFilter,1,0))),0)</f>
        <v>0</v>
      </c>
      <c r="O777">
        <f>IF($N777=0,0,IF(AND($F777&lt;=EOMONTH(DATE(PlanYear,1,1),0),IF(ISNUMBER($G777),$G777,$F777)&gt;=DATE(PlanYear,1,1)),1,0))</f>
        <v>0</v>
      </c>
      <c r="P777">
        <f>IF($N777=0,0,IF(AND($F777&lt;=EOMONTH(DATE(PlanYear,2,1),0),IF(ISNUMBER($G777),$G777,$F777)&gt;=DATE(PlanYear,2,1)),1,0))</f>
        <v>0</v>
      </c>
      <c r="Q777">
        <f>IF($N777=0,0,IF(AND($F777&lt;=EOMONTH(DATE(PlanYear,3,1),0),IF(ISNUMBER($G777),$G777,$F777)&gt;=DATE(PlanYear,3,1)),1,0))</f>
        <v>0</v>
      </c>
      <c r="R777">
        <f>IF($N777=0,0,IF(AND($F777&lt;=EOMONTH(DATE(PlanYear,4,1),0),IF(ISNUMBER($G777),$G777,$F777)&gt;=DATE(PlanYear,4,1)),1,0))</f>
        <v>0</v>
      </c>
      <c r="S777">
        <f>IF($N777=0,0,IF(AND($F777&lt;=EOMONTH(DATE(PlanYear,5,1),0),IF(ISNUMBER($G777),$G777,$F777)&gt;=DATE(PlanYear,5,1)),1,0))</f>
        <v>0</v>
      </c>
      <c r="T777">
        <f>IF($N777=0,0,IF(AND($F777&lt;=EOMONTH(DATE(PlanYear,6,1),0),IF(ISNUMBER($G777),$G777,$F777)&gt;=DATE(PlanYear,6,1)),1,0))</f>
        <v>0</v>
      </c>
      <c r="U777">
        <f>IF($N777=0,0,IF(AND($F777&lt;=EOMONTH(DATE(PlanYear,7,1),0),IF(ISNUMBER($G777),$G777,$F777)&gt;=DATE(PlanYear,7,1)),1,0))</f>
        <v>0</v>
      </c>
      <c r="V777">
        <f>IF($N777=0,0,IF(AND($F777&lt;=EOMONTH(DATE(PlanYear,8,1),0),IF(ISNUMBER($G777),$G777,$F777)&gt;=DATE(PlanYear,8,1)),1,0))</f>
        <v>0</v>
      </c>
      <c r="W777">
        <f>IF($N777=0,0,IF(AND($F777&lt;=EOMONTH(DATE(PlanYear,9,1),0),IF(ISNUMBER($G777),$G777,$F777)&gt;=DATE(PlanYear,9,1)),1,0))</f>
        <v>0</v>
      </c>
      <c r="X777">
        <f>IF($N777=0,0,IF(AND($F777&lt;=EOMONTH(DATE(PlanYear,10,1),0),IF(ISNUMBER($G777),$G777,$F777)&gt;=DATE(PlanYear,10,1)),1,0))</f>
        <v>0</v>
      </c>
      <c r="Y777">
        <f>IF($N777=0,0,IF(AND($F777&lt;=EOMONTH(DATE(PlanYear,11,1),0),IF(ISNUMBER($G777),$G777,$F777)&gt;=DATE(PlanYear,11,1)),1,0))</f>
        <v>0</v>
      </c>
      <c r="Z777">
        <f>IF($N777=0,0,IF(AND($F777&lt;=EOMONTH(DATE(PlanYear,12,1),0),IF(ISNUMBER($G777),$G777,$F777)&gt;=DATE(PlanYear,12,1)),1,0))</f>
        <v>0</v>
      </c>
      <c r="AA777">
        <f>SUM($O777:$Z777)</f>
        <v>0</v>
      </c>
    </row>
    <row r="778" spans="1:27">
      <c r="A778" s="42">
        <f>IF($B778="","","ACT-"&amp;TEXT(ROW()-4,"000"))</f>
        <v>0</v>
      </c>
      <c r="M778" s="43">
        <f>IF(COUNTA($B778:$K778)=0,"",IF($B778="","Missing activity name",IF($C778="","Missing practice",IF(COUNTIF(PracticeNames,$C778)=0,"Practice not in Lists",IF($D778="","Missing motion",IF(NOT(ISNUMBER($F778)),"Missing or invalid start date",IF(AND(ISNUMBER($G778),$G778&lt;$F778),"End date before start",IF(AND($N778=1,$AA778=0),"Outside planning year","OK"))))))))</f>
        <v>0</v>
      </c>
      <c r="N778">
        <f>IF(AND($B778&lt;&gt;"",$C778&lt;&gt;"",$D778&lt;&gt;"",ISNUMBER($F778),COUNTIF(PracticeNames,$C778)&gt;0,COUNTIF(MotionNames,$D778)&gt;0,NOT(AND(ISNUMBER($G778),$G778&lt;$F778))),IF(StatusFilter="All (excl. Cancelled)",IF($H778="Cancelled",0,1),IF(StatusFilter="All",1,IF($H778=StatusFilter,1,0))),0)</f>
        <v>0</v>
      </c>
      <c r="O778">
        <f>IF($N778=0,0,IF(AND($F778&lt;=EOMONTH(DATE(PlanYear,1,1),0),IF(ISNUMBER($G778),$G778,$F778)&gt;=DATE(PlanYear,1,1)),1,0))</f>
        <v>0</v>
      </c>
      <c r="P778">
        <f>IF($N778=0,0,IF(AND($F778&lt;=EOMONTH(DATE(PlanYear,2,1),0),IF(ISNUMBER($G778),$G778,$F778)&gt;=DATE(PlanYear,2,1)),1,0))</f>
        <v>0</v>
      </c>
      <c r="Q778">
        <f>IF($N778=0,0,IF(AND($F778&lt;=EOMONTH(DATE(PlanYear,3,1),0),IF(ISNUMBER($G778),$G778,$F778)&gt;=DATE(PlanYear,3,1)),1,0))</f>
        <v>0</v>
      </c>
      <c r="R778">
        <f>IF($N778=0,0,IF(AND($F778&lt;=EOMONTH(DATE(PlanYear,4,1),0),IF(ISNUMBER($G778),$G778,$F778)&gt;=DATE(PlanYear,4,1)),1,0))</f>
        <v>0</v>
      </c>
      <c r="S778">
        <f>IF($N778=0,0,IF(AND($F778&lt;=EOMONTH(DATE(PlanYear,5,1),0),IF(ISNUMBER($G778),$G778,$F778)&gt;=DATE(PlanYear,5,1)),1,0))</f>
        <v>0</v>
      </c>
      <c r="T778">
        <f>IF($N778=0,0,IF(AND($F778&lt;=EOMONTH(DATE(PlanYear,6,1),0),IF(ISNUMBER($G778),$G778,$F778)&gt;=DATE(PlanYear,6,1)),1,0))</f>
        <v>0</v>
      </c>
      <c r="U778">
        <f>IF($N778=0,0,IF(AND($F778&lt;=EOMONTH(DATE(PlanYear,7,1),0),IF(ISNUMBER($G778),$G778,$F778)&gt;=DATE(PlanYear,7,1)),1,0))</f>
        <v>0</v>
      </c>
      <c r="V778">
        <f>IF($N778=0,0,IF(AND($F778&lt;=EOMONTH(DATE(PlanYear,8,1),0),IF(ISNUMBER($G778),$G778,$F778)&gt;=DATE(PlanYear,8,1)),1,0))</f>
        <v>0</v>
      </c>
      <c r="W778">
        <f>IF($N778=0,0,IF(AND($F778&lt;=EOMONTH(DATE(PlanYear,9,1),0),IF(ISNUMBER($G778),$G778,$F778)&gt;=DATE(PlanYear,9,1)),1,0))</f>
        <v>0</v>
      </c>
      <c r="X778">
        <f>IF($N778=0,0,IF(AND($F778&lt;=EOMONTH(DATE(PlanYear,10,1),0),IF(ISNUMBER($G778),$G778,$F778)&gt;=DATE(PlanYear,10,1)),1,0))</f>
        <v>0</v>
      </c>
      <c r="Y778">
        <f>IF($N778=0,0,IF(AND($F778&lt;=EOMONTH(DATE(PlanYear,11,1),0),IF(ISNUMBER($G778),$G778,$F778)&gt;=DATE(PlanYear,11,1)),1,0))</f>
        <v>0</v>
      </c>
      <c r="Z778">
        <f>IF($N778=0,0,IF(AND($F778&lt;=EOMONTH(DATE(PlanYear,12,1),0),IF(ISNUMBER($G778),$G778,$F778)&gt;=DATE(PlanYear,12,1)),1,0))</f>
        <v>0</v>
      </c>
      <c r="AA778">
        <f>SUM($O778:$Z778)</f>
        <v>0</v>
      </c>
    </row>
    <row r="779" spans="1:27">
      <c r="A779" s="42">
        <f>IF($B779="","","ACT-"&amp;TEXT(ROW()-4,"000"))</f>
        <v>0</v>
      </c>
      <c r="M779" s="43">
        <f>IF(COUNTA($B779:$K779)=0,"",IF($B779="","Missing activity name",IF($C779="","Missing practice",IF(COUNTIF(PracticeNames,$C779)=0,"Practice not in Lists",IF($D779="","Missing motion",IF(NOT(ISNUMBER($F779)),"Missing or invalid start date",IF(AND(ISNUMBER($G779),$G779&lt;$F779),"End date before start",IF(AND($N779=1,$AA779=0),"Outside planning year","OK"))))))))</f>
        <v>0</v>
      </c>
      <c r="N779">
        <f>IF(AND($B779&lt;&gt;"",$C779&lt;&gt;"",$D779&lt;&gt;"",ISNUMBER($F779),COUNTIF(PracticeNames,$C779)&gt;0,COUNTIF(MotionNames,$D779)&gt;0,NOT(AND(ISNUMBER($G779),$G779&lt;$F779))),IF(StatusFilter="All (excl. Cancelled)",IF($H779="Cancelled",0,1),IF(StatusFilter="All",1,IF($H779=StatusFilter,1,0))),0)</f>
        <v>0</v>
      </c>
      <c r="O779">
        <f>IF($N779=0,0,IF(AND($F779&lt;=EOMONTH(DATE(PlanYear,1,1),0),IF(ISNUMBER($G779),$G779,$F779)&gt;=DATE(PlanYear,1,1)),1,0))</f>
        <v>0</v>
      </c>
      <c r="P779">
        <f>IF($N779=0,0,IF(AND($F779&lt;=EOMONTH(DATE(PlanYear,2,1),0),IF(ISNUMBER($G779),$G779,$F779)&gt;=DATE(PlanYear,2,1)),1,0))</f>
        <v>0</v>
      </c>
      <c r="Q779">
        <f>IF($N779=0,0,IF(AND($F779&lt;=EOMONTH(DATE(PlanYear,3,1),0),IF(ISNUMBER($G779),$G779,$F779)&gt;=DATE(PlanYear,3,1)),1,0))</f>
        <v>0</v>
      </c>
      <c r="R779">
        <f>IF($N779=0,0,IF(AND($F779&lt;=EOMONTH(DATE(PlanYear,4,1),0),IF(ISNUMBER($G779),$G779,$F779)&gt;=DATE(PlanYear,4,1)),1,0))</f>
        <v>0</v>
      </c>
      <c r="S779">
        <f>IF($N779=0,0,IF(AND($F779&lt;=EOMONTH(DATE(PlanYear,5,1),0),IF(ISNUMBER($G779),$G779,$F779)&gt;=DATE(PlanYear,5,1)),1,0))</f>
        <v>0</v>
      </c>
      <c r="T779">
        <f>IF($N779=0,0,IF(AND($F779&lt;=EOMONTH(DATE(PlanYear,6,1),0),IF(ISNUMBER($G779),$G779,$F779)&gt;=DATE(PlanYear,6,1)),1,0))</f>
        <v>0</v>
      </c>
      <c r="U779">
        <f>IF($N779=0,0,IF(AND($F779&lt;=EOMONTH(DATE(PlanYear,7,1),0),IF(ISNUMBER($G779),$G779,$F779)&gt;=DATE(PlanYear,7,1)),1,0))</f>
        <v>0</v>
      </c>
      <c r="V779">
        <f>IF($N779=0,0,IF(AND($F779&lt;=EOMONTH(DATE(PlanYear,8,1),0),IF(ISNUMBER($G779),$G779,$F779)&gt;=DATE(PlanYear,8,1)),1,0))</f>
        <v>0</v>
      </c>
      <c r="W779">
        <f>IF($N779=0,0,IF(AND($F779&lt;=EOMONTH(DATE(PlanYear,9,1),0),IF(ISNUMBER($G779),$G779,$F779)&gt;=DATE(PlanYear,9,1)),1,0))</f>
        <v>0</v>
      </c>
      <c r="X779">
        <f>IF($N779=0,0,IF(AND($F779&lt;=EOMONTH(DATE(PlanYear,10,1),0),IF(ISNUMBER($G779),$G779,$F779)&gt;=DATE(PlanYear,10,1)),1,0))</f>
        <v>0</v>
      </c>
      <c r="Y779">
        <f>IF($N779=0,0,IF(AND($F779&lt;=EOMONTH(DATE(PlanYear,11,1),0),IF(ISNUMBER($G779),$G779,$F779)&gt;=DATE(PlanYear,11,1)),1,0))</f>
        <v>0</v>
      </c>
      <c r="Z779">
        <f>IF($N779=0,0,IF(AND($F779&lt;=EOMONTH(DATE(PlanYear,12,1),0),IF(ISNUMBER($G779),$G779,$F779)&gt;=DATE(PlanYear,12,1)),1,0))</f>
        <v>0</v>
      </c>
      <c r="AA779">
        <f>SUM($O779:$Z779)</f>
        <v>0</v>
      </c>
    </row>
    <row r="780" spans="1:27">
      <c r="A780" s="42">
        <f>IF($B780="","","ACT-"&amp;TEXT(ROW()-4,"000"))</f>
        <v>0</v>
      </c>
      <c r="M780" s="43">
        <f>IF(COUNTA($B780:$K780)=0,"",IF($B780="","Missing activity name",IF($C780="","Missing practice",IF(COUNTIF(PracticeNames,$C780)=0,"Practice not in Lists",IF($D780="","Missing motion",IF(NOT(ISNUMBER($F780)),"Missing or invalid start date",IF(AND(ISNUMBER($G780),$G780&lt;$F780),"End date before start",IF(AND($N780=1,$AA780=0),"Outside planning year","OK"))))))))</f>
        <v>0</v>
      </c>
      <c r="N780">
        <f>IF(AND($B780&lt;&gt;"",$C780&lt;&gt;"",$D780&lt;&gt;"",ISNUMBER($F780),COUNTIF(PracticeNames,$C780)&gt;0,COUNTIF(MotionNames,$D780)&gt;0,NOT(AND(ISNUMBER($G780),$G780&lt;$F780))),IF(StatusFilter="All (excl. Cancelled)",IF($H780="Cancelled",0,1),IF(StatusFilter="All",1,IF($H780=StatusFilter,1,0))),0)</f>
        <v>0</v>
      </c>
      <c r="O780">
        <f>IF($N780=0,0,IF(AND($F780&lt;=EOMONTH(DATE(PlanYear,1,1),0),IF(ISNUMBER($G780),$G780,$F780)&gt;=DATE(PlanYear,1,1)),1,0))</f>
        <v>0</v>
      </c>
      <c r="P780">
        <f>IF($N780=0,0,IF(AND($F780&lt;=EOMONTH(DATE(PlanYear,2,1),0),IF(ISNUMBER($G780),$G780,$F780)&gt;=DATE(PlanYear,2,1)),1,0))</f>
        <v>0</v>
      </c>
      <c r="Q780">
        <f>IF($N780=0,0,IF(AND($F780&lt;=EOMONTH(DATE(PlanYear,3,1),0),IF(ISNUMBER($G780),$G780,$F780)&gt;=DATE(PlanYear,3,1)),1,0))</f>
        <v>0</v>
      </c>
      <c r="R780">
        <f>IF($N780=0,0,IF(AND($F780&lt;=EOMONTH(DATE(PlanYear,4,1),0),IF(ISNUMBER($G780),$G780,$F780)&gt;=DATE(PlanYear,4,1)),1,0))</f>
        <v>0</v>
      </c>
      <c r="S780">
        <f>IF($N780=0,0,IF(AND($F780&lt;=EOMONTH(DATE(PlanYear,5,1),0),IF(ISNUMBER($G780),$G780,$F780)&gt;=DATE(PlanYear,5,1)),1,0))</f>
        <v>0</v>
      </c>
      <c r="T780">
        <f>IF($N780=0,0,IF(AND($F780&lt;=EOMONTH(DATE(PlanYear,6,1),0),IF(ISNUMBER($G780),$G780,$F780)&gt;=DATE(PlanYear,6,1)),1,0))</f>
        <v>0</v>
      </c>
      <c r="U780">
        <f>IF($N780=0,0,IF(AND($F780&lt;=EOMONTH(DATE(PlanYear,7,1),0),IF(ISNUMBER($G780),$G780,$F780)&gt;=DATE(PlanYear,7,1)),1,0))</f>
        <v>0</v>
      </c>
      <c r="V780">
        <f>IF($N780=0,0,IF(AND($F780&lt;=EOMONTH(DATE(PlanYear,8,1),0),IF(ISNUMBER($G780),$G780,$F780)&gt;=DATE(PlanYear,8,1)),1,0))</f>
        <v>0</v>
      </c>
      <c r="W780">
        <f>IF($N780=0,0,IF(AND($F780&lt;=EOMONTH(DATE(PlanYear,9,1),0),IF(ISNUMBER($G780),$G780,$F780)&gt;=DATE(PlanYear,9,1)),1,0))</f>
        <v>0</v>
      </c>
      <c r="X780">
        <f>IF($N780=0,0,IF(AND($F780&lt;=EOMONTH(DATE(PlanYear,10,1),0),IF(ISNUMBER($G780),$G780,$F780)&gt;=DATE(PlanYear,10,1)),1,0))</f>
        <v>0</v>
      </c>
      <c r="Y780">
        <f>IF($N780=0,0,IF(AND($F780&lt;=EOMONTH(DATE(PlanYear,11,1),0),IF(ISNUMBER($G780),$G780,$F780)&gt;=DATE(PlanYear,11,1)),1,0))</f>
        <v>0</v>
      </c>
      <c r="Z780">
        <f>IF($N780=0,0,IF(AND($F780&lt;=EOMONTH(DATE(PlanYear,12,1),0),IF(ISNUMBER($G780),$G780,$F780)&gt;=DATE(PlanYear,12,1)),1,0))</f>
        <v>0</v>
      </c>
      <c r="AA780">
        <f>SUM($O780:$Z780)</f>
        <v>0</v>
      </c>
    </row>
    <row r="781" spans="1:27">
      <c r="A781" s="42">
        <f>IF($B781="","","ACT-"&amp;TEXT(ROW()-4,"000"))</f>
        <v>0</v>
      </c>
      <c r="M781" s="43">
        <f>IF(COUNTA($B781:$K781)=0,"",IF($B781="","Missing activity name",IF($C781="","Missing practice",IF(COUNTIF(PracticeNames,$C781)=0,"Practice not in Lists",IF($D781="","Missing motion",IF(NOT(ISNUMBER($F781)),"Missing or invalid start date",IF(AND(ISNUMBER($G781),$G781&lt;$F781),"End date before start",IF(AND($N781=1,$AA781=0),"Outside planning year","OK"))))))))</f>
        <v>0</v>
      </c>
      <c r="N781">
        <f>IF(AND($B781&lt;&gt;"",$C781&lt;&gt;"",$D781&lt;&gt;"",ISNUMBER($F781),COUNTIF(PracticeNames,$C781)&gt;0,COUNTIF(MotionNames,$D781)&gt;0,NOT(AND(ISNUMBER($G781),$G781&lt;$F781))),IF(StatusFilter="All (excl. Cancelled)",IF($H781="Cancelled",0,1),IF(StatusFilter="All",1,IF($H781=StatusFilter,1,0))),0)</f>
        <v>0</v>
      </c>
      <c r="O781">
        <f>IF($N781=0,0,IF(AND($F781&lt;=EOMONTH(DATE(PlanYear,1,1),0),IF(ISNUMBER($G781),$G781,$F781)&gt;=DATE(PlanYear,1,1)),1,0))</f>
        <v>0</v>
      </c>
      <c r="P781">
        <f>IF($N781=0,0,IF(AND($F781&lt;=EOMONTH(DATE(PlanYear,2,1),0),IF(ISNUMBER($G781),$G781,$F781)&gt;=DATE(PlanYear,2,1)),1,0))</f>
        <v>0</v>
      </c>
      <c r="Q781">
        <f>IF($N781=0,0,IF(AND($F781&lt;=EOMONTH(DATE(PlanYear,3,1),0),IF(ISNUMBER($G781),$G781,$F781)&gt;=DATE(PlanYear,3,1)),1,0))</f>
        <v>0</v>
      </c>
      <c r="R781">
        <f>IF($N781=0,0,IF(AND($F781&lt;=EOMONTH(DATE(PlanYear,4,1),0),IF(ISNUMBER($G781),$G781,$F781)&gt;=DATE(PlanYear,4,1)),1,0))</f>
        <v>0</v>
      </c>
      <c r="S781">
        <f>IF($N781=0,0,IF(AND($F781&lt;=EOMONTH(DATE(PlanYear,5,1),0),IF(ISNUMBER($G781),$G781,$F781)&gt;=DATE(PlanYear,5,1)),1,0))</f>
        <v>0</v>
      </c>
      <c r="T781">
        <f>IF($N781=0,0,IF(AND($F781&lt;=EOMONTH(DATE(PlanYear,6,1),0),IF(ISNUMBER($G781),$G781,$F781)&gt;=DATE(PlanYear,6,1)),1,0))</f>
        <v>0</v>
      </c>
      <c r="U781">
        <f>IF($N781=0,0,IF(AND($F781&lt;=EOMONTH(DATE(PlanYear,7,1),0),IF(ISNUMBER($G781),$G781,$F781)&gt;=DATE(PlanYear,7,1)),1,0))</f>
        <v>0</v>
      </c>
      <c r="V781">
        <f>IF($N781=0,0,IF(AND($F781&lt;=EOMONTH(DATE(PlanYear,8,1),0),IF(ISNUMBER($G781),$G781,$F781)&gt;=DATE(PlanYear,8,1)),1,0))</f>
        <v>0</v>
      </c>
      <c r="W781">
        <f>IF($N781=0,0,IF(AND($F781&lt;=EOMONTH(DATE(PlanYear,9,1),0),IF(ISNUMBER($G781),$G781,$F781)&gt;=DATE(PlanYear,9,1)),1,0))</f>
        <v>0</v>
      </c>
      <c r="X781">
        <f>IF($N781=0,0,IF(AND($F781&lt;=EOMONTH(DATE(PlanYear,10,1),0),IF(ISNUMBER($G781),$G781,$F781)&gt;=DATE(PlanYear,10,1)),1,0))</f>
        <v>0</v>
      </c>
      <c r="Y781">
        <f>IF($N781=0,0,IF(AND($F781&lt;=EOMONTH(DATE(PlanYear,11,1),0),IF(ISNUMBER($G781),$G781,$F781)&gt;=DATE(PlanYear,11,1)),1,0))</f>
        <v>0</v>
      </c>
      <c r="Z781">
        <f>IF($N781=0,0,IF(AND($F781&lt;=EOMONTH(DATE(PlanYear,12,1),0),IF(ISNUMBER($G781),$G781,$F781)&gt;=DATE(PlanYear,12,1)),1,0))</f>
        <v>0</v>
      </c>
      <c r="AA781">
        <f>SUM($O781:$Z781)</f>
        <v>0</v>
      </c>
    </row>
    <row r="782" spans="1:27">
      <c r="A782" s="42">
        <f>IF($B782="","","ACT-"&amp;TEXT(ROW()-4,"000"))</f>
        <v>0</v>
      </c>
      <c r="M782" s="43">
        <f>IF(COUNTA($B782:$K782)=0,"",IF($B782="","Missing activity name",IF($C782="","Missing practice",IF(COUNTIF(PracticeNames,$C782)=0,"Practice not in Lists",IF($D782="","Missing motion",IF(NOT(ISNUMBER($F782)),"Missing or invalid start date",IF(AND(ISNUMBER($G782),$G782&lt;$F782),"End date before start",IF(AND($N782=1,$AA782=0),"Outside planning year","OK"))))))))</f>
        <v>0</v>
      </c>
      <c r="N782">
        <f>IF(AND($B782&lt;&gt;"",$C782&lt;&gt;"",$D782&lt;&gt;"",ISNUMBER($F782),COUNTIF(PracticeNames,$C782)&gt;0,COUNTIF(MotionNames,$D782)&gt;0,NOT(AND(ISNUMBER($G782),$G782&lt;$F782))),IF(StatusFilter="All (excl. Cancelled)",IF($H782="Cancelled",0,1),IF(StatusFilter="All",1,IF($H782=StatusFilter,1,0))),0)</f>
        <v>0</v>
      </c>
      <c r="O782">
        <f>IF($N782=0,0,IF(AND($F782&lt;=EOMONTH(DATE(PlanYear,1,1),0),IF(ISNUMBER($G782),$G782,$F782)&gt;=DATE(PlanYear,1,1)),1,0))</f>
        <v>0</v>
      </c>
      <c r="P782">
        <f>IF($N782=0,0,IF(AND($F782&lt;=EOMONTH(DATE(PlanYear,2,1),0),IF(ISNUMBER($G782),$G782,$F782)&gt;=DATE(PlanYear,2,1)),1,0))</f>
        <v>0</v>
      </c>
      <c r="Q782">
        <f>IF($N782=0,0,IF(AND($F782&lt;=EOMONTH(DATE(PlanYear,3,1),0),IF(ISNUMBER($G782),$G782,$F782)&gt;=DATE(PlanYear,3,1)),1,0))</f>
        <v>0</v>
      </c>
      <c r="R782">
        <f>IF($N782=0,0,IF(AND($F782&lt;=EOMONTH(DATE(PlanYear,4,1),0),IF(ISNUMBER($G782),$G782,$F782)&gt;=DATE(PlanYear,4,1)),1,0))</f>
        <v>0</v>
      </c>
      <c r="S782">
        <f>IF($N782=0,0,IF(AND($F782&lt;=EOMONTH(DATE(PlanYear,5,1),0),IF(ISNUMBER($G782),$G782,$F782)&gt;=DATE(PlanYear,5,1)),1,0))</f>
        <v>0</v>
      </c>
      <c r="T782">
        <f>IF($N782=0,0,IF(AND($F782&lt;=EOMONTH(DATE(PlanYear,6,1),0),IF(ISNUMBER($G782),$G782,$F782)&gt;=DATE(PlanYear,6,1)),1,0))</f>
        <v>0</v>
      </c>
      <c r="U782">
        <f>IF($N782=0,0,IF(AND($F782&lt;=EOMONTH(DATE(PlanYear,7,1),0),IF(ISNUMBER($G782),$G782,$F782)&gt;=DATE(PlanYear,7,1)),1,0))</f>
        <v>0</v>
      </c>
      <c r="V782">
        <f>IF($N782=0,0,IF(AND($F782&lt;=EOMONTH(DATE(PlanYear,8,1),0),IF(ISNUMBER($G782),$G782,$F782)&gt;=DATE(PlanYear,8,1)),1,0))</f>
        <v>0</v>
      </c>
      <c r="W782">
        <f>IF($N782=0,0,IF(AND($F782&lt;=EOMONTH(DATE(PlanYear,9,1),0),IF(ISNUMBER($G782),$G782,$F782)&gt;=DATE(PlanYear,9,1)),1,0))</f>
        <v>0</v>
      </c>
      <c r="X782">
        <f>IF($N782=0,0,IF(AND($F782&lt;=EOMONTH(DATE(PlanYear,10,1),0),IF(ISNUMBER($G782),$G782,$F782)&gt;=DATE(PlanYear,10,1)),1,0))</f>
        <v>0</v>
      </c>
      <c r="Y782">
        <f>IF($N782=0,0,IF(AND($F782&lt;=EOMONTH(DATE(PlanYear,11,1),0),IF(ISNUMBER($G782),$G782,$F782)&gt;=DATE(PlanYear,11,1)),1,0))</f>
        <v>0</v>
      </c>
      <c r="Z782">
        <f>IF($N782=0,0,IF(AND($F782&lt;=EOMONTH(DATE(PlanYear,12,1),0),IF(ISNUMBER($G782),$G782,$F782)&gt;=DATE(PlanYear,12,1)),1,0))</f>
        <v>0</v>
      </c>
      <c r="AA782">
        <f>SUM($O782:$Z782)</f>
        <v>0</v>
      </c>
    </row>
    <row r="783" spans="1:27">
      <c r="A783" s="42">
        <f>IF($B783="","","ACT-"&amp;TEXT(ROW()-4,"000"))</f>
        <v>0</v>
      </c>
      <c r="M783" s="43">
        <f>IF(COUNTA($B783:$K783)=0,"",IF($B783="","Missing activity name",IF($C783="","Missing practice",IF(COUNTIF(PracticeNames,$C783)=0,"Practice not in Lists",IF($D783="","Missing motion",IF(NOT(ISNUMBER($F783)),"Missing or invalid start date",IF(AND(ISNUMBER($G783),$G783&lt;$F783),"End date before start",IF(AND($N783=1,$AA783=0),"Outside planning year","OK"))))))))</f>
        <v>0</v>
      </c>
      <c r="N783">
        <f>IF(AND($B783&lt;&gt;"",$C783&lt;&gt;"",$D783&lt;&gt;"",ISNUMBER($F783),COUNTIF(PracticeNames,$C783)&gt;0,COUNTIF(MotionNames,$D783)&gt;0,NOT(AND(ISNUMBER($G783),$G783&lt;$F783))),IF(StatusFilter="All (excl. Cancelled)",IF($H783="Cancelled",0,1),IF(StatusFilter="All",1,IF($H783=StatusFilter,1,0))),0)</f>
        <v>0</v>
      </c>
      <c r="O783">
        <f>IF($N783=0,0,IF(AND($F783&lt;=EOMONTH(DATE(PlanYear,1,1),0),IF(ISNUMBER($G783),$G783,$F783)&gt;=DATE(PlanYear,1,1)),1,0))</f>
        <v>0</v>
      </c>
      <c r="P783">
        <f>IF($N783=0,0,IF(AND($F783&lt;=EOMONTH(DATE(PlanYear,2,1),0),IF(ISNUMBER($G783),$G783,$F783)&gt;=DATE(PlanYear,2,1)),1,0))</f>
        <v>0</v>
      </c>
      <c r="Q783">
        <f>IF($N783=0,0,IF(AND($F783&lt;=EOMONTH(DATE(PlanYear,3,1),0),IF(ISNUMBER($G783),$G783,$F783)&gt;=DATE(PlanYear,3,1)),1,0))</f>
        <v>0</v>
      </c>
      <c r="R783">
        <f>IF($N783=0,0,IF(AND($F783&lt;=EOMONTH(DATE(PlanYear,4,1),0),IF(ISNUMBER($G783),$G783,$F783)&gt;=DATE(PlanYear,4,1)),1,0))</f>
        <v>0</v>
      </c>
      <c r="S783">
        <f>IF($N783=0,0,IF(AND($F783&lt;=EOMONTH(DATE(PlanYear,5,1),0),IF(ISNUMBER($G783),$G783,$F783)&gt;=DATE(PlanYear,5,1)),1,0))</f>
        <v>0</v>
      </c>
      <c r="T783">
        <f>IF($N783=0,0,IF(AND($F783&lt;=EOMONTH(DATE(PlanYear,6,1),0),IF(ISNUMBER($G783),$G783,$F783)&gt;=DATE(PlanYear,6,1)),1,0))</f>
        <v>0</v>
      </c>
      <c r="U783">
        <f>IF($N783=0,0,IF(AND($F783&lt;=EOMONTH(DATE(PlanYear,7,1),0),IF(ISNUMBER($G783),$G783,$F783)&gt;=DATE(PlanYear,7,1)),1,0))</f>
        <v>0</v>
      </c>
      <c r="V783">
        <f>IF($N783=0,0,IF(AND($F783&lt;=EOMONTH(DATE(PlanYear,8,1),0),IF(ISNUMBER($G783),$G783,$F783)&gt;=DATE(PlanYear,8,1)),1,0))</f>
        <v>0</v>
      </c>
      <c r="W783">
        <f>IF($N783=0,0,IF(AND($F783&lt;=EOMONTH(DATE(PlanYear,9,1),0),IF(ISNUMBER($G783),$G783,$F783)&gt;=DATE(PlanYear,9,1)),1,0))</f>
        <v>0</v>
      </c>
      <c r="X783">
        <f>IF($N783=0,0,IF(AND($F783&lt;=EOMONTH(DATE(PlanYear,10,1),0),IF(ISNUMBER($G783),$G783,$F783)&gt;=DATE(PlanYear,10,1)),1,0))</f>
        <v>0</v>
      </c>
      <c r="Y783">
        <f>IF($N783=0,0,IF(AND($F783&lt;=EOMONTH(DATE(PlanYear,11,1),0),IF(ISNUMBER($G783),$G783,$F783)&gt;=DATE(PlanYear,11,1)),1,0))</f>
        <v>0</v>
      </c>
      <c r="Z783">
        <f>IF($N783=0,0,IF(AND($F783&lt;=EOMONTH(DATE(PlanYear,12,1),0),IF(ISNUMBER($G783),$G783,$F783)&gt;=DATE(PlanYear,12,1)),1,0))</f>
        <v>0</v>
      </c>
      <c r="AA783">
        <f>SUM($O783:$Z783)</f>
        <v>0</v>
      </c>
    </row>
    <row r="784" spans="1:27">
      <c r="A784" s="42">
        <f>IF($B784="","","ACT-"&amp;TEXT(ROW()-4,"000"))</f>
        <v>0</v>
      </c>
      <c r="M784" s="43">
        <f>IF(COUNTA($B784:$K784)=0,"",IF($B784="","Missing activity name",IF($C784="","Missing practice",IF(COUNTIF(PracticeNames,$C784)=0,"Practice not in Lists",IF($D784="","Missing motion",IF(NOT(ISNUMBER($F784)),"Missing or invalid start date",IF(AND(ISNUMBER($G784),$G784&lt;$F784),"End date before start",IF(AND($N784=1,$AA784=0),"Outside planning year","OK"))))))))</f>
        <v>0</v>
      </c>
      <c r="N784">
        <f>IF(AND($B784&lt;&gt;"",$C784&lt;&gt;"",$D784&lt;&gt;"",ISNUMBER($F784),COUNTIF(PracticeNames,$C784)&gt;0,COUNTIF(MotionNames,$D784)&gt;0,NOT(AND(ISNUMBER($G784),$G784&lt;$F784))),IF(StatusFilter="All (excl. Cancelled)",IF($H784="Cancelled",0,1),IF(StatusFilter="All",1,IF($H784=StatusFilter,1,0))),0)</f>
        <v>0</v>
      </c>
      <c r="O784">
        <f>IF($N784=0,0,IF(AND($F784&lt;=EOMONTH(DATE(PlanYear,1,1),0),IF(ISNUMBER($G784),$G784,$F784)&gt;=DATE(PlanYear,1,1)),1,0))</f>
        <v>0</v>
      </c>
      <c r="P784">
        <f>IF($N784=0,0,IF(AND($F784&lt;=EOMONTH(DATE(PlanYear,2,1),0),IF(ISNUMBER($G784),$G784,$F784)&gt;=DATE(PlanYear,2,1)),1,0))</f>
        <v>0</v>
      </c>
      <c r="Q784">
        <f>IF($N784=0,0,IF(AND($F784&lt;=EOMONTH(DATE(PlanYear,3,1),0),IF(ISNUMBER($G784),$G784,$F784)&gt;=DATE(PlanYear,3,1)),1,0))</f>
        <v>0</v>
      </c>
      <c r="R784">
        <f>IF($N784=0,0,IF(AND($F784&lt;=EOMONTH(DATE(PlanYear,4,1),0),IF(ISNUMBER($G784),$G784,$F784)&gt;=DATE(PlanYear,4,1)),1,0))</f>
        <v>0</v>
      </c>
      <c r="S784">
        <f>IF($N784=0,0,IF(AND($F784&lt;=EOMONTH(DATE(PlanYear,5,1),0),IF(ISNUMBER($G784),$G784,$F784)&gt;=DATE(PlanYear,5,1)),1,0))</f>
        <v>0</v>
      </c>
      <c r="T784">
        <f>IF($N784=0,0,IF(AND($F784&lt;=EOMONTH(DATE(PlanYear,6,1),0),IF(ISNUMBER($G784),$G784,$F784)&gt;=DATE(PlanYear,6,1)),1,0))</f>
        <v>0</v>
      </c>
      <c r="U784">
        <f>IF($N784=0,0,IF(AND($F784&lt;=EOMONTH(DATE(PlanYear,7,1),0),IF(ISNUMBER($G784),$G784,$F784)&gt;=DATE(PlanYear,7,1)),1,0))</f>
        <v>0</v>
      </c>
      <c r="V784">
        <f>IF($N784=0,0,IF(AND($F784&lt;=EOMONTH(DATE(PlanYear,8,1),0),IF(ISNUMBER($G784),$G784,$F784)&gt;=DATE(PlanYear,8,1)),1,0))</f>
        <v>0</v>
      </c>
      <c r="W784">
        <f>IF($N784=0,0,IF(AND($F784&lt;=EOMONTH(DATE(PlanYear,9,1),0),IF(ISNUMBER($G784),$G784,$F784)&gt;=DATE(PlanYear,9,1)),1,0))</f>
        <v>0</v>
      </c>
      <c r="X784">
        <f>IF($N784=0,0,IF(AND($F784&lt;=EOMONTH(DATE(PlanYear,10,1),0),IF(ISNUMBER($G784),$G784,$F784)&gt;=DATE(PlanYear,10,1)),1,0))</f>
        <v>0</v>
      </c>
      <c r="Y784">
        <f>IF($N784=0,0,IF(AND($F784&lt;=EOMONTH(DATE(PlanYear,11,1),0),IF(ISNUMBER($G784),$G784,$F784)&gt;=DATE(PlanYear,11,1)),1,0))</f>
        <v>0</v>
      </c>
      <c r="Z784">
        <f>IF($N784=0,0,IF(AND($F784&lt;=EOMONTH(DATE(PlanYear,12,1),0),IF(ISNUMBER($G784),$G784,$F784)&gt;=DATE(PlanYear,12,1)),1,0))</f>
        <v>0</v>
      </c>
      <c r="AA784">
        <f>SUM($O784:$Z784)</f>
        <v>0</v>
      </c>
    </row>
    <row r="785" spans="1:27">
      <c r="A785" s="42">
        <f>IF($B785="","","ACT-"&amp;TEXT(ROW()-4,"000"))</f>
        <v>0</v>
      </c>
      <c r="M785" s="43">
        <f>IF(COUNTA($B785:$K785)=0,"",IF($B785="","Missing activity name",IF($C785="","Missing practice",IF(COUNTIF(PracticeNames,$C785)=0,"Practice not in Lists",IF($D785="","Missing motion",IF(NOT(ISNUMBER($F785)),"Missing or invalid start date",IF(AND(ISNUMBER($G785),$G785&lt;$F785),"End date before start",IF(AND($N785=1,$AA785=0),"Outside planning year","OK"))))))))</f>
        <v>0</v>
      </c>
      <c r="N785">
        <f>IF(AND($B785&lt;&gt;"",$C785&lt;&gt;"",$D785&lt;&gt;"",ISNUMBER($F785),COUNTIF(PracticeNames,$C785)&gt;0,COUNTIF(MotionNames,$D785)&gt;0,NOT(AND(ISNUMBER($G785),$G785&lt;$F785))),IF(StatusFilter="All (excl. Cancelled)",IF($H785="Cancelled",0,1),IF(StatusFilter="All",1,IF($H785=StatusFilter,1,0))),0)</f>
        <v>0</v>
      </c>
      <c r="O785">
        <f>IF($N785=0,0,IF(AND($F785&lt;=EOMONTH(DATE(PlanYear,1,1),0),IF(ISNUMBER($G785),$G785,$F785)&gt;=DATE(PlanYear,1,1)),1,0))</f>
        <v>0</v>
      </c>
      <c r="P785">
        <f>IF($N785=0,0,IF(AND($F785&lt;=EOMONTH(DATE(PlanYear,2,1),0),IF(ISNUMBER($G785),$G785,$F785)&gt;=DATE(PlanYear,2,1)),1,0))</f>
        <v>0</v>
      </c>
      <c r="Q785">
        <f>IF($N785=0,0,IF(AND($F785&lt;=EOMONTH(DATE(PlanYear,3,1),0),IF(ISNUMBER($G785),$G785,$F785)&gt;=DATE(PlanYear,3,1)),1,0))</f>
        <v>0</v>
      </c>
      <c r="R785">
        <f>IF($N785=0,0,IF(AND($F785&lt;=EOMONTH(DATE(PlanYear,4,1),0),IF(ISNUMBER($G785),$G785,$F785)&gt;=DATE(PlanYear,4,1)),1,0))</f>
        <v>0</v>
      </c>
      <c r="S785">
        <f>IF($N785=0,0,IF(AND($F785&lt;=EOMONTH(DATE(PlanYear,5,1),0),IF(ISNUMBER($G785),$G785,$F785)&gt;=DATE(PlanYear,5,1)),1,0))</f>
        <v>0</v>
      </c>
      <c r="T785">
        <f>IF($N785=0,0,IF(AND($F785&lt;=EOMONTH(DATE(PlanYear,6,1),0),IF(ISNUMBER($G785),$G785,$F785)&gt;=DATE(PlanYear,6,1)),1,0))</f>
        <v>0</v>
      </c>
      <c r="U785">
        <f>IF($N785=0,0,IF(AND($F785&lt;=EOMONTH(DATE(PlanYear,7,1),0),IF(ISNUMBER($G785),$G785,$F785)&gt;=DATE(PlanYear,7,1)),1,0))</f>
        <v>0</v>
      </c>
      <c r="V785">
        <f>IF($N785=0,0,IF(AND($F785&lt;=EOMONTH(DATE(PlanYear,8,1),0),IF(ISNUMBER($G785),$G785,$F785)&gt;=DATE(PlanYear,8,1)),1,0))</f>
        <v>0</v>
      </c>
      <c r="W785">
        <f>IF($N785=0,0,IF(AND($F785&lt;=EOMONTH(DATE(PlanYear,9,1),0),IF(ISNUMBER($G785),$G785,$F785)&gt;=DATE(PlanYear,9,1)),1,0))</f>
        <v>0</v>
      </c>
      <c r="X785">
        <f>IF($N785=0,0,IF(AND($F785&lt;=EOMONTH(DATE(PlanYear,10,1),0),IF(ISNUMBER($G785),$G785,$F785)&gt;=DATE(PlanYear,10,1)),1,0))</f>
        <v>0</v>
      </c>
      <c r="Y785">
        <f>IF($N785=0,0,IF(AND($F785&lt;=EOMONTH(DATE(PlanYear,11,1),0),IF(ISNUMBER($G785),$G785,$F785)&gt;=DATE(PlanYear,11,1)),1,0))</f>
        <v>0</v>
      </c>
      <c r="Z785">
        <f>IF($N785=0,0,IF(AND($F785&lt;=EOMONTH(DATE(PlanYear,12,1),0),IF(ISNUMBER($G785),$G785,$F785)&gt;=DATE(PlanYear,12,1)),1,0))</f>
        <v>0</v>
      </c>
      <c r="AA785">
        <f>SUM($O785:$Z785)</f>
        <v>0</v>
      </c>
    </row>
    <row r="786" spans="1:27">
      <c r="A786" s="42">
        <f>IF($B786="","","ACT-"&amp;TEXT(ROW()-4,"000"))</f>
        <v>0</v>
      </c>
      <c r="M786" s="43">
        <f>IF(COUNTA($B786:$K786)=0,"",IF($B786="","Missing activity name",IF($C786="","Missing practice",IF(COUNTIF(PracticeNames,$C786)=0,"Practice not in Lists",IF($D786="","Missing motion",IF(NOT(ISNUMBER($F786)),"Missing or invalid start date",IF(AND(ISNUMBER($G786),$G786&lt;$F786),"End date before start",IF(AND($N786=1,$AA786=0),"Outside planning year","OK"))))))))</f>
        <v>0</v>
      </c>
      <c r="N786">
        <f>IF(AND($B786&lt;&gt;"",$C786&lt;&gt;"",$D786&lt;&gt;"",ISNUMBER($F786),COUNTIF(PracticeNames,$C786)&gt;0,COUNTIF(MotionNames,$D786)&gt;0,NOT(AND(ISNUMBER($G786),$G786&lt;$F786))),IF(StatusFilter="All (excl. Cancelled)",IF($H786="Cancelled",0,1),IF(StatusFilter="All",1,IF($H786=StatusFilter,1,0))),0)</f>
        <v>0</v>
      </c>
      <c r="O786">
        <f>IF($N786=0,0,IF(AND($F786&lt;=EOMONTH(DATE(PlanYear,1,1),0),IF(ISNUMBER($G786),$G786,$F786)&gt;=DATE(PlanYear,1,1)),1,0))</f>
        <v>0</v>
      </c>
      <c r="P786">
        <f>IF($N786=0,0,IF(AND($F786&lt;=EOMONTH(DATE(PlanYear,2,1),0),IF(ISNUMBER($G786),$G786,$F786)&gt;=DATE(PlanYear,2,1)),1,0))</f>
        <v>0</v>
      </c>
      <c r="Q786">
        <f>IF($N786=0,0,IF(AND($F786&lt;=EOMONTH(DATE(PlanYear,3,1),0),IF(ISNUMBER($G786),$G786,$F786)&gt;=DATE(PlanYear,3,1)),1,0))</f>
        <v>0</v>
      </c>
      <c r="R786">
        <f>IF($N786=0,0,IF(AND($F786&lt;=EOMONTH(DATE(PlanYear,4,1),0),IF(ISNUMBER($G786),$G786,$F786)&gt;=DATE(PlanYear,4,1)),1,0))</f>
        <v>0</v>
      </c>
      <c r="S786">
        <f>IF($N786=0,0,IF(AND($F786&lt;=EOMONTH(DATE(PlanYear,5,1),0),IF(ISNUMBER($G786),$G786,$F786)&gt;=DATE(PlanYear,5,1)),1,0))</f>
        <v>0</v>
      </c>
      <c r="T786">
        <f>IF($N786=0,0,IF(AND($F786&lt;=EOMONTH(DATE(PlanYear,6,1),0),IF(ISNUMBER($G786),$G786,$F786)&gt;=DATE(PlanYear,6,1)),1,0))</f>
        <v>0</v>
      </c>
      <c r="U786">
        <f>IF($N786=0,0,IF(AND($F786&lt;=EOMONTH(DATE(PlanYear,7,1),0),IF(ISNUMBER($G786),$G786,$F786)&gt;=DATE(PlanYear,7,1)),1,0))</f>
        <v>0</v>
      </c>
      <c r="V786">
        <f>IF($N786=0,0,IF(AND($F786&lt;=EOMONTH(DATE(PlanYear,8,1),0),IF(ISNUMBER($G786),$G786,$F786)&gt;=DATE(PlanYear,8,1)),1,0))</f>
        <v>0</v>
      </c>
      <c r="W786">
        <f>IF($N786=0,0,IF(AND($F786&lt;=EOMONTH(DATE(PlanYear,9,1),0),IF(ISNUMBER($G786),$G786,$F786)&gt;=DATE(PlanYear,9,1)),1,0))</f>
        <v>0</v>
      </c>
      <c r="X786">
        <f>IF($N786=0,0,IF(AND($F786&lt;=EOMONTH(DATE(PlanYear,10,1),0),IF(ISNUMBER($G786),$G786,$F786)&gt;=DATE(PlanYear,10,1)),1,0))</f>
        <v>0</v>
      </c>
      <c r="Y786">
        <f>IF($N786=0,0,IF(AND($F786&lt;=EOMONTH(DATE(PlanYear,11,1),0),IF(ISNUMBER($G786),$G786,$F786)&gt;=DATE(PlanYear,11,1)),1,0))</f>
        <v>0</v>
      </c>
      <c r="Z786">
        <f>IF($N786=0,0,IF(AND($F786&lt;=EOMONTH(DATE(PlanYear,12,1),0),IF(ISNUMBER($G786),$G786,$F786)&gt;=DATE(PlanYear,12,1)),1,0))</f>
        <v>0</v>
      </c>
      <c r="AA786">
        <f>SUM($O786:$Z786)</f>
        <v>0</v>
      </c>
    </row>
    <row r="787" spans="1:27">
      <c r="A787" s="42">
        <f>IF($B787="","","ACT-"&amp;TEXT(ROW()-4,"000"))</f>
        <v>0</v>
      </c>
      <c r="M787" s="43">
        <f>IF(COUNTA($B787:$K787)=0,"",IF($B787="","Missing activity name",IF($C787="","Missing practice",IF(COUNTIF(PracticeNames,$C787)=0,"Practice not in Lists",IF($D787="","Missing motion",IF(NOT(ISNUMBER($F787)),"Missing or invalid start date",IF(AND(ISNUMBER($G787),$G787&lt;$F787),"End date before start",IF(AND($N787=1,$AA787=0),"Outside planning year","OK"))))))))</f>
        <v>0</v>
      </c>
      <c r="N787">
        <f>IF(AND($B787&lt;&gt;"",$C787&lt;&gt;"",$D787&lt;&gt;"",ISNUMBER($F787),COUNTIF(PracticeNames,$C787)&gt;0,COUNTIF(MotionNames,$D787)&gt;0,NOT(AND(ISNUMBER($G787),$G787&lt;$F787))),IF(StatusFilter="All (excl. Cancelled)",IF($H787="Cancelled",0,1),IF(StatusFilter="All",1,IF($H787=StatusFilter,1,0))),0)</f>
        <v>0</v>
      </c>
      <c r="O787">
        <f>IF($N787=0,0,IF(AND($F787&lt;=EOMONTH(DATE(PlanYear,1,1),0),IF(ISNUMBER($G787),$G787,$F787)&gt;=DATE(PlanYear,1,1)),1,0))</f>
        <v>0</v>
      </c>
      <c r="P787">
        <f>IF($N787=0,0,IF(AND($F787&lt;=EOMONTH(DATE(PlanYear,2,1),0),IF(ISNUMBER($G787),$G787,$F787)&gt;=DATE(PlanYear,2,1)),1,0))</f>
        <v>0</v>
      </c>
      <c r="Q787">
        <f>IF($N787=0,0,IF(AND($F787&lt;=EOMONTH(DATE(PlanYear,3,1),0),IF(ISNUMBER($G787),$G787,$F787)&gt;=DATE(PlanYear,3,1)),1,0))</f>
        <v>0</v>
      </c>
      <c r="R787">
        <f>IF($N787=0,0,IF(AND($F787&lt;=EOMONTH(DATE(PlanYear,4,1),0),IF(ISNUMBER($G787),$G787,$F787)&gt;=DATE(PlanYear,4,1)),1,0))</f>
        <v>0</v>
      </c>
      <c r="S787">
        <f>IF($N787=0,0,IF(AND($F787&lt;=EOMONTH(DATE(PlanYear,5,1),0),IF(ISNUMBER($G787),$G787,$F787)&gt;=DATE(PlanYear,5,1)),1,0))</f>
        <v>0</v>
      </c>
      <c r="T787">
        <f>IF($N787=0,0,IF(AND($F787&lt;=EOMONTH(DATE(PlanYear,6,1),0),IF(ISNUMBER($G787),$G787,$F787)&gt;=DATE(PlanYear,6,1)),1,0))</f>
        <v>0</v>
      </c>
      <c r="U787">
        <f>IF($N787=0,0,IF(AND($F787&lt;=EOMONTH(DATE(PlanYear,7,1),0),IF(ISNUMBER($G787),$G787,$F787)&gt;=DATE(PlanYear,7,1)),1,0))</f>
        <v>0</v>
      </c>
      <c r="V787">
        <f>IF($N787=0,0,IF(AND($F787&lt;=EOMONTH(DATE(PlanYear,8,1),0),IF(ISNUMBER($G787),$G787,$F787)&gt;=DATE(PlanYear,8,1)),1,0))</f>
        <v>0</v>
      </c>
      <c r="W787">
        <f>IF($N787=0,0,IF(AND($F787&lt;=EOMONTH(DATE(PlanYear,9,1),0),IF(ISNUMBER($G787),$G787,$F787)&gt;=DATE(PlanYear,9,1)),1,0))</f>
        <v>0</v>
      </c>
      <c r="X787">
        <f>IF($N787=0,0,IF(AND($F787&lt;=EOMONTH(DATE(PlanYear,10,1),0),IF(ISNUMBER($G787),$G787,$F787)&gt;=DATE(PlanYear,10,1)),1,0))</f>
        <v>0</v>
      </c>
      <c r="Y787">
        <f>IF($N787=0,0,IF(AND($F787&lt;=EOMONTH(DATE(PlanYear,11,1),0),IF(ISNUMBER($G787),$G787,$F787)&gt;=DATE(PlanYear,11,1)),1,0))</f>
        <v>0</v>
      </c>
      <c r="Z787">
        <f>IF($N787=0,0,IF(AND($F787&lt;=EOMONTH(DATE(PlanYear,12,1),0),IF(ISNUMBER($G787),$G787,$F787)&gt;=DATE(PlanYear,12,1)),1,0))</f>
        <v>0</v>
      </c>
      <c r="AA787">
        <f>SUM($O787:$Z787)</f>
        <v>0</v>
      </c>
    </row>
    <row r="788" spans="1:27">
      <c r="A788" s="42">
        <f>IF($B788="","","ACT-"&amp;TEXT(ROW()-4,"000"))</f>
        <v>0</v>
      </c>
      <c r="M788" s="43">
        <f>IF(COUNTA($B788:$K788)=0,"",IF($B788="","Missing activity name",IF($C788="","Missing practice",IF(COUNTIF(PracticeNames,$C788)=0,"Practice not in Lists",IF($D788="","Missing motion",IF(NOT(ISNUMBER($F788)),"Missing or invalid start date",IF(AND(ISNUMBER($G788),$G788&lt;$F788),"End date before start",IF(AND($N788=1,$AA788=0),"Outside planning year","OK"))))))))</f>
        <v>0</v>
      </c>
      <c r="N788">
        <f>IF(AND($B788&lt;&gt;"",$C788&lt;&gt;"",$D788&lt;&gt;"",ISNUMBER($F788),COUNTIF(PracticeNames,$C788)&gt;0,COUNTIF(MotionNames,$D788)&gt;0,NOT(AND(ISNUMBER($G788),$G788&lt;$F788))),IF(StatusFilter="All (excl. Cancelled)",IF($H788="Cancelled",0,1),IF(StatusFilter="All",1,IF($H788=StatusFilter,1,0))),0)</f>
        <v>0</v>
      </c>
      <c r="O788">
        <f>IF($N788=0,0,IF(AND($F788&lt;=EOMONTH(DATE(PlanYear,1,1),0),IF(ISNUMBER($G788),$G788,$F788)&gt;=DATE(PlanYear,1,1)),1,0))</f>
        <v>0</v>
      </c>
      <c r="P788">
        <f>IF($N788=0,0,IF(AND($F788&lt;=EOMONTH(DATE(PlanYear,2,1),0),IF(ISNUMBER($G788),$G788,$F788)&gt;=DATE(PlanYear,2,1)),1,0))</f>
        <v>0</v>
      </c>
      <c r="Q788">
        <f>IF($N788=0,0,IF(AND($F788&lt;=EOMONTH(DATE(PlanYear,3,1),0),IF(ISNUMBER($G788),$G788,$F788)&gt;=DATE(PlanYear,3,1)),1,0))</f>
        <v>0</v>
      </c>
      <c r="R788">
        <f>IF($N788=0,0,IF(AND($F788&lt;=EOMONTH(DATE(PlanYear,4,1),0),IF(ISNUMBER($G788),$G788,$F788)&gt;=DATE(PlanYear,4,1)),1,0))</f>
        <v>0</v>
      </c>
      <c r="S788">
        <f>IF($N788=0,0,IF(AND($F788&lt;=EOMONTH(DATE(PlanYear,5,1),0),IF(ISNUMBER($G788),$G788,$F788)&gt;=DATE(PlanYear,5,1)),1,0))</f>
        <v>0</v>
      </c>
      <c r="T788">
        <f>IF($N788=0,0,IF(AND($F788&lt;=EOMONTH(DATE(PlanYear,6,1),0),IF(ISNUMBER($G788),$G788,$F788)&gt;=DATE(PlanYear,6,1)),1,0))</f>
        <v>0</v>
      </c>
      <c r="U788">
        <f>IF($N788=0,0,IF(AND($F788&lt;=EOMONTH(DATE(PlanYear,7,1),0),IF(ISNUMBER($G788),$G788,$F788)&gt;=DATE(PlanYear,7,1)),1,0))</f>
        <v>0</v>
      </c>
      <c r="V788">
        <f>IF($N788=0,0,IF(AND($F788&lt;=EOMONTH(DATE(PlanYear,8,1),0),IF(ISNUMBER($G788),$G788,$F788)&gt;=DATE(PlanYear,8,1)),1,0))</f>
        <v>0</v>
      </c>
      <c r="W788">
        <f>IF($N788=0,0,IF(AND($F788&lt;=EOMONTH(DATE(PlanYear,9,1),0),IF(ISNUMBER($G788),$G788,$F788)&gt;=DATE(PlanYear,9,1)),1,0))</f>
        <v>0</v>
      </c>
      <c r="X788">
        <f>IF($N788=0,0,IF(AND($F788&lt;=EOMONTH(DATE(PlanYear,10,1),0),IF(ISNUMBER($G788),$G788,$F788)&gt;=DATE(PlanYear,10,1)),1,0))</f>
        <v>0</v>
      </c>
      <c r="Y788">
        <f>IF($N788=0,0,IF(AND($F788&lt;=EOMONTH(DATE(PlanYear,11,1),0),IF(ISNUMBER($G788),$G788,$F788)&gt;=DATE(PlanYear,11,1)),1,0))</f>
        <v>0</v>
      </c>
      <c r="Z788">
        <f>IF($N788=0,0,IF(AND($F788&lt;=EOMONTH(DATE(PlanYear,12,1),0),IF(ISNUMBER($G788),$G788,$F788)&gt;=DATE(PlanYear,12,1)),1,0))</f>
        <v>0</v>
      </c>
      <c r="AA788">
        <f>SUM($O788:$Z788)</f>
        <v>0</v>
      </c>
    </row>
    <row r="789" spans="1:27">
      <c r="A789" s="42">
        <f>IF($B789="","","ACT-"&amp;TEXT(ROW()-4,"000"))</f>
        <v>0</v>
      </c>
      <c r="M789" s="43">
        <f>IF(COUNTA($B789:$K789)=0,"",IF($B789="","Missing activity name",IF($C789="","Missing practice",IF(COUNTIF(PracticeNames,$C789)=0,"Practice not in Lists",IF($D789="","Missing motion",IF(NOT(ISNUMBER($F789)),"Missing or invalid start date",IF(AND(ISNUMBER($G789),$G789&lt;$F789),"End date before start",IF(AND($N789=1,$AA789=0),"Outside planning year","OK"))))))))</f>
        <v>0</v>
      </c>
      <c r="N789">
        <f>IF(AND($B789&lt;&gt;"",$C789&lt;&gt;"",$D789&lt;&gt;"",ISNUMBER($F789),COUNTIF(PracticeNames,$C789)&gt;0,COUNTIF(MotionNames,$D789)&gt;0,NOT(AND(ISNUMBER($G789),$G789&lt;$F789))),IF(StatusFilter="All (excl. Cancelled)",IF($H789="Cancelled",0,1),IF(StatusFilter="All",1,IF($H789=StatusFilter,1,0))),0)</f>
        <v>0</v>
      </c>
      <c r="O789">
        <f>IF($N789=0,0,IF(AND($F789&lt;=EOMONTH(DATE(PlanYear,1,1),0),IF(ISNUMBER($G789),$G789,$F789)&gt;=DATE(PlanYear,1,1)),1,0))</f>
        <v>0</v>
      </c>
      <c r="P789">
        <f>IF($N789=0,0,IF(AND($F789&lt;=EOMONTH(DATE(PlanYear,2,1),0),IF(ISNUMBER($G789),$G789,$F789)&gt;=DATE(PlanYear,2,1)),1,0))</f>
        <v>0</v>
      </c>
      <c r="Q789">
        <f>IF($N789=0,0,IF(AND($F789&lt;=EOMONTH(DATE(PlanYear,3,1),0),IF(ISNUMBER($G789),$G789,$F789)&gt;=DATE(PlanYear,3,1)),1,0))</f>
        <v>0</v>
      </c>
      <c r="R789">
        <f>IF($N789=0,0,IF(AND($F789&lt;=EOMONTH(DATE(PlanYear,4,1),0),IF(ISNUMBER($G789),$G789,$F789)&gt;=DATE(PlanYear,4,1)),1,0))</f>
        <v>0</v>
      </c>
      <c r="S789">
        <f>IF($N789=0,0,IF(AND($F789&lt;=EOMONTH(DATE(PlanYear,5,1),0),IF(ISNUMBER($G789),$G789,$F789)&gt;=DATE(PlanYear,5,1)),1,0))</f>
        <v>0</v>
      </c>
      <c r="T789">
        <f>IF($N789=0,0,IF(AND($F789&lt;=EOMONTH(DATE(PlanYear,6,1),0),IF(ISNUMBER($G789),$G789,$F789)&gt;=DATE(PlanYear,6,1)),1,0))</f>
        <v>0</v>
      </c>
      <c r="U789">
        <f>IF($N789=0,0,IF(AND($F789&lt;=EOMONTH(DATE(PlanYear,7,1),0),IF(ISNUMBER($G789),$G789,$F789)&gt;=DATE(PlanYear,7,1)),1,0))</f>
        <v>0</v>
      </c>
      <c r="V789">
        <f>IF($N789=0,0,IF(AND($F789&lt;=EOMONTH(DATE(PlanYear,8,1),0),IF(ISNUMBER($G789),$G789,$F789)&gt;=DATE(PlanYear,8,1)),1,0))</f>
        <v>0</v>
      </c>
      <c r="W789">
        <f>IF($N789=0,0,IF(AND($F789&lt;=EOMONTH(DATE(PlanYear,9,1),0),IF(ISNUMBER($G789),$G789,$F789)&gt;=DATE(PlanYear,9,1)),1,0))</f>
        <v>0</v>
      </c>
      <c r="X789">
        <f>IF($N789=0,0,IF(AND($F789&lt;=EOMONTH(DATE(PlanYear,10,1),0),IF(ISNUMBER($G789),$G789,$F789)&gt;=DATE(PlanYear,10,1)),1,0))</f>
        <v>0</v>
      </c>
      <c r="Y789">
        <f>IF($N789=0,0,IF(AND($F789&lt;=EOMONTH(DATE(PlanYear,11,1),0),IF(ISNUMBER($G789),$G789,$F789)&gt;=DATE(PlanYear,11,1)),1,0))</f>
        <v>0</v>
      </c>
      <c r="Z789">
        <f>IF($N789=0,0,IF(AND($F789&lt;=EOMONTH(DATE(PlanYear,12,1),0),IF(ISNUMBER($G789),$G789,$F789)&gt;=DATE(PlanYear,12,1)),1,0))</f>
        <v>0</v>
      </c>
      <c r="AA789">
        <f>SUM($O789:$Z789)</f>
        <v>0</v>
      </c>
    </row>
    <row r="790" spans="1:27">
      <c r="A790" s="42">
        <f>IF($B790="","","ACT-"&amp;TEXT(ROW()-4,"000"))</f>
        <v>0</v>
      </c>
      <c r="M790" s="43">
        <f>IF(COUNTA($B790:$K790)=0,"",IF($B790="","Missing activity name",IF($C790="","Missing practice",IF(COUNTIF(PracticeNames,$C790)=0,"Practice not in Lists",IF($D790="","Missing motion",IF(NOT(ISNUMBER($F790)),"Missing or invalid start date",IF(AND(ISNUMBER($G790),$G790&lt;$F790),"End date before start",IF(AND($N790=1,$AA790=0),"Outside planning year","OK"))))))))</f>
        <v>0</v>
      </c>
      <c r="N790">
        <f>IF(AND($B790&lt;&gt;"",$C790&lt;&gt;"",$D790&lt;&gt;"",ISNUMBER($F790),COUNTIF(PracticeNames,$C790)&gt;0,COUNTIF(MotionNames,$D790)&gt;0,NOT(AND(ISNUMBER($G790),$G790&lt;$F790))),IF(StatusFilter="All (excl. Cancelled)",IF($H790="Cancelled",0,1),IF(StatusFilter="All",1,IF($H790=StatusFilter,1,0))),0)</f>
        <v>0</v>
      </c>
      <c r="O790">
        <f>IF($N790=0,0,IF(AND($F790&lt;=EOMONTH(DATE(PlanYear,1,1),0),IF(ISNUMBER($G790),$G790,$F790)&gt;=DATE(PlanYear,1,1)),1,0))</f>
        <v>0</v>
      </c>
      <c r="P790">
        <f>IF($N790=0,0,IF(AND($F790&lt;=EOMONTH(DATE(PlanYear,2,1),0),IF(ISNUMBER($G790),$G790,$F790)&gt;=DATE(PlanYear,2,1)),1,0))</f>
        <v>0</v>
      </c>
      <c r="Q790">
        <f>IF($N790=0,0,IF(AND($F790&lt;=EOMONTH(DATE(PlanYear,3,1),0),IF(ISNUMBER($G790),$G790,$F790)&gt;=DATE(PlanYear,3,1)),1,0))</f>
        <v>0</v>
      </c>
      <c r="R790">
        <f>IF($N790=0,0,IF(AND($F790&lt;=EOMONTH(DATE(PlanYear,4,1),0),IF(ISNUMBER($G790),$G790,$F790)&gt;=DATE(PlanYear,4,1)),1,0))</f>
        <v>0</v>
      </c>
      <c r="S790">
        <f>IF($N790=0,0,IF(AND($F790&lt;=EOMONTH(DATE(PlanYear,5,1),0),IF(ISNUMBER($G790),$G790,$F790)&gt;=DATE(PlanYear,5,1)),1,0))</f>
        <v>0</v>
      </c>
      <c r="T790">
        <f>IF($N790=0,0,IF(AND($F790&lt;=EOMONTH(DATE(PlanYear,6,1),0),IF(ISNUMBER($G790),$G790,$F790)&gt;=DATE(PlanYear,6,1)),1,0))</f>
        <v>0</v>
      </c>
      <c r="U790">
        <f>IF($N790=0,0,IF(AND($F790&lt;=EOMONTH(DATE(PlanYear,7,1),0),IF(ISNUMBER($G790),$G790,$F790)&gt;=DATE(PlanYear,7,1)),1,0))</f>
        <v>0</v>
      </c>
      <c r="V790">
        <f>IF($N790=0,0,IF(AND($F790&lt;=EOMONTH(DATE(PlanYear,8,1),0),IF(ISNUMBER($G790),$G790,$F790)&gt;=DATE(PlanYear,8,1)),1,0))</f>
        <v>0</v>
      </c>
      <c r="W790">
        <f>IF($N790=0,0,IF(AND($F790&lt;=EOMONTH(DATE(PlanYear,9,1),0),IF(ISNUMBER($G790),$G790,$F790)&gt;=DATE(PlanYear,9,1)),1,0))</f>
        <v>0</v>
      </c>
      <c r="X790">
        <f>IF($N790=0,0,IF(AND($F790&lt;=EOMONTH(DATE(PlanYear,10,1),0),IF(ISNUMBER($G790),$G790,$F790)&gt;=DATE(PlanYear,10,1)),1,0))</f>
        <v>0</v>
      </c>
      <c r="Y790">
        <f>IF($N790=0,0,IF(AND($F790&lt;=EOMONTH(DATE(PlanYear,11,1),0),IF(ISNUMBER($G790),$G790,$F790)&gt;=DATE(PlanYear,11,1)),1,0))</f>
        <v>0</v>
      </c>
      <c r="Z790">
        <f>IF($N790=0,0,IF(AND($F790&lt;=EOMONTH(DATE(PlanYear,12,1),0),IF(ISNUMBER($G790),$G790,$F790)&gt;=DATE(PlanYear,12,1)),1,0))</f>
        <v>0</v>
      </c>
      <c r="AA790">
        <f>SUM($O790:$Z790)</f>
        <v>0</v>
      </c>
    </row>
    <row r="791" spans="1:27">
      <c r="A791" s="42">
        <f>IF($B791="","","ACT-"&amp;TEXT(ROW()-4,"000"))</f>
        <v>0</v>
      </c>
      <c r="M791" s="43">
        <f>IF(COUNTA($B791:$K791)=0,"",IF($B791="","Missing activity name",IF($C791="","Missing practice",IF(COUNTIF(PracticeNames,$C791)=0,"Practice not in Lists",IF($D791="","Missing motion",IF(NOT(ISNUMBER($F791)),"Missing or invalid start date",IF(AND(ISNUMBER($G791),$G791&lt;$F791),"End date before start",IF(AND($N791=1,$AA791=0),"Outside planning year","OK"))))))))</f>
        <v>0</v>
      </c>
      <c r="N791">
        <f>IF(AND($B791&lt;&gt;"",$C791&lt;&gt;"",$D791&lt;&gt;"",ISNUMBER($F791),COUNTIF(PracticeNames,$C791)&gt;0,COUNTIF(MotionNames,$D791)&gt;0,NOT(AND(ISNUMBER($G791),$G791&lt;$F791))),IF(StatusFilter="All (excl. Cancelled)",IF($H791="Cancelled",0,1),IF(StatusFilter="All",1,IF($H791=StatusFilter,1,0))),0)</f>
        <v>0</v>
      </c>
      <c r="O791">
        <f>IF($N791=0,0,IF(AND($F791&lt;=EOMONTH(DATE(PlanYear,1,1),0),IF(ISNUMBER($G791),$G791,$F791)&gt;=DATE(PlanYear,1,1)),1,0))</f>
        <v>0</v>
      </c>
      <c r="P791">
        <f>IF($N791=0,0,IF(AND($F791&lt;=EOMONTH(DATE(PlanYear,2,1),0),IF(ISNUMBER($G791),$G791,$F791)&gt;=DATE(PlanYear,2,1)),1,0))</f>
        <v>0</v>
      </c>
      <c r="Q791">
        <f>IF($N791=0,0,IF(AND($F791&lt;=EOMONTH(DATE(PlanYear,3,1),0),IF(ISNUMBER($G791),$G791,$F791)&gt;=DATE(PlanYear,3,1)),1,0))</f>
        <v>0</v>
      </c>
      <c r="R791">
        <f>IF($N791=0,0,IF(AND($F791&lt;=EOMONTH(DATE(PlanYear,4,1),0),IF(ISNUMBER($G791),$G791,$F791)&gt;=DATE(PlanYear,4,1)),1,0))</f>
        <v>0</v>
      </c>
      <c r="S791">
        <f>IF($N791=0,0,IF(AND($F791&lt;=EOMONTH(DATE(PlanYear,5,1),0),IF(ISNUMBER($G791),$G791,$F791)&gt;=DATE(PlanYear,5,1)),1,0))</f>
        <v>0</v>
      </c>
      <c r="T791">
        <f>IF($N791=0,0,IF(AND($F791&lt;=EOMONTH(DATE(PlanYear,6,1),0),IF(ISNUMBER($G791),$G791,$F791)&gt;=DATE(PlanYear,6,1)),1,0))</f>
        <v>0</v>
      </c>
      <c r="U791">
        <f>IF($N791=0,0,IF(AND($F791&lt;=EOMONTH(DATE(PlanYear,7,1),0),IF(ISNUMBER($G791),$G791,$F791)&gt;=DATE(PlanYear,7,1)),1,0))</f>
        <v>0</v>
      </c>
      <c r="V791">
        <f>IF($N791=0,0,IF(AND($F791&lt;=EOMONTH(DATE(PlanYear,8,1),0),IF(ISNUMBER($G791),$G791,$F791)&gt;=DATE(PlanYear,8,1)),1,0))</f>
        <v>0</v>
      </c>
      <c r="W791">
        <f>IF($N791=0,0,IF(AND($F791&lt;=EOMONTH(DATE(PlanYear,9,1),0),IF(ISNUMBER($G791),$G791,$F791)&gt;=DATE(PlanYear,9,1)),1,0))</f>
        <v>0</v>
      </c>
      <c r="X791">
        <f>IF($N791=0,0,IF(AND($F791&lt;=EOMONTH(DATE(PlanYear,10,1),0),IF(ISNUMBER($G791),$G791,$F791)&gt;=DATE(PlanYear,10,1)),1,0))</f>
        <v>0</v>
      </c>
      <c r="Y791">
        <f>IF($N791=0,0,IF(AND($F791&lt;=EOMONTH(DATE(PlanYear,11,1),0),IF(ISNUMBER($G791),$G791,$F791)&gt;=DATE(PlanYear,11,1)),1,0))</f>
        <v>0</v>
      </c>
      <c r="Z791">
        <f>IF($N791=0,0,IF(AND($F791&lt;=EOMONTH(DATE(PlanYear,12,1),0),IF(ISNUMBER($G791),$G791,$F791)&gt;=DATE(PlanYear,12,1)),1,0))</f>
        <v>0</v>
      </c>
      <c r="AA791">
        <f>SUM($O791:$Z791)</f>
        <v>0</v>
      </c>
    </row>
    <row r="792" spans="1:27">
      <c r="A792" s="42">
        <f>IF($B792="","","ACT-"&amp;TEXT(ROW()-4,"000"))</f>
        <v>0</v>
      </c>
      <c r="M792" s="43">
        <f>IF(COUNTA($B792:$K792)=0,"",IF($B792="","Missing activity name",IF($C792="","Missing practice",IF(COUNTIF(PracticeNames,$C792)=0,"Practice not in Lists",IF($D792="","Missing motion",IF(NOT(ISNUMBER($F792)),"Missing or invalid start date",IF(AND(ISNUMBER($G792),$G792&lt;$F792),"End date before start",IF(AND($N792=1,$AA792=0),"Outside planning year","OK"))))))))</f>
        <v>0</v>
      </c>
      <c r="N792">
        <f>IF(AND($B792&lt;&gt;"",$C792&lt;&gt;"",$D792&lt;&gt;"",ISNUMBER($F792),COUNTIF(PracticeNames,$C792)&gt;0,COUNTIF(MotionNames,$D792)&gt;0,NOT(AND(ISNUMBER($G792),$G792&lt;$F792))),IF(StatusFilter="All (excl. Cancelled)",IF($H792="Cancelled",0,1),IF(StatusFilter="All",1,IF($H792=StatusFilter,1,0))),0)</f>
        <v>0</v>
      </c>
      <c r="O792">
        <f>IF($N792=0,0,IF(AND($F792&lt;=EOMONTH(DATE(PlanYear,1,1),0),IF(ISNUMBER($G792),$G792,$F792)&gt;=DATE(PlanYear,1,1)),1,0))</f>
        <v>0</v>
      </c>
      <c r="P792">
        <f>IF($N792=0,0,IF(AND($F792&lt;=EOMONTH(DATE(PlanYear,2,1),0),IF(ISNUMBER($G792),$G792,$F792)&gt;=DATE(PlanYear,2,1)),1,0))</f>
        <v>0</v>
      </c>
      <c r="Q792">
        <f>IF($N792=0,0,IF(AND($F792&lt;=EOMONTH(DATE(PlanYear,3,1),0),IF(ISNUMBER($G792),$G792,$F792)&gt;=DATE(PlanYear,3,1)),1,0))</f>
        <v>0</v>
      </c>
      <c r="R792">
        <f>IF($N792=0,0,IF(AND($F792&lt;=EOMONTH(DATE(PlanYear,4,1),0),IF(ISNUMBER($G792),$G792,$F792)&gt;=DATE(PlanYear,4,1)),1,0))</f>
        <v>0</v>
      </c>
      <c r="S792">
        <f>IF($N792=0,0,IF(AND($F792&lt;=EOMONTH(DATE(PlanYear,5,1),0),IF(ISNUMBER($G792),$G792,$F792)&gt;=DATE(PlanYear,5,1)),1,0))</f>
        <v>0</v>
      </c>
      <c r="T792">
        <f>IF($N792=0,0,IF(AND($F792&lt;=EOMONTH(DATE(PlanYear,6,1),0),IF(ISNUMBER($G792),$G792,$F792)&gt;=DATE(PlanYear,6,1)),1,0))</f>
        <v>0</v>
      </c>
      <c r="U792">
        <f>IF($N792=0,0,IF(AND($F792&lt;=EOMONTH(DATE(PlanYear,7,1),0),IF(ISNUMBER($G792),$G792,$F792)&gt;=DATE(PlanYear,7,1)),1,0))</f>
        <v>0</v>
      </c>
      <c r="V792">
        <f>IF($N792=0,0,IF(AND($F792&lt;=EOMONTH(DATE(PlanYear,8,1),0),IF(ISNUMBER($G792),$G792,$F792)&gt;=DATE(PlanYear,8,1)),1,0))</f>
        <v>0</v>
      </c>
      <c r="W792">
        <f>IF($N792=0,0,IF(AND($F792&lt;=EOMONTH(DATE(PlanYear,9,1),0),IF(ISNUMBER($G792),$G792,$F792)&gt;=DATE(PlanYear,9,1)),1,0))</f>
        <v>0</v>
      </c>
      <c r="X792">
        <f>IF($N792=0,0,IF(AND($F792&lt;=EOMONTH(DATE(PlanYear,10,1),0),IF(ISNUMBER($G792),$G792,$F792)&gt;=DATE(PlanYear,10,1)),1,0))</f>
        <v>0</v>
      </c>
      <c r="Y792">
        <f>IF($N792=0,0,IF(AND($F792&lt;=EOMONTH(DATE(PlanYear,11,1),0),IF(ISNUMBER($G792),$G792,$F792)&gt;=DATE(PlanYear,11,1)),1,0))</f>
        <v>0</v>
      </c>
      <c r="Z792">
        <f>IF($N792=0,0,IF(AND($F792&lt;=EOMONTH(DATE(PlanYear,12,1),0),IF(ISNUMBER($G792),$G792,$F792)&gt;=DATE(PlanYear,12,1)),1,0))</f>
        <v>0</v>
      </c>
      <c r="AA792">
        <f>SUM($O792:$Z792)</f>
        <v>0</v>
      </c>
    </row>
    <row r="793" spans="1:27">
      <c r="A793" s="42">
        <f>IF($B793="","","ACT-"&amp;TEXT(ROW()-4,"000"))</f>
        <v>0</v>
      </c>
      <c r="M793" s="43">
        <f>IF(COUNTA($B793:$K793)=0,"",IF($B793="","Missing activity name",IF($C793="","Missing practice",IF(COUNTIF(PracticeNames,$C793)=0,"Practice not in Lists",IF($D793="","Missing motion",IF(NOT(ISNUMBER($F793)),"Missing or invalid start date",IF(AND(ISNUMBER($G793),$G793&lt;$F793),"End date before start",IF(AND($N793=1,$AA793=0),"Outside planning year","OK"))))))))</f>
        <v>0</v>
      </c>
      <c r="N793">
        <f>IF(AND($B793&lt;&gt;"",$C793&lt;&gt;"",$D793&lt;&gt;"",ISNUMBER($F793),COUNTIF(PracticeNames,$C793)&gt;0,COUNTIF(MotionNames,$D793)&gt;0,NOT(AND(ISNUMBER($G793),$G793&lt;$F793))),IF(StatusFilter="All (excl. Cancelled)",IF($H793="Cancelled",0,1),IF(StatusFilter="All",1,IF($H793=StatusFilter,1,0))),0)</f>
        <v>0</v>
      </c>
      <c r="O793">
        <f>IF($N793=0,0,IF(AND($F793&lt;=EOMONTH(DATE(PlanYear,1,1),0),IF(ISNUMBER($G793),$G793,$F793)&gt;=DATE(PlanYear,1,1)),1,0))</f>
        <v>0</v>
      </c>
      <c r="P793">
        <f>IF($N793=0,0,IF(AND($F793&lt;=EOMONTH(DATE(PlanYear,2,1),0),IF(ISNUMBER($G793),$G793,$F793)&gt;=DATE(PlanYear,2,1)),1,0))</f>
        <v>0</v>
      </c>
      <c r="Q793">
        <f>IF($N793=0,0,IF(AND($F793&lt;=EOMONTH(DATE(PlanYear,3,1),0),IF(ISNUMBER($G793),$G793,$F793)&gt;=DATE(PlanYear,3,1)),1,0))</f>
        <v>0</v>
      </c>
      <c r="R793">
        <f>IF($N793=0,0,IF(AND($F793&lt;=EOMONTH(DATE(PlanYear,4,1),0),IF(ISNUMBER($G793),$G793,$F793)&gt;=DATE(PlanYear,4,1)),1,0))</f>
        <v>0</v>
      </c>
      <c r="S793">
        <f>IF($N793=0,0,IF(AND($F793&lt;=EOMONTH(DATE(PlanYear,5,1),0),IF(ISNUMBER($G793),$G793,$F793)&gt;=DATE(PlanYear,5,1)),1,0))</f>
        <v>0</v>
      </c>
      <c r="T793">
        <f>IF($N793=0,0,IF(AND($F793&lt;=EOMONTH(DATE(PlanYear,6,1),0),IF(ISNUMBER($G793),$G793,$F793)&gt;=DATE(PlanYear,6,1)),1,0))</f>
        <v>0</v>
      </c>
      <c r="U793">
        <f>IF($N793=0,0,IF(AND($F793&lt;=EOMONTH(DATE(PlanYear,7,1),0),IF(ISNUMBER($G793),$G793,$F793)&gt;=DATE(PlanYear,7,1)),1,0))</f>
        <v>0</v>
      </c>
      <c r="V793">
        <f>IF($N793=0,0,IF(AND($F793&lt;=EOMONTH(DATE(PlanYear,8,1),0),IF(ISNUMBER($G793),$G793,$F793)&gt;=DATE(PlanYear,8,1)),1,0))</f>
        <v>0</v>
      </c>
      <c r="W793">
        <f>IF($N793=0,0,IF(AND($F793&lt;=EOMONTH(DATE(PlanYear,9,1),0),IF(ISNUMBER($G793),$G793,$F793)&gt;=DATE(PlanYear,9,1)),1,0))</f>
        <v>0</v>
      </c>
      <c r="X793">
        <f>IF($N793=0,0,IF(AND($F793&lt;=EOMONTH(DATE(PlanYear,10,1),0),IF(ISNUMBER($G793),$G793,$F793)&gt;=DATE(PlanYear,10,1)),1,0))</f>
        <v>0</v>
      </c>
      <c r="Y793">
        <f>IF($N793=0,0,IF(AND($F793&lt;=EOMONTH(DATE(PlanYear,11,1),0),IF(ISNUMBER($G793),$G793,$F793)&gt;=DATE(PlanYear,11,1)),1,0))</f>
        <v>0</v>
      </c>
      <c r="Z793">
        <f>IF($N793=0,0,IF(AND($F793&lt;=EOMONTH(DATE(PlanYear,12,1),0),IF(ISNUMBER($G793),$G793,$F793)&gt;=DATE(PlanYear,12,1)),1,0))</f>
        <v>0</v>
      </c>
      <c r="AA793">
        <f>SUM($O793:$Z793)</f>
        <v>0</v>
      </c>
    </row>
    <row r="794" spans="1:27">
      <c r="A794" s="42">
        <f>IF($B794="","","ACT-"&amp;TEXT(ROW()-4,"000"))</f>
        <v>0</v>
      </c>
      <c r="M794" s="43">
        <f>IF(COUNTA($B794:$K794)=0,"",IF($B794="","Missing activity name",IF($C794="","Missing practice",IF(COUNTIF(PracticeNames,$C794)=0,"Practice not in Lists",IF($D794="","Missing motion",IF(NOT(ISNUMBER($F794)),"Missing or invalid start date",IF(AND(ISNUMBER($G794),$G794&lt;$F794),"End date before start",IF(AND($N794=1,$AA794=0),"Outside planning year","OK"))))))))</f>
        <v>0</v>
      </c>
      <c r="N794">
        <f>IF(AND($B794&lt;&gt;"",$C794&lt;&gt;"",$D794&lt;&gt;"",ISNUMBER($F794),COUNTIF(PracticeNames,$C794)&gt;0,COUNTIF(MotionNames,$D794)&gt;0,NOT(AND(ISNUMBER($G794),$G794&lt;$F794))),IF(StatusFilter="All (excl. Cancelled)",IF($H794="Cancelled",0,1),IF(StatusFilter="All",1,IF($H794=StatusFilter,1,0))),0)</f>
        <v>0</v>
      </c>
      <c r="O794">
        <f>IF($N794=0,0,IF(AND($F794&lt;=EOMONTH(DATE(PlanYear,1,1),0),IF(ISNUMBER($G794),$G794,$F794)&gt;=DATE(PlanYear,1,1)),1,0))</f>
        <v>0</v>
      </c>
      <c r="P794">
        <f>IF($N794=0,0,IF(AND($F794&lt;=EOMONTH(DATE(PlanYear,2,1),0),IF(ISNUMBER($G794),$G794,$F794)&gt;=DATE(PlanYear,2,1)),1,0))</f>
        <v>0</v>
      </c>
      <c r="Q794">
        <f>IF($N794=0,0,IF(AND($F794&lt;=EOMONTH(DATE(PlanYear,3,1),0),IF(ISNUMBER($G794),$G794,$F794)&gt;=DATE(PlanYear,3,1)),1,0))</f>
        <v>0</v>
      </c>
      <c r="R794">
        <f>IF($N794=0,0,IF(AND($F794&lt;=EOMONTH(DATE(PlanYear,4,1),0),IF(ISNUMBER($G794),$G794,$F794)&gt;=DATE(PlanYear,4,1)),1,0))</f>
        <v>0</v>
      </c>
      <c r="S794">
        <f>IF($N794=0,0,IF(AND($F794&lt;=EOMONTH(DATE(PlanYear,5,1),0),IF(ISNUMBER($G794),$G794,$F794)&gt;=DATE(PlanYear,5,1)),1,0))</f>
        <v>0</v>
      </c>
      <c r="T794">
        <f>IF($N794=0,0,IF(AND($F794&lt;=EOMONTH(DATE(PlanYear,6,1),0),IF(ISNUMBER($G794),$G794,$F794)&gt;=DATE(PlanYear,6,1)),1,0))</f>
        <v>0</v>
      </c>
      <c r="U794">
        <f>IF($N794=0,0,IF(AND($F794&lt;=EOMONTH(DATE(PlanYear,7,1),0),IF(ISNUMBER($G794),$G794,$F794)&gt;=DATE(PlanYear,7,1)),1,0))</f>
        <v>0</v>
      </c>
      <c r="V794">
        <f>IF($N794=0,0,IF(AND($F794&lt;=EOMONTH(DATE(PlanYear,8,1),0),IF(ISNUMBER($G794),$G794,$F794)&gt;=DATE(PlanYear,8,1)),1,0))</f>
        <v>0</v>
      </c>
      <c r="W794">
        <f>IF($N794=0,0,IF(AND($F794&lt;=EOMONTH(DATE(PlanYear,9,1),0),IF(ISNUMBER($G794),$G794,$F794)&gt;=DATE(PlanYear,9,1)),1,0))</f>
        <v>0</v>
      </c>
      <c r="X794">
        <f>IF($N794=0,0,IF(AND($F794&lt;=EOMONTH(DATE(PlanYear,10,1),0),IF(ISNUMBER($G794),$G794,$F794)&gt;=DATE(PlanYear,10,1)),1,0))</f>
        <v>0</v>
      </c>
      <c r="Y794">
        <f>IF($N794=0,0,IF(AND($F794&lt;=EOMONTH(DATE(PlanYear,11,1),0),IF(ISNUMBER($G794),$G794,$F794)&gt;=DATE(PlanYear,11,1)),1,0))</f>
        <v>0</v>
      </c>
      <c r="Z794">
        <f>IF($N794=0,0,IF(AND($F794&lt;=EOMONTH(DATE(PlanYear,12,1),0),IF(ISNUMBER($G794),$G794,$F794)&gt;=DATE(PlanYear,12,1)),1,0))</f>
        <v>0</v>
      </c>
      <c r="AA794">
        <f>SUM($O794:$Z794)</f>
        <v>0</v>
      </c>
    </row>
    <row r="795" spans="1:27">
      <c r="A795" s="42">
        <f>IF($B795="","","ACT-"&amp;TEXT(ROW()-4,"000"))</f>
        <v>0</v>
      </c>
      <c r="M795" s="43">
        <f>IF(COUNTA($B795:$K795)=0,"",IF($B795="","Missing activity name",IF($C795="","Missing practice",IF(COUNTIF(PracticeNames,$C795)=0,"Practice not in Lists",IF($D795="","Missing motion",IF(NOT(ISNUMBER($F795)),"Missing or invalid start date",IF(AND(ISNUMBER($G795),$G795&lt;$F795),"End date before start",IF(AND($N795=1,$AA795=0),"Outside planning year","OK"))))))))</f>
        <v>0</v>
      </c>
      <c r="N795">
        <f>IF(AND($B795&lt;&gt;"",$C795&lt;&gt;"",$D795&lt;&gt;"",ISNUMBER($F795),COUNTIF(PracticeNames,$C795)&gt;0,COUNTIF(MotionNames,$D795)&gt;0,NOT(AND(ISNUMBER($G795),$G795&lt;$F795))),IF(StatusFilter="All (excl. Cancelled)",IF($H795="Cancelled",0,1),IF(StatusFilter="All",1,IF($H795=StatusFilter,1,0))),0)</f>
        <v>0</v>
      </c>
      <c r="O795">
        <f>IF($N795=0,0,IF(AND($F795&lt;=EOMONTH(DATE(PlanYear,1,1),0),IF(ISNUMBER($G795),$G795,$F795)&gt;=DATE(PlanYear,1,1)),1,0))</f>
        <v>0</v>
      </c>
      <c r="P795">
        <f>IF($N795=0,0,IF(AND($F795&lt;=EOMONTH(DATE(PlanYear,2,1),0),IF(ISNUMBER($G795),$G795,$F795)&gt;=DATE(PlanYear,2,1)),1,0))</f>
        <v>0</v>
      </c>
      <c r="Q795">
        <f>IF($N795=0,0,IF(AND($F795&lt;=EOMONTH(DATE(PlanYear,3,1),0),IF(ISNUMBER($G795),$G795,$F795)&gt;=DATE(PlanYear,3,1)),1,0))</f>
        <v>0</v>
      </c>
      <c r="R795">
        <f>IF($N795=0,0,IF(AND($F795&lt;=EOMONTH(DATE(PlanYear,4,1),0),IF(ISNUMBER($G795),$G795,$F795)&gt;=DATE(PlanYear,4,1)),1,0))</f>
        <v>0</v>
      </c>
      <c r="S795">
        <f>IF($N795=0,0,IF(AND($F795&lt;=EOMONTH(DATE(PlanYear,5,1),0),IF(ISNUMBER($G795),$G795,$F795)&gt;=DATE(PlanYear,5,1)),1,0))</f>
        <v>0</v>
      </c>
      <c r="T795">
        <f>IF($N795=0,0,IF(AND($F795&lt;=EOMONTH(DATE(PlanYear,6,1),0),IF(ISNUMBER($G795),$G795,$F795)&gt;=DATE(PlanYear,6,1)),1,0))</f>
        <v>0</v>
      </c>
      <c r="U795">
        <f>IF($N795=0,0,IF(AND($F795&lt;=EOMONTH(DATE(PlanYear,7,1),0),IF(ISNUMBER($G795),$G795,$F795)&gt;=DATE(PlanYear,7,1)),1,0))</f>
        <v>0</v>
      </c>
      <c r="V795">
        <f>IF($N795=0,0,IF(AND($F795&lt;=EOMONTH(DATE(PlanYear,8,1),0),IF(ISNUMBER($G795),$G795,$F795)&gt;=DATE(PlanYear,8,1)),1,0))</f>
        <v>0</v>
      </c>
      <c r="W795">
        <f>IF($N795=0,0,IF(AND($F795&lt;=EOMONTH(DATE(PlanYear,9,1),0),IF(ISNUMBER($G795),$G795,$F795)&gt;=DATE(PlanYear,9,1)),1,0))</f>
        <v>0</v>
      </c>
      <c r="X795">
        <f>IF($N795=0,0,IF(AND($F795&lt;=EOMONTH(DATE(PlanYear,10,1),0),IF(ISNUMBER($G795),$G795,$F795)&gt;=DATE(PlanYear,10,1)),1,0))</f>
        <v>0</v>
      </c>
      <c r="Y795">
        <f>IF($N795=0,0,IF(AND($F795&lt;=EOMONTH(DATE(PlanYear,11,1),0),IF(ISNUMBER($G795),$G795,$F795)&gt;=DATE(PlanYear,11,1)),1,0))</f>
        <v>0</v>
      </c>
      <c r="Z795">
        <f>IF($N795=0,0,IF(AND($F795&lt;=EOMONTH(DATE(PlanYear,12,1),0),IF(ISNUMBER($G795),$G795,$F795)&gt;=DATE(PlanYear,12,1)),1,0))</f>
        <v>0</v>
      </c>
      <c r="AA795">
        <f>SUM($O795:$Z795)</f>
        <v>0</v>
      </c>
    </row>
    <row r="796" spans="1:27">
      <c r="A796" s="42">
        <f>IF($B796="","","ACT-"&amp;TEXT(ROW()-4,"000"))</f>
        <v>0</v>
      </c>
      <c r="M796" s="43">
        <f>IF(COUNTA($B796:$K796)=0,"",IF($B796="","Missing activity name",IF($C796="","Missing practice",IF(COUNTIF(PracticeNames,$C796)=0,"Practice not in Lists",IF($D796="","Missing motion",IF(NOT(ISNUMBER($F796)),"Missing or invalid start date",IF(AND(ISNUMBER($G796),$G796&lt;$F796),"End date before start",IF(AND($N796=1,$AA796=0),"Outside planning year","OK"))))))))</f>
        <v>0</v>
      </c>
      <c r="N796">
        <f>IF(AND($B796&lt;&gt;"",$C796&lt;&gt;"",$D796&lt;&gt;"",ISNUMBER($F796),COUNTIF(PracticeNames,$C796)&gt;0,COUNTIF(MotionNames,$D796)&gt;0,NOT(AND(ISNUMBER($G796),$G796&lt;$F796))),IF(StatusFilter="All (excl. Cancelled)",IF($H796="Cancelled",0,1),IF(StatusFilter="All",1,IF($H796=StatusFilter,1,0))),0)</f>
        <v>0</v>
      </c>
      <c r="O796">
        <f>IF($N796=0,0,IF(AND($F796&lt;=EOMONTH(DATE(PlanYear,1,1),0),IF(ISNUMBER($G796),$G796,$F796)&gt;=DATE(PlanYear,1,1)),1,0))</f>
        <v>0</v>
      </c>
      <c r="P796">
        <f>IF($N796=0,0,IF(AND($F796&lt;=EOMONTH(DATE(PlanYear,2,1),0),IF(ISNUMBER($G796),$G796,$F796)&gt;=DATE(PlanYear,2,1)),1,0))</f>
        <v>0</v>
      </c>
      <c r="Q796">
        <f>IF($N796=0,0,IF(AND($F796&lt;=EOMONTH(DATE(PlanYear,3,1),0),IF(ISNUMBER($G796),$G796,$F796)&gt;=DATE(PlanYear,3,1)),1,0))</f>
        <v>0</v>
      </c>
      <c r="R796">
        <f>IF($N796=0,0,IF(AND($F796&lt;=EOMONTH(DATE(PlanYear,4,1),0),IF(ISNUMBER($G796),$G796,$F796)&gt;=DATE(PlanYear,4,1)),1,0))</f>
        <v>0</v>
      </c>
      <c r="S796">
        <f>IF($N796=0,0,IF(AND($F796&lt;=EOMONTH(DATE(PlanYear,5,1),0),IF(ISNUMBER($G796),$G796,$F796)&gt;=DATE(PlanYear,5,1)),1,0))</f>
        <v>0</v>
      </c>
      <c r="T796">
        <f>IF($N796=0,0,IF(AND($F796&lt;=EOMONTH(DATE(PlanYear,6,1),0),IF(ISNUMBER($G796),$G796,$F796)&gt;=DATE(PlanYear,6,1)),1,0))</f>
        <v>0</v>
      </c>
      <c r="U796">
        <f>IF($N796=0,0,IF(AND($F796&lt;=EOMONTH(DATE(PlanYear,7,1),0),IF(ISNUMBER($G796),$G796,$F796)&gt;=DATE(PlanYear,7,1)),1,0))</f>
        <v>0</v>
      </c>
      <c r="V796">
        <f>IF($N796=0,0,IF(AND($F796&lt;=EOMONTH(DATE(PlanYear,8,1),0),IF(ISNUMBER($G796),$G796,$F796)&gt;=DATE(PlanYear,8,1)),1,0))</f>
        <v>0</v>
      </c>
      <c r="W796">
        <f>IF($N796=0,0,IF(AND($F796&lt;=EOMONTH(DATE(PlanYear,9,1),0),IF(ISNUMBER($G796),$G796,$F796)&gt;=DATE(PlanYear,9,1)),1,0))</f>
        <v>0</v>
      </c>
      <c r="X796">
        <f>IF($N796=0,0,IF(AND($F796&lt;=EOMONTH(DATE(PlanYear,10,1),0),IF(ISNUMBER($G796),$G796,$F796)&gt;=DATE(PlanYear,10,1)),1,0))</f>
        <v>0</v>
      </c>
      <c r="Y796">
        <f>IF($N796=0,0,IF(AND($F796&lt;=EOMONTH(DATE(PlanYear,11,1),0),IF(ISNUMBER($G796),$G796,$F796)&gt;=DATE(PlanYear,11,1)),1,0))</f>
        <v>0</v>
      </c>
      <c r="Z796">
        <f>IF($N796=0,0,IF(AND($F796&lt;=EOMONTH(DATE(PlanYear,12,1),0),IF(ISNUMBER($G796),$G796,$F796)&gt;=DATE(PlanYear,12,1)),1,0))</f>
        <v>0</v>
      </c>
      <c r="AA796">
        <f>SUM($O796:$Z796)</f>
        <v>0</v>
      </c>
    </row>
    <row r="797" spans="1:27">
      <c r="A797" s="42">
        <f>IF($B797="","","ACT-"&amp;TEXT(ROW()-4,"000"))</f>
        <v>0</v>
      </c>
      <c r="M797" s="43">
        <f>IF(COUNTA($B797:$K797)=0,"",IF($B797="","Missing activity name",IF($C797="","Missing practice",IF(COUNTIF(PracticeNames,$C797)=0,"Practice not in Lists",IF($D797="","Missing motion",IF(NOT(ISNUMBER($F797)),"Missing or invalid start date",IF(AND(ISNUMBER($G797),$G797&lt;$F797),"End date before start",IF(AND($N797=1,$AA797=0),"Outside planning year","OK"))))))))</f>
        <v>0</v>
      </c>
      <c r="N797">
        <f>IF(AND($B797&lt;&gt;"",$C797&lt;&gt;"",$D797&lt;&gt;"",ISNUMBER($F797),COUNTIF(PracticeNames,$C797)&gt;0,COUNTIF(MotionNames,$D797)&gt;0,NOT(AND(ISNUMBER($G797),$G797&lt;$F797))),IF(StatusFilter="All (excl. Cancelled)",IF($H797="Cancelled",0,1),IF(StatusFilter="All",1,IF($H797=StatusFilter,1,0))),0)</f>
        <v>0</v>
      </c>
      <c r="O797">
        <f>IF($N797=0,0,IF(AND($F797&lt;=EOMONTH(DATE(PlanYear,1,1),0),IF(ISNUMBER($G797),$G797,$F797)&gt;=DATE(PlanYear,1,1)),1,0))</f>
        <v>0</v>
      </c>
      <c r="P797">
        <f>IF($N797=0,0,IF(AND($F797&lt;=EOMONTH(DATE(PlanYear,2,1),0),IF(ISNUMBER($G797),$G797,$F797)&gt;=DATE(PlanYear,2,1)),1,0))</f>
        <v>0</v>
      </c>
      <c r="Q797">
        <f>IF($N797=0,0,IF(AND($F797&lt;=EOMONTH(DATE(PlanYear,3,1),0),IF(ISNUMBER($G797),$G797,$F797)&gt;=DATE(PlanYear,3,1)),1,0))</f>
        <v>0</v>
      </c>
      <c r="R797">
        <f>IF($N797=0,0,IF(AND($F797&lt;=EOMONTH(DATE(PlanYear,4,1),0),IF(ISNUMBER($G797),$G797,$F797)&gt;=DATE(PlanYear,4,1)),1,0))</f>
        <v>0</v>
      </c>
      <c r="S797">
        <f>IF($N797=0,0,IF(AND($F797&lt;=EOMONTH(DATE(PlanYear,5,1),0),IF(ISNUMBER($G797),$G797,$F797)&gt;=DATE(PlanYear,5,1)),1,0))</f>
        <v>0</v>
      </c>
      <c r="T797">
        <f>IF($N797=0,0,IF(AND($F797&lt;=EOMONTH(DATE(PlanYear,6,1),0),IF(ISNUMBER($G797),$G797,$F797)&gt;=DATE(PlanYear,6,1)),1,0))</f>
        <v>0</v>
      </c>
      <c r="U797">
        <f>IF($N797=0,0,IF(AND($F797&lt;=EOMONTH(DATE(PlanYear,7,1),0),IF(ISNUMBER($G797),$G797,$F797)&gt;=DATE(PlanYear,7,1)),1,0))</f>
        <v>0</v>
      </c>
      <c r="V797">
        <f>IF($N797=0,0,IF(AND($F797&lt;=EOMONTH(DATE(PlanYear,8,1),0),IF(ISNUMBER($G797),$G797,$F797)&gt;=DATE(PlanYear,8,1)),1,0))</f>
        <v>0</v>
      </c>
      <c r="W797">
        <f>IF($N797=0,0,IF(AND($F797&lt;=EOMONTH(DATE(PlanYear,9,1),0),IF(ISNUMBER($G797),$G797,$F797)&gt;=DATE(PlanYear,9,1)),1,0))</f>
        <v>0</v>
      </c>
      <c r="X797">
        <f>IF($N797=0,0,IF(AND($F797&lt;=EOMONTH(DATE(PlanYear,10,1),0),IF(ISNUMBER($G797),$G797,$F797)&gt;=DATE(PlanYear,10,1)),1,0))</f>
        <v>0</v>
      </c>
      <c r="Y797">
        <f>IF($N797=0,0,IF(AND($F797&lt;=EOMONTH(DATE(PlanYear,11,1),0),IF(ISNUMBER($G797),$G797,$F797)&gt;=DATE(PlanYear,11,1)),1,0))</f>
        <v>0</v>
      </c>
      <c r="Z797">
        <f>IF($N797=0,0,IF(AND($F797&lt;=EOMONTH(DATE(PlanYear,12,1),0),IF(ISNUMBER($G797),$G797,$F797)&gt;=DATE(PlanYear,12,1)),1,0))</f>
        <v>0</v>
      </c>
      <c r="AA797">
        <f>SUM($O797:$Z797)</f>
        <v>0</v>
      </c>
    </row>
    <row r="798" spans="1:27">
      <c r="A798" s="42">
        <f>IF($B798="","","ACT-"&amp;TEXT(ROW()-4,"000"))</f>
        <v>0</v>
      </c>
      <c r="M798" s="43">
        <f>IF(COUNTA($B798:$K798)=0,"",IF($B798="","Missing activity name",IF($C798="","Missing practice",IF(COUNTIF(PracticeNames,$C798)=0,"Practice not in Lists",IF($D798="","Missing motion",IF(NOT(ISNUMBER($F798)),"Missing or invalid start date",IF(AND(ISNUMBER($G798),$G798&lt;$F798),"End date before start",IF(AND($N798=1,$AA798=0),"Outside planning year","OK"))))))))</f>
        <v>0</v>
      </c>
      <c r="N798">
        <f>IF(AND($B798&lt;&gt;"",$C798&lt;&gt;"",$D798&lt;&gt;"",ISNUMBER($F798),COUNTIF(PracticeNames,$C798)&gt;0,COUNTIF(MotionNames,$D798)&gt;0,NOT(AND(ISNUMBER($G798),$G798&lt;$F798))),IF(StatusFilter="All (excl. Cancelled)",IF($H798="Cancelled",0,1),IF(StatusFilter="All",1,IF($H798=StatusFilter,1,0))),0)</f>
        <v>0</v>
      </c>
      <c r="O798">
        <f>IF($N798=0,0,IF(AND($F798&lt;=EOMONTH(DATE(PlanYear,1,1),0),IF(ISNUMBER($G798),$G798,$F798)&gt;=DATE(PlanYear,1,1)),1,0))</f>
        <v>0</v>
      </c>
      <c r="P798">
        <f>IF($N798=0,0,IF(AND($F798&lt;=EOMONTH(DATE(PlanYear,2,1),0),IF(ISNUMBER($G798),$G798,$F798)&gt;=DATE(PlanYear,2,1)),1,0))</f>
        <v>0</v>
      </c>
      <c r="Q798">
        <f>IF($N798=0,0,IF(AND($F798&lt;=EOMONTH(DATE(PlanYear,3,1),0),IF(ISNUMBER($G798),$G798,$F798)&gt;=DATE(PlanYear,3,1)),1,0))</f>
        <v>0</v>
      </c>
      <c r="R798">
        <f>IF($N798=0,0,IF(AND($F798&lt;=EOMONTH(DATE(PlanYear,4,1),0),IF(ISNUMBER($G798),$G798,$F798)&gt;=DATE(PlanYear,4,1)),1,0))</f>
        <v>0</v>
      </c>
      <c r="S798">
        <f>IF($N798=0,0,IF(AND($F798&lt;=EOMONTH(DATE(PlanYear,5,1),0),IF(ISNUMBER($G798),$G798,$F798)&gt;=DATE(PlanYear,5,1)),1,0))</f>
        <v>0</v>
      </c>
      <c r="T798">
        <f>IF($N798=0,0,IF(AND($F798&lt;=EOMONTH(DATE(PlanYear,6,1),0),IF(ISNUMBER($G798),$G798,$F798)&gt;=DATE(PlanYear,6,1)),1,0))</f>
        <v>0</v>
      </c>
      <c r="U798">
        <f>IF($N798=0,0,IF(AND($F798&lt;=EOMONTH(DATE(PlanYear,7,1),0),IF(ISNUMBER($G798),$G798,$F798)&gt;=DATE(PlanYear,7,1)),1,0))</f>
        <v>0</v>
      </c>
      <c r="V798">
        <f>IF($N798=0,0,IF(AND($F798&lt;=EOMONTH(DATE(PlanYear,8,1),0),IF(ISNUMBER($G798),$G798,$F798)&gt;=DATE(PlanYear,8,1)),1,0))</f>
        <v>0</v>
      </c>
      <c r="W798">
        <f>IF($N798=0,0,IF(AND($F798&lt;=EOMONTH(DATE(PlanYear,9,1),0),IF(ISNUMBER($G798),$G798,$F798)&gt;=DATE(PlanYear,9,1)),1,0))</f>
        <v>0</v>
      </c>
      <c r="X798">
        <f>IF($N798=0,0,IF(AND($F798&lt;=EOMONTH(DATE(PlanYear,10,1),0),IF(ISNUMBER($G798),$G798,$F798)&gt;=DATE(PlanYear,10,1)),1,0))</f>
        <v>0</v>
      </c>
      <c r="Y798">
        <f>IF($N798=0,0,IF(AND($F798&lt;=EOMONTH(DATE(PlanYear,11,1),0),IF(ISNUMBER($G798),$G798,$F798)&gt;=DATE(PlanYear,11,1)),1,0))</f>
        <v>0</v>
      </c>
      <c r="Z798">
        <f>IF($N798=0,0,IF(AND($F798&lt;=EOMONTH(DATE(PlanYear,12,1),0),IF(ISNUMBER($G798),$G798,$F798)&gt;=DATE(PlanYear,12,1)),1,0))</f>
        <v>0</v>
      </c>
      <c r="AA798">
        <f>SUM($O798:$Z798)</f>
        <v>0</v>
      </c>
    </row>
    <row r="799" spans="1:27">
      <c r="A799" s="42">
        <f>IF($B799="","","ACT-"&amp;TEXT(ROW()-4,"000"))</f>
        <v>0</v>
      </c>
      <c r="M799" s="43">
        <f>IF(COUNTA($B799:$K799)=0,"",IF($B799="","Missing activity name",IF($C799="","Missing practice",IF(COUNTIF(PracticeNames,$C799)=0,"Practice not in Lists",IF($D799="","Missing motion",IF(NOT(ISNUMBER($F799)),"Missing or invalid start date",IF(AND(ISNUMBER($G799),$G799&lt;$F799),"End date before start",IF(AND($N799=1,$AA799=0),"Outside planning year","OK"))))))))</f>
        <v>0</v>
      </c>
      <c r="N799">
        <f>IF(AND($B799&lt;&gt;"",$C799&lt;&gt;"",$D799&lt;&gt;"",ISNUMBER($F799),COUNTIF(PracticeNames,$C799)&gt;0,COUNTIF(MotionNames,$D799)&gt;0,NOT(AND(ISNUMBER($G799),$G799&lt;$F799))),IF(StatusFilter="All (excl. Cancelled)",IF($H799="Cancelled",0,1),IF(StatusFilter="All",1,IF($H799=StatusFilter,1,0))),0)</f>
        <v>0</v>
      </c>
      <c r="O799">
        <f>IF($N799=0,0,IF(AND($F799&lt;=EOMONTH(DATE(PlanYear,1,1),0),IF(ISNUMBER($G799),$G799,$F799)&gt;=DATE(PlanYear,1,1)),1,0))</f>
        <v>0</v>
      </c>
      <c r="P799">
        <f>IF($N799=0,0,IF(AND($F799&lt;=EOMONTH(DATE(PlanYear,2,1),0),IF(ISNUMBER($G799),$G799,$F799)&gt;=DATE(PlanYear,2,1)),1,0))</f>
        <v>0</v>
      </c>
      <c r="Q799">
        <f>IF($N799=0,0,IF(AND($F799&lt;=EOMONTH(DATE(PlanYear,3,1),0),IF(ISNUMBER($G799),$G799,$F799)&gt;=DATE(PlanYear,3,1)),1,0))</f>
        <v>0</v>
      </c>
      <c r="R799">
        <f>IF($N799=0,0,IF(AND($F799&lt;=EOMONTH(DATE(PlanYear,4,1),0),IF(ISNUMBER($G799),$G799,$F799)&gt;=DATE(PlanYear,4,1)),1,0))</f>
        <v>0</v>
      </c>
      <c r="S799">
        <f>IF($N799=0,0,IF(AND($F799&lt;=EOMONTH(DATE(PlanYear,5,1),0),IF(ISNUMBER($G799),$G799,$F799)&gt;=DATE(PlanYear,5,1)),1,0))</f>
        <v>0</v>
      </c>
      <c r="T799">
        <f>IF($N799=0,0,IF(AND($F799&lt;=EOMONTH(DATE(PlanYear,6,1),0),IF(ISNUMBER($G799),$G799,$F799)&gt;=DATE(PlanYear,6,1)),1,0))</f>
        <v>0</v>
      </c>
      <c r="U799">
        <f>IF($N799=0,0,IF(AND($F799&lt;=EOMONTH(DATE(PlanYear,7,1),0),IF(ISNUMBER($G799),$G799,$F799)&gt;=DATE(PlanYear,7,1)),1,0))</f>
        <v>0</v>
      </c>
      <c r="V799">
        <f>IF($N799=0,0,IF(AND($F799&lt;=EOMONTH(DATE(PlanYear,8,1),0),IF(ISNUMBER($G799),$G799,$F799)&gt;=DATE(PlanYear,8,1)),1,0))</f>
        <v>0</v>
      </c>
      <c r="W799">
        <f>IF($N799=0,0,IF(AND($F799&lt;=EOMONTH(DATE(PlanYear,9,1),0),IF(ISNUMBER($G799),$G799,$F799)&gt;=DATE(PlanYear,9,1)),1,0))</f>
        <v>0</v>
      </c>
      <c r="X799">
        <f>IF($N799=0,0,IF(AND($F799&lt;=EOMONTH(DATE(PlanYear,10,1),0),IF(ISNUMBER($G799),$G799,$F799)&gt;=DATE(PlanYear,10,1)),1,0))</f>
        <v>0</v>
      </c>
      <c r="Y799">
        <f>IF($N799=0,0,IF(AND($F799&lt;=EOMONTH(DATE(PlanYear,11,1),0),IF(ISNUMBER($G799),$G799,$F799)&gt;=DATE(PlanYear,11,1)),1,0))</f>
        <v>0</v>
      </c>
      <c r="Z799">
        <f>IF($N799=0,0,IF(AND($F799&lt;=EOMONTH(DATE(PlanYear,12,1),0),IF(ISNUMBER($G799),$G799,$F799)&gt;=DATE(PlanYear,12,1)),1,0))</f>
        <v>0</v>
      </c>
      <c r="AA799">
        <f>SUM($O799:$Z799)</f>
        <v>0</v>
      </c>
    </row>
    <row r="800" spans="1:27">
      <c r="A800" s="42">
        <f>IF($B800="","","ACT-"&amp;TEXT(ROW()-4,"000"))</f>
        <v>0</v>
      </c>
      <c r="M800" s="43">
        <f>IF(COUNTA($B800:$K800)=0,"",IF($B800="","Missing activity name",IF($C800="","Missing practice",IF(COUNTIF(PracticeNames,$C800)=0,"Practice not in Lists",IF($D800="","Missing motion",IF(NOT(ISNUMBER($F800)),"Missing or invalid start date",IF(AND(ISNUMBER($G800),$G800&lt;$F800),"End date before start",IF(AND($N800=1,$AA800=0),"Outside planning year","OK"))))))))</f>
        <v>0</v>
      </c>
      <c r="N800">
        <f>IF(AND($B800&lt;&gt;"",$C800&lt;&gt;"",$D800&lt;&gt;"",ISNUMBER($F800),COUNTIF(PracticeNames,$C800)&gt;0,COUNTIF(MotionNames,$D800)&gt;0,NOT(AND(ISNUMBER($G800),$G800&lt;$F800))),IF(StatusFilter="All (excl. Cancelled)",IF($H800="Cancelled",0,1),IF(StatusFilter="All",1,IF($H800=StatusFilter,1,0))),0)</f>
        <v>0</v>
      </c>
      <c r="O800">
        <f>IF($N800=0,0,IF(AND($F800&lt;=EOMONTH(DATE(PlanYear,1,1),0),IF(ISNUMBER($G800),$G800,$F800)&gt;=DATE(PlanYear,1,1)),1,0))</f>
        <v>0</v>
      </c>
      <c r="P800">
        <f>IF($N800=0,0,IF(AND($F800&lt;=EOMONTH(DATE(PlanYear,2,1),0),IF(ISNUMBER($G800),$G800,$F800)&gt;=DATE(PlanYear,2,1)),1,0))</f>
        <v>0</v>
      </c>
      <c r="Q800">
        <f>IF($N800=0,0,IF(AND($F800&lt;=EOMONTH(DATE(PlanYear,3,1),0),IF(ISNUMBER($G800),$G800,$F800)&gt;=DATE(PlanYear,3,1)),1,0))</f>
        <v>0</v>
      </c>
      <c r="R800">
        <f>IF($N800=0,0,IF(AND($F800&lt;=EOMONTH(DATE(PlanYear,4,1),0),IF(ISNUMBER($G800),$G800,$F800)&gt;=DATE(PlanYear,4,1)),1,0))</f>
        <v>0</v>
      </c>
      <c r="S800">
        <f>IF($N800=0,0,IF(AND($F800&lt;=EOMONTH(DATE(PlanYear,5,1),0),IF(ISNUMBER($G800),$G800,$F800)&gt;=DATE(PlanYear,5,1)),1,0))</f>
        <v>0</v>
      </c>
      <c r="T800">
        <f>IF($N800=0,0,IF(AND($F800&lt;=EOMONTH(DATE(PlanYear,6,1),0),IF(ISNUMBER($G800),$G800,$F800)&gt;=DATE(PlanYear,6,1)),1,0))</f>
        <v>0</v>
      </c>
      <c r="U800">
        <f>IF($N800=0,0,IF(AND($F800&lt;=EOMONTH(DATE(PlanYear,7,1),0),IF(ISNUMBER($G800),$G800,$F800)&gt;=DATE(PlanYear,7,1)),1,0))</f>
        <v>0</v>
      </c>
      <c r="V800">
        <f>IF($N800=0,0,IF(AND($F800&lt;=EOMONTH(DATE(PlanYear,8,1),0),IF(ISNUMBER($G800),$G800,$F800)&gt;=DATE(PlanYear,8,1)),1,0))</f>
        <v>0</v>
      </c>
      <c r="W800">
        <f>IF($N800=0,0,IF(AND($F800&lt;=EOMONTH(DATE(PlanYear,9,1),0),IF(ISNUMBER($G800),$G800,$F800)&gt;=DATE(PlanYear,9,1)),1,0))</f>
        <v>0</v>
      </c>
      <c r="X800">
        <f>IF($N800=0,0,IF(AND($F800&lt;=EOMONTH(DATE(PlanYear,10,1),0),IF(ISNUMBER($G800),$G800,$F800)&gt;=DATE(PlanYear,10,1)),1,0))</f>
        <v>0</v>
      </c>
      <c r="Y800">
        <f>IF($N800=0,0,IF(AND($F800&lt;=EOMONTH(DATE(PlanYear,11,1),0),IF(ISNUMBER($G800),$G800,$F800)&gt;=DATE(PlanYear,11,1)),1,0))</f>
        <v>0</v>
      </c>
      <c r="Z800">
        <f>IF($N800=0,0,IF(AND($F800&lt;=EOMONTH(DATE(PlanYear,12,1),0),IF(ISNUMBER($G800),$G800,$F800)&gt;=DATE(PlanYear,12,1)),1,0))</f>
        <v>0</v>
      </c>
      <c r="AA800">
        <f>SUM($O800:$Z800)</f>
        <v>0</v>
      </c>
    </row>
    <row r="801" spans="1:27">
      <c r="A801" s="42">
        <f>IF($B801="","","ACT-"&amp;TEXT(ROW()-4,"000"))</f>
        <v>0</v>
      </c>
      <c r="M801" s="43">
        <f>IF(COUNTA($B801:$K801)=0,"",IF($B801="","Missing activity name",IF($C801="","Missing practice",IF(COUNTIF(PracticeNames,$C801)=0,"Practice not in Lists",IF($D801="","Missing motion",IF(NOT(ISNUMBER($F801)),"Missing or invalid start date",IF(AND(ISNUMBER($G801),$G801&lt;$F801),"End date before start",IF(AND($N801=1,$AA801=0),"Outside planning year","OK"))))))))</f>
        <v>0</v>
      </c>
      <c r="N801">
        <f>IF(AND($B801&lt;&gt;"",$C801&lt;&gt;"",$D801&lt;&gt;"",ISNUMBER($F801),COUNTIF(PracticeNames,$C801)&gt;0,COUNTIF(MotionNames,$D801)&gt;0,NOT(AND(ISNUMBER($G801),$G801&lt;$F801))),IF(StatusFilter="All (excl. Cancelled)",IF($H801="Cancelled",0,1),IF(StatusFilter="All",1,IF($H801=StatusFilter,1,0))),0)</f>
        <v>0</v>
      </c>
      <c r="O801">
        <f>IF($N801=0,0,IF(AND($F801&lt;=EOMONTH(DATE(PlanYear,1,1),0),IF(ISNUMBER($G801),$G801,$F801)&gt;=DATE(PlanYear,1,1)),1,0))</f>
        <v>0</v>
      </c>
      <c r="P801">
        <f>IF($N801=0,0,IF(AND($F801&lt;=EOMONTH(DATE(PlanYear,2,1),0),IF(ISNUMBER($G801),$G801,$F801)&gt;=DATE(PlanYear,2,1)),1,0))</f>
        <v>0</v>
      </c>
      <c r="Q801">
        <f>IF($N801=0,0,IF(AND($F801&lt;=EOMONTH(DATE(PlanYear,3,1),0),IF(ISNUMBER($G801),$G801,$F801)&gt;=DATE(PlanYear,3,1)),1,0))</f>
        <v>0</v>
      </c>
      <c r="R801">
        <f>IF($N801=0,0,IF(AND($F801&lt;=EOMONTH(DATE(PlanYear,4,1),0),IF(ISNUMBER($G801),$G801,$F801)&gt;=DATE(PlanYear,4,1)),1,0))</f>
        <v>0</v>
      </c>
      <c r="S801">
        <f>IF($N801=0,0,IF(AND($F801&lt;=EOMONTH(DATE(PlanYear,5,1),0),IF(ISNUMBER($G801),$G801,$F801)&gt;=DATE(PlanYear,5,1)),1,0))</f>
        <v>0</v>
      </c>
      <c r="T801">
        <f>IF($N801=0,0,IF(AND($F801&lt;=EOMONTH(DATE(PlanYear,6,1),0),IF(ISNUMBER($G801),$G801,$F801)&gt;=DATE(PlanYear,6,1)),1,0))</f>
        <v>0</v>
      </c>
      <c r="U801">
        <f>IF($N801=0,0,IF(AND($F801&lt;=EOMONTH(DATE(PlanYear,7,1),0),IF(ISNUMBER($G801),$G801,$F801)&gt;=DATE(PlanYear,7,1)),1,0))</f>
        <v>0</v>
      </c>
      <c r="V801">
        <f>IF($N801=0,0,IF(AND($F801&lt;=EOMONTH(DATE(PlanYear,8,1),0),IF(ISNUMBER($G801),$G801,$F801)&gt;=DATE(PlanYear,8,1)),1,0))</f>
        <v>0</v>
      </c>
      <c r="W801">
        <f>IF($N801=0,0,IF(AND($F801&lt;=EOMONTH(DATE(PlanYear,9,1),0),IF(ISNUMBER($G801),$G801,$F801)&gt;=DATE(PlanYear,9,1)),1,0))</f>
        <v>0</v>
      </c>
      <c r="X801">
        <f>IF($N801=0,0,IF(AND($F801&lt;=EOMONTH(DATE(PlanYear,10,1),0),IF(ISNUMBER($G801),$G801,$F801)&gt;=DATE(PlanYear,10,1)),1,0))</f>
        <v>0</v>
      </c>
      <c r="Y801">
        <f>IF($N801=0,0,IF(AND($F801&lt;=EOMONTH(DATE(PlanYear,11,1),0),IF(ISNUMBER($G801),$G801,$F801)&gt;=DATE(PlanYear,11,1)),1,0))</f>
        <v>0</v>
      </c>
      <c r="Z801">
        <f>IF($N801=0,0,IF(AND($F801&lt;=EOMONTH(DATE(PlanYear,12,1),0),IF(ISNUMBER($G801),$G801,$F801)&gt;=DATE(PlanYear,12,1)),1,0))</f>
        <v>0</v>
      </c>
      <c r="AA801">
        <f>SUM($O801:$Z801)</f>
        <v>0</v>
      </c>
    </row>
    <row r="802" spans="1:27">
      <c r="A802" s="42">
        <f>IF($B802="","","ACT-"&amp;TEXT(ROW()-4,"000"))</f>
        <v>0</v>
      </c>
      <c r="M802" s="43">
        <f>IF(COUNTA($B802:$K802)=0,"",IF($B802="","Missing activity name",IF($C802="","Missing practice",IF(COUNTIF(PracticeNames,$C802)=0,"Practice not in Lists",IF($D802="","Missing motion",IF(NOT(ISNUMBER($F802)),"Missing or invalid start date",IF(AND(ISNUMBER($G802),$G802&lt;$F802),"End date before start",IF(AND($N802=1,$AA802=0),"Outside planning year","OK"))))))))</f>
        <v>0</v>
      </c>
      <c r="N802">
        <f>IF(AND($B802&lt;&gt;"",$C802&lt;&gt;"",$D802&lt;&gt;"",ISNUMBER($F802),COUNTIF(PracticeNames,$C802)&gt;0,COUNTIF(MotionNames,$D802)&gt;0,NOT(AND(ISNUMBER($G802),$G802&lt;$F802))),IF(StatusFilter="All (excl. Cancelled)",IF($H802="Cancelled",0,1),IF(StatusFilter="All",1,IF($H802=StatusFilter,1,0))),0)</f>
        <v>0</v>
      </c>
      <c r="O802">
        <f>IF($N802=0,0,IF(AND($F802&lt;=EOMONTH(DATE(PlanYear,1,1),0),IF(ISNUMBER($G802),$G802,$F802)&gt;=DATE(PlanYear,1,1)),1,0))</f>
        <v>0</v>
      </c>
      <c r="P802">
        <f>IF($N802=0,0,IF(AND($F802&lt;=EOMONTH(DATE(PlanYear,2,1),0),IF(ISNUMBER($G802),$G802,$F802)&gt;=DATE(PlanYear,2,1)),1,0))</f>
        <v>0</v>
      </c>
      <c r="Q802">
        <f>IF($N802=0,0,IF(AND($F802&lt;=EOMONTH(DATE(PlanYear,3,1),0),IF(ISNUMBER($G802),$G802,$F802)&gt;=DATE(PlanYear,3,1)),1,0))</f>
        <v>0</v>
      </c>
      <c r="R802">
        <f>IF($N802=0,0,IF(AND($F802&lt;=EOMONTH(DATE(PlanYear,4,1),0),IF(ISNUMBER($G802),$G802,$F802)&gt;=DATE(PlanYear,4,1)),1,0))</f>
        <v>0</v>
      </c>
      <c r="S802">
        <f>IF($N802=0,0,IF(AND($F802&lt;=EOMONTH(DATE(PlanYear,5,1),0),IF(ISNUMBER($G802),$G802,$F802)&gt;=DATE(PlanYear,5,1)),1,0))</f>
        <v>0</v>
      </c>
      <c r="T802">
        <f>IF($N802=0,0,IF(AND($F802&lt;=EOMONTH(DATE(PlanYear,6,1),0),IF(ISNUMBER($G802),$G802,$F802)&gt;=DATE(PlanYear,6,1)),1,0))</f>
        <v>0</v>
      </c>
      <c r="U802">
        <f>IF($N802=0,0,IF(AND($F802&lt;=EOMONTH(DATE(PlanYear,7,1),0),IF(ISNUMBER($G802),$G802,$F802)&gt;=DATE(PlanYear,7,1)),1,0))</f>
        <v>0</v>
      </c>
      <c r="V802">
        <f>IF($N802=0,0,IF(AND($F802&lt;=EOMONTH(DATE(PlanYear,8,1),0),IF(ISNUMBER($G802),$G802,$F802)&gt;=DATE(PlanYear,8,1)),1,0))</f>
        <v>0</v>
      </c>
      <c r="W802">
        <f>IF($N802=0,0,IF(AND($F802&lt;=EOMONTH(DATE(PlanYear,9,1),0),IF(ISNUMBER($G802),$G802,$F802)&gt;=DATE(PlanYear,9,1)),1,0))</f>
        <v>0</v>
      </c>
      <c r="X802">
        <f>IF($N802=0,0,IF(AND($F802&lt;=EOMONTH(DATE(PlanYear,10,1),0),IF(ISNUMBER($G802),$G802,$F802)&gt;=DATE(PlanYear,10,1)),1,0))</f>
        <v>0</v>
      </c>
      <c r="Y802">
        <f>IF($N802=0,0,IF(AND($F802&lt;=EOMONTH(DATE(PlanYear,11,1),0),IF(ISNUMBER($G802),$G802,$F802)&gt;=DATE(PlanYear,11,1)),1,0))</f>
        <v>0</v>
      </c>
      <c r="Z802">
        <f>IF($N802=0,0,IF(AND($F802&lt;=EOMONTH(DATE(PlanYear,12,1),0),IF(ISNUMBER($G802),$G802,$F802)&gt;=DATE(PlanYear,12,1)),1,0))</f>
        <v>0</v>
      </c>
      <c r="AA802">
        <f>SUM($O802:$Z802)</f>
        <v>0</v>
      </c>
    </row>
    <row r="803" spans="1:27">
      <c r="A803" s="42">
        <f>IF($B803="","","ACT-"&amp;TEXT(ROW()-4,"000"))</f>
        <v>0</v>
      </c>
      <c r="M803" s="43">
        <f>IF(COUNTA($B803:$K803)=0,"",IF($B803="","Missing activity name",IF($C803="","Missing practice",IF(COUNTIF(PracticeNames,$C803)=0,"Practice not in Lists",IF($D803="","Missing motion",IF(NOT(ISNUMBER($F803)),"Missing or invalid start date",IF(AND(ISNUMBER($G803),$G803&lt;$F803),"End date before start",IF(AND($N803=1,$AA803=0),"Outside planning year","OK"))))))))</f>
        <v>0</v>
      </c>
      <c r="N803">
        <f>IF(AND($B803&lt;&gt;"",$C803&lt;&gt;"",$D803&lt;&gt;"",ISNUMBER($F803),COUNTIF(PracticeNames,$C803)&gt;0,COUNTIF(MotionNames,$D803)&gt;0,NOT(AND(ISNUMBER($G803),$G803&lt;$F803))),IF(StatusFilter="All (excl. Cancelled)",IF($H803="Cancelled",0,1),IF(StatusFilter="All",1,IF($H803=StatusFilter,1,0))),0)</f>
        <v>0</v>
      </c>
      <c r="O803">
        <f>IF($N803=0,0,IF(AND($F803&lt;=EOMONTH(DATE(PlanYear,1,1),0),IF(ISNUMBER($G803),$G803,$F803)&gt;=DATE(PlanYear,1,1)),1,0))</f>
        <v>0</v>
      </c>
      <c r="P803">
        <f>IF($N803=0,0,IF(AND($F803&lt;=EOMONTH(DATE(PlanYear,2,1),0),IF(ISNUMBER($G803),$G803,$F803)&gt;=DATE(PlanYear,2,1)),1,0))</f>
        <v>0</v>
      </c>
      <c r="Q803">
        <f>IF($N803=0,0,IF(AND($F803&lt;=EOMONTH(DATE(PlanYear,3,1),0),IF(ISNUMBER($G803),$G803,$F803)&gt;=DATE(PlanYear,3,1)),1,0))</f>
        <v>0</v>
      </c>
      <c r="R803">
        <f>IF($N803=0,0,IF(AND($F803&lt;=EOMONTH(DATE(PlanYear,4,1),0),IF(ISNUMBER($G803),$G803,$F803)&gt;=DATE(PlanYear,4,1)),1,0))</f>
        <v>0</v>
      </c>
      <c r="S803">
        <f>IF($N803=0,0,IF(AND($F803&lt;=EOMONTH(DATE(PlanYear,5,1),0),IF(ISNUMBER($G803),$G803,$F803)&gt;=DATE(PlanYear,5,1)),1,0))</f>
        <v>0</v>
      </c>
      <c r="T803">
        <f>IF($N803=0,0,IF(AND($F803&lt;=EOMONTH(DATE(PlanYear,6,1),0),IF(ISNUMBER($G803),$G803,$F803)&gt;=DATE(PlanYear,6,1)),1,0))</f>
        <v>0</v>
      </c>
      <c r="U803">
        <f>IF($N803=0,0,IF(AND($F803&lt;=EOMONTH(DATE(PlanYear,7,1),0),IF(ISNUMBER($G803),$G803,$F803)&gt;=DATE(PlanYear,7,1)),1,0))</f>
        <v>0</v>
      </c>
      <c r="V803">
        <f>IF($N803=0,0,IF(AND($F803&lt;=EOMONTH(DATE(PlanYear,8,1),0),IF(ISNUMBER($G803),$G803,$F803)&gt;=DATE(PlanYear,8,1)),1,0))</f>
        <v>0</v>
      </c>
      <c r="W803">
        <f>IF($N803=0,0,IF(AND($F803&lt;=EOMONTH(DATE(PlanYear,9,1),0),IF(ISNUMBER($G803),$G803,$F803)&gt;=DATE(PlanYear,9,1)),1,0))</f>
        <v>0</v>
      </c>
      <c r="X803">
        <f>IF($N803=0,0,IF(AND($F803&lt;=EOMONTH(DATE(PlanYear,10,1),0),IF(ISNUMBER($G803),$G803,$F803)&gt;=DATE(PlanYear,10,1)),1,0))</f>
        <v>0</v>
      </c>
      <c r="Y803">
        <f>IF($N803=0,0,IF(AND($F803&lt;=EOMONTH(DATE(PlanYear,11,1),0),IF(ISNUMBER($G803),$G803,$F803)&gt;=DATE(PlanYear,11,1)),1,0))</f>
        <v>0</v>
      </c>
      <c r="Z803">
        <f>IF($N803=0,0,IF(AND($F803&lt;=EOMONTH(DATE(PlanYear,12,1),0),IF(ISNUMBER($G803),$G803,$F803)&gt;=DATE(PlanYear,12,1)),1,0))</f>
        <v>0</v>
      </c>
      <c r="AA803">
        <f>SUM($O803:$Z803)</f>
        <v>0</v>
      </c>
    </row>
    <row r="804" spans="1:27">
      <c r="A804" s="42">
        <f>IF($B804="","","ACT-"&amp;TEXT(ROW()-4,"000"))</f>
        <v>0</v>
      </c>
      <c r="M804" s="43">
        <f>IF(COUNTA($B804:$K804)=0,"",IF($B804="","Missing activity name",IF($C804="","Missing practice",IF(COUNTIF(PracticeNames,$C804)=0,"Practice not in Lists",IF($D804="","Missing motion",IF(NOT(ISNUMBER($F804)),"Missing or invalid start date",IF(AND(ISNUMBER($G804),$G804&lt;$F804),"End date before start",IF(AND($N804=1,$AA804=0),"Outside planning year","OK"))))))))</f>
        <v>0</v>
      </c>
      <c r="N804">
        <f>IF(AND($B804&lt;&gt;"",$C804&lt;&gt;"",$D804&lt;&gt;"",ISNUMBER($F804),COUNTIF(PracticeNames,$C804)&gt;0,COUNTIF(MotionNames,$D804)&gt;0,NOT(AND(ISNUMBER($G804),$G804&lt;$F804))),IF(StatusFilter="All (excl. Cancelled)",IF($H804="Cancelled",0,1),IF(StatusFilter="All",1,IF($H804=StatusFilter,1,0))),0)</f>
        <v>0</v>
      </c>
      <c r="O804">
        <f>IF($N804=0,0,IF(AND($F804&lt;=EOMONTH(DATE(PlanYear,1,1),0),IF(ISNUMBER($G804),$G804,$F804)&gt;=DATE(PlanYear,1,1)),1,0))</f>
        <v>0</v>
      </c>
      <c r="P804">
        <f>IF($N804=0,0,IF(AND($F804&lt;=EOMONTH(DATE(PlanYear,2,1),0),IF(ISNUMBER($G804),$G804,$F804)&gt;=DATE(PlanYear,2,1)),1,0))</f>
        <v>0</v>
      </c>
      <c r="Q804">
        <f>IF($N804=0,0,IF(AND($F804&lt;=EOMONTH(DATE(PlanYear,3,1),0),IF(ISNUMBER($G804),$G804,$F804)&gt;=DATE(PlanYear,3,1)),1,0))</f>
        <v>0</v>
      </c>
      <c r="R804">
        <f>IF($N804=0,0,IF(AND($F804&lt;=EOMONTH(DATE(PlanYear,4,1),0),IF(ISNUMBER($G804),$G804,$F804)&gt;=DATE(PlanYear,4,1)),1,0))</f>
        <v>0</v>
      </c>
      <c r="S804">
        <f>IF($N804=0,0,IF(AND($F804&lt;=EOMONTH(DATE(PlanYear,5,1),0),IF(ISNUMBER($G804),$G804,$F804)&gt;=DATE(PlanYear,5,1)),1,0))</f>
        <v>0</v>
      </c>
      <c r="T804">
        <f>IF($N804=0,0,IF(AND($F804&lt;=EOMONTH(DATE(PlanYear,6,1),0),IF(ISNUMBER($G804),$G804,$F804)&gt;=DATE(PlanYear,6,1)),1,0))</f>
        <v>0</v>
      </c>
      <c r="U804">
        <f>IF($N804=0,0,IF(AND($F804&lt;=EOMONTH(DATE(PlanYear,7,1),0),IF(ISNUMBER($G804),$G804,$F804)&gt;=DATE(PlanYear,7,1)),1,0))</f>
        <v>0</v>
      </c>
      <c r="V804">
        <f>IF($N804=0,0,IF(AND($F804&lt;=EOMONTH(DATE(PlanYear,8,1),0),IF(ISNUMBER($G804),$G804,$F804)&gt;=DATE(PlanYear,8,1)),1,0))</f>
        <v>0</v>
      </c>
      <c r="W804">
        <f>IF($N804=0,0,IF(AND($F804&lt;=EOMONTH(DATE(PlanYear,9,1),0),IF(ISNUMBER($G804),$G804,$F804)&gt;=DATE(PlanYear,9,1)),1,0))</f>
        <v>0</v>
      </c>
      <c r="X804">
        <f>IF($N804=0,0,IF(AND($F804&lt;=EOMONTH(DATE(PlanYear,10,1),0),IF(ISNUMBER($G804),$G804,$F804)&gt;=DATE(PlanYear,10,1)),1,0))</f>
        <v>0</v>
      </c>
      <c r="Y804">
        <f>IF($N804=0,0,IF(AND($F804&lt;=EOMONTH(DATE(PlanYear,11,1),0),IF(ISNUMBER($G804),$G804,$F804)&gt;=DATE(PlanYear,11,1)),1,0))</f>
        <v>0</v>
      </c>
      <c r="Z804">
        <f>IF($N804=0,0,IF(AND($F804&lt;=EOMONTH(DATE(PlanYear,12,1),0),IF(ISNUMBER($G804),$G804,$F804)&gt;=DATE(PlanYear,12,1)),1,0))</f>
        <v>0</v>
      </c>
      <c r="AA804">
        <f>SUM($O804:$Z804)</f>
        <v>0</v>
      </c>
    </row>
    <row r="805" spans="1:27">
      <c r="A805" s="42">
        <f>IF($B805="","","ACT-"&amp;TEXT(ROW()-4,"000"))</f>
        <v>0</v>
      </c>
      <c r="M805" s="43">
        <f>IF(COUNTA($B805:$K805)=0,"",IF($B805="","Missing activity name",IF($C805="","Missing practice",IF(COUNTIF(PracticeNames,$C805)=0,"Practice not in Lists",IF($D805="","Missing motion",IF(NOT(ISNUMBER($F805)),"Missing or invalid start date",IF(AND(ISNUMBER($G805),$G805&lt;$F805),"End date before start",IF(AND($N805=1,$AA805=0),"Outside planning year","OK"))))))))</f>
        <v>0</v>
      </c>
      <c r="N805">
        <f>IF(AND($B805&lt;&gt;"",$C805&lt;&gt;"",$D805&lt;&gt;"",ISNUMBER($F805),COUNTIF(PracticeNames,$C805)&gt;0,COUNTIF(MotionNames,$D805)&gt;0,NOT(AND(ISNUMBER($G805),$G805&lt;$F805))),IF(StatusFilter="All (excl. Cancelled)",IF($H805="Cancelled",0,1),IF(StatusFilter="All",1,IF($H805=StatusFilter,1,0))),0)</f>
        <v>0</v>
      </c>
      <c r="O805">
        <f>IF($N805=0,0,IF(AND($F805&lt;=EOMONTH(DATE(PlanYear,1,1),0),IF(ISNUMBER($G805),$G805,$F805)&gt;=DATE(PlanYear,1,1)),1,0))</f>
        <v>0</v>
      </c>
      <c r="P805">
        <f>IF($N805=0,0,IF(AND($F805&lt;=EOMONTH(DATE(PlanYear,2,1),0),IF(ISNUMBER($G805),$G805,$F805)&gt;=DATE(PlanYear,2,1)),1,0))</f>
        <v>0</v>
      </c>
      <c r="Q805">
        <f>IF($N805=0,0,IF(AND($F805&lt;=EOMONTH(DATE(PlanYear,3,1),0),IF(ISNUMBER($G805),$G805,$F805)&gt;=DATE(PlanYear,3,1)),1,0))</f>
        <v>0</v>
      </c>
      <c r="R805">
        <f>IF($N805=0,0,IF(AND($F805&lt;=EOMONTH(DATE(PlanYear,4,1),0),IF(ISNUMBER($G805),$G805,$F805)&gt;=DATE(PlanYear,4,1)),1,0))</f>
        <v>0</v>
      </c>
      <c r="S805">
        <f>IF($N805=0,0,IF(AND($F805&lt;=EOMONTH(DATE(PlanYear,5,1),0),IF(ISNUMBER($G805),$G805,$F805)&gt;=DATE(PlanYear,5,1)),1,0))</f>
        <v>0</v>
      </c>
      <c r="T805">
        <f>IF($N805=0,0,IF(AND($F805&lt;=EOMONTH(DATE(PlanYear,6,1),0),IF(ISNUMBER($G805),$G805,$F805)&gt;=DATE(PlanYear,6,1)),1,0))</f>
        <v>0</v>
      </c>
      <c r="U805">
        <f>IF($N805=0,0,IF(AND($F805&lt;=EOMONTH(DATE(PlanYear,7,1),0),IF(ISNUMBER($G805),$G805,$F805)&gt;=DATE(PlanYear,7,1)),1,0))</f>
        <v>0</v>
      </c>
      <c r="V805">
        <f>IF($N805=0,0,IF(AND($F805&lt;=EOMONTH(DATE(PlanYear,8,1),0),IF(ISNUMBER($G805),$G805,$F805)&gt;=DATE(PlanYear,8,1)),1,0))</f>
        <v>0</v>
      </c>
      <c r="W805">
        <f>IF($N805=0,0,IF(AND($F805&lt;=EOMONTH(DATE(PlanYear,9,1),0),IF(ISNUMBER($G805),$G805,$F805)&gt;=DATE(PlanYear,9,1)),1,0))</f>
        <v>0</v>
      </c>
      <c r="X805">
        <f>IF($N805=0,0,IF(AND($F805&lt;=EOMONTH(DATE(PlanYear,10,1),0),IF(ISNUMBER($G805),$G805,$F805)&gt;=DATE(PlanYear,10,1)),1,0))</f>
        <v>0</v>
      </c>
      <c r="Y805">
        <f>IF($N805=0,0,IF(AND($F805&lt;=EOMONTH(DATE(PlanYear,11,1),0),IF(ISNUMBER($G805),$G805,$F805)&gt;=DATE(PlanYear,11,1)),1,0))</f>
        <v>0</v>
      </c>
      <c r="Z805">
        <f>IF($N805=0,0,IF(AND($F805&lt;=EOMONTH(DATE(PlanYear,12,1),0),IF(ISNUMBER($G805),$G805,$F805)&gt;=DATE(PlanYear,12,1)),1,0))</f>
        <v>0</v>
      </c>
      <c r="AA805">
        <f>SUM($O805:$Z805)</f>
        <v>0</v>
      </c>
    </row>
    <row r="806" spans="1:27">
      <c r="A806" s="42">
        <f>IF($B806="","","ACT-"&amp;TEXT(ROW()-4,"000"))</f>
        <v>0</v>
      </c>
      <c r="M806" s="43">
        <f>IF(COUNTA($B806:$K806)=0,"",IF($B806="","Missing activity name",IF($C806="","Missing practice",IF(COUNTIF(PracticeNames,$C806)=0,"Practice not in Lists",IF($D806="","Missing motion",IF(NOT(ISNUMBER($F806)),"Missing or invalid start date",IF(AND(ISNUMBER($G806),$G806&lt;$F806),"End date before start",IF(AND($N806=1,$AA806=0),"Outside planning year","OK"))))))))</f>
        <v>0</v>
      </c>
      <c r="N806">
        <f>IF(AND($B806&lt;&gt;"",$C806&lt;&gt;"",$D806&lt;&gt;"",ISNUMBER($F806),COUNTIF(PracticeNames,$C806)&gt;0,COUNTIF(MotionNames,$D806)&gt;0,NOT(AND(ISNUMBER($G806),$G806&lt;$F806))),IF(StatusFilter="All (excl. Cancelled)",IF($H806="Cancelled",0,1),IF(StatusFilter="All",1,IF($H806=StatusFilter,1,0))),0)</f>
        <v>0</v>
      </c>
      <c r="O806">
        <f>IF($N806=0,0,IF(AND($F806&lt;=EOMONTH(DATE(PlanYear,1,1),0),IF(ISNUMBER($G806),$G806,$F806)&gt;=DATE(PlanYear,1,1)),1,0))</f>
        <v>0</v>
      </c>
      <c r="P806">
        <f>IF($N806=0,0,IF(AND($F806&lt;=EOMONTH(DATE(PlanYear,2,1),0),IF(ISNUMBER($G806),$G806,$F806)&gt;=DATE(PlanYear,2,1)),1,0))</f>
        <v>0</v>
      </c>
      <c r="Q806">
        <f>IF($N806=0,0,IF(AND($F806&lt;=EOMONTH(DATE(PlanYear,3,1),0),IF(ISNUMBER($G806),$G806,$F806)&gt;=DATE(PlanYear,3,1)),1,0))</f>
        <v>0</v>
      </c>
      <c r="R806">
        <f>IF($N806=0,0,IF(AND($F806&lt;=EOMONTH(DATE(PlanYear,4,1),0),IF(ISNUMBER($G806),$G806,$F806)&gt;=DATE(PlanYear,4,1)),1,0))</f>
        <v>0</v>
      </c>
      <c r="S806">
        <f>IF($N806=0,0,IF(AND($F806&lt;=EOMONTH(DATE(PlanYear,5,1),0),IF(ISNUMBER($G806),$G806,$F806)&gt;=DATE(PlanYear,5,1)),1,0))</f>
        <v>0</v>
      </c>
      <c r="T806">
        <f>IF($N806=0,0,IF(AND($F806&lt;=EOMONTH(DATE(PlanYear,6,1),0),IF(ISNUMBER($G806),$G806,$F806)&gt;=DATE(PlanYear,6,1)),1,0))</f>
        <v>0</v>
      </c>
      <c r="U806">
        <f>IF($N806=0,0,IF(AND($F806&lt;=EOMONTH(DATE(PlanYear,7,1),0),IF(ISNUMBER($G806),$G806,$F806)&gt;=DATE(PlanYear,7,1)),1,0))</f>
        <v>0</v>
      </c>
      <c r="V806">
        <f>IF($N806=0,0,IF(AND($F806&lt;=EOMONTH(DATE(PlanYear,8,1),0),IF(ISNUMBER($G806),$G806,$F806)&gt;=DATE(PlanYear,8,1)),1,0))</f>
        <v>0</v>
      </c>
      <c r="W806">
        <f>IF($N806=0,0,IF(AND($F806&lt;=EOMONTH(DATE(PlanYear,9,1),0),IF(ISNUMBER($G806),$G806,$F806)&gt;=DATE(PlanYear,9,1)),1,0))</f>
        <v>0</v>
      </c>
      <c r="X806">
        <f>IF($N806=0,0,IF(AND($F806&lt;=EOMONTH(DATE(PlanYear,10,1),0),IF(ISNUMBER($G806),$G806,$F806)&gt;=DATE(PlanYear,10,1)),1,0))</f>
        <v>0</v>
      </c>
      <c r="Y806">
        <f>IF($N806=0,0,IF(AND($F806&lt;=EOMONTH(DATE(PlanYear,11,1),0),IF(ISNUMBER($G806),$G806,$F806)&gt;=DATE(PlanYear,11,1)),1,0))</f>
        <v>0</v>
      </c>
      <c r="Z806">
        <f>IF($N806=0,0,IF(AND($F806&lt;=EOMONTH(DATE(PlanYear,12,1),0),IF(ISNUMBER($G806),$G806,$F806)&gt;=DATE(PlanYear,12,1)),1,0))</f>
        <v>0</v>
      </c>
      <c r="AA806">
        <f>SUM($O806:$Z806)</f>
        <v>0</v>
      </c>
    </row>
    <row r="807" spans="1:27">
      <c r="A807" s="42">
        <f>IF($B807="","","ACT-"&amp;TEXT(ROW()-4,"000"))</f>
        <v>0</v>
      </c>
      <c r="M807" s="43">
        <f>IF(COUNTA($B807:$K807)=0,"",IF($B807="","Missing activity name",IF($C807="","Missing practice",IF(COUNTIF(PracticeNames,$C807)=0,"Practice not in Lists",IF($D807="","Missing motion",IF(NOT(ISNUMBER($F807)),"Missing or invalid start date",IF(AND(ISNUMBER($G807),$G807&lt;$F807),"End date before start",IF(AND($N807=1,$AA807=0),"Outside planning year","OK"))))))))</f>
        <v>0</v>
      </c>
      <c r="N807">
        <f>IF(AND($B807&lt;&gt;"",$C807&lt;&gt;"",$D807&lt;&gt;"",ISNUMBER($F807),COUNTIF(PracticeNames,$C807)&gt;0,COUNTIF(MotionNames,$D807)&gt;0,NOT(AND(ISNUMBER($G807),$G807&lt;$F807))),IF(StatusFilter="All (excl. Cancelled)",IF($H807="Cancelled",0,1),IF(StatusFilter="All",1,IF($H807=StatusFilter,1,0))),0)</f>
        <v>0</v>
      </c>
      <c r="O807">
        <f>IF($N807=0,0,IF(AND($F807&lt;=EOMONTH(DATE(PlanYear,1,1),0),IF(ISNUMBER($G807),$G807,$F807)&gt;=DATE(PlanYear,1,1)),1,0))</f>
        <v>0</v>
      </c>
      <c r="P807">
        <f>IF($N807=0,0,IF(AND($F807&lt;=EOMONTH(DATE(PlanYear,2,1),0),IF(ISNUMBER($G807),$G807,$F807)&gt;=DATE(PlanYear,2,1)),1,0))</f>
        <v>0</v>
      </c>
      <c r="Q807">
        <f>IF($N807=0,0,IF(AND($F807&lt;=EOMONTH(DATE(PlanYear,3,1),0),IF(ISNUMBER($G807),$G807,$F807)&gt;=DATE(PlanYear,3,1)),1,0))</f>
        <v>0</v>
      </c>
      <c r="R807">
        <f>IF($N807=0,0,IF(AND($F807&lt;=EOMONTH(DATE(PlanYear,4,1),0),IF(ISNUMBER($G807),$G807,$F807)&gt;=DATE(PlanYear,4,1)),1,0))</f>
        <v>0</v>
      </c>
      <c r="S807">
        <f>IF($N807=0,0,IF(AND($F807&lt;=EOMONTH(DATE(PlanYear,5,1),0),IF(ISNUMBER($G807),$G807,$F807)&gt;=DATE(PlanYear,5,1)),1,0))</f>
        <v>0</v>
      </c>
      <c r="T807">
        <f>IF($N807=0,0,IF(AND($F807&lt;=EOMONTH(DATE(PlanYear,6,1),0),IF(ISNUMBER($G807),$G807,$F807)&gt;=DATE(PlanYear,6,1)),1,0))</f>
        <v>0</v>
      </c>
      <c r="U807">
        <f>IF($N807=0,0,IF(AND($F807&lt;=EOMONTH(DATE(PlanYear,7,1),0),IF(ISNUMBER($G807),$G807,$F807)&gt;=DATE(PlanYear,7,1)),1,0))</f>
        <v>0</v>
      </c>
      <c r="V807">
        <f>IF($N807=0,0,IF(AND($F807&lt;=EOMONTH(DATE(PlanYear,8,1),0),IF(ISNUMBER($G807),$G807,$F807)&gt;=DATE(PlanYear,8,1)),1,0))</f>
        <v>0</v>
      </c>
      <c r="W807">
        <f>IF($N807=0,0,IF(AND($F807&lt;=EOMONTH(DATE(PlanYear,9,1),0),IF(ISNUMBER($G807),$G807,$F807)&gt;=DATE(PlanYear,9,1)),1,0))</f>
        <v>0</v>
      </c>
      <c r="X807">
        <f>IF($N807=0,0,IF(AND($F807&lt;=EOMONTH(DATE(PlanYear,10,1),0),IF(ISNUMBER($G807),$G807,$F807)&gt;=DATE(PlanYear,10,1)),1,0))</f>
        <v>0</v>
      </c>
      <c r="Y807">
        <f>IF($N807=0,0,IF(AND($F807&lt;=EOMONTH(DATE(PlanYear,11,1),0),IF(ISNUMBER($G807),$G807,$F807)&gt;=DATE(PlanYear,11,1)),1,0))</f>
        <v>0</v>
      </c>
      <c r="Z807">
        <f>IF($N807=0,0,IF(AND($F807&lt;=EOMONTH(DATE(PlanYear,12,1),0),IF(ISNUMBER($G807),$G807,$F807)&gt;=DATE(PlanYear,12,1)),1,0))</f>
        <v>0</v>
      </c>
      <c r="AA807">
        <f>SUM($O807:$Z807)</f>
        <v>0</v>
      </c>
    </row>
    <row r="808" spans="1:27">
      <c r="A808" s="42">
        <f>IF($B808="","","ACT-"&amp;TEXT(ROW()-4,"000"))</f>
        <v>0</v>
      </c>
      <c r="M808" s="43">
        <f>IF(COUNTA($B808:$K808)=0,"",IF($B808="","Missing activity name",IF($C808="","Missing practice",IF(COUNTIF(PracticeNames,$C808)=0,"Practice not in Lists",IF($D808="","Missing motion",IF(NOT(ISNUMBER($F808)),"Missing or invalid start date",IF(AND(ISNUMBER($G808),$G808&lt;$F808),"End date before start",IF(AND($N808=1,$AA808=0),"Outside planning year","OK"))))))))</f>
        <v>0</v>
      </c>
      <c r="N808">
        <f>IF(AND($B808&lt;&gt;"",$C808&lt;&gt;"",$D808&lt;&gt;"",ISNUMBER($F808),COUNTIF(PracticeNames,$C808)&gt;0,COUNTIF(MotionNames,$D808)&gt;0,NOT(AND(ISNUMBER($G808),$G808&lt;$F808))),IF(StatusFilter="All (excl. Cancelled)",IF($H808="Cancelled",0,1),IF(StatusFilter="All",1,IF($H808=StatusFilter,1,0))),0)</f>
        <v>0</v>
      </c>
      <c r="O808">
        <f>IF($N808=0,0,IF(AND($F808&lt;=EOMONTH(DATE(PlanYear,1,1),0),IF(ISNUMBER($G808),$G808,$F808)&gt;=DATE(PlanYear,1,1)),1,0))</f>
        <v>0</v>
      </c>
      <c r="P808">
        <f>IF($N808=0,0,IF(AND($F808&lt;=EOMONTH(DATE(PlanYear,2,1),0),IF(ISNUMBER($G808),$G808,$F808)&gt;=DATE(PlanYear,2,1)),1,0))</f>
        <v>0</v>
      </c>
      <c r="Q808">
        <f>IF($N808=0,0,IF(AND($F808&lt;=EOMONTH(DATE(PlanYear,3,1),0),IF(ISNUMBER($G808),$G808,$F808)&gt;=DATE(PlanYear,3,1)),1,0))</f>
        <v>0</v>
      </c>
      <c r="R808">
        <f>IF($N808=0,0,IF(AND($F808&lt;=EOMONTH(DATE(PlanYear,4,1),0),IF(ISNUMBER($G808),$G808,$F808)&gt;=DATE(PlanYear,4,1)),1,0))</f>
        <v>0</v>
      </c>
      <c r="S808">
        <f>IF($N808=0,0,IF(AND($F808&lt;=EOMONTH(DATE(PlanYear,5,1),0),IF(ISNUMBER($G808),$G808,$F808)&gt;=DATE(PlanYear,5,1)),1,0))</f>
        <v>0</v>
      </c>
      <c r="T808">
        <f>IF($N808=0,0,IF(AND($F808&lt;=EOMONTH(DATE(PlanYear,6,1),0),IF(ISNUMBER($G808),$G808,$F808)&gt;=DATE(PlanYear,6,1)),1,0))</f>
        <v>0</v>
      </c>
      <c r="U808">
        <f>IF($N808=0,0,IF(AND($F808&lt;=EOMONTH(DATE(PlanYear,7,1),0),IF(ISNUMBER($G808),$G808,$F808)&gt;=DATE(PlanYear,7,1)),1,0))</f>
        <v>0</v>
      </c>
      <c r="V808">
        <f>IF($N808=0,0,IF(AND($F808&lt;=EOMONTH(DATE(PlanYear,8,1),0),IF(ISNUMBER($G808),$G808,$F808)&gt;=DATE(PlanYear,8,1)),1,0))</f>
        <v>0</v>
      </c>
      <c r="W808">
        <f>IF($N808=0,0,IF(AND($F808&lt;=EOMONTH(DATE(PlanYear,9,1),0),IF(ISNUMBER($G808),$G808,$F808)&gt;=DATE(PlanYear,9,1)),1,0))</f>
        <v>0</v>
      </c>
      <c r="X808">
        <f>IF($N808=0,0,IF(AND($F808&lt;=EOMONTH(DATE(PlanYear,10,1),0),IF(ISNUMBER($G808),$G808,$F808)&gt;=DATE(PlanYear,10,1)),1,0))</f>
        <v>0</v>
      </c>
      <c r="Y808">
        <f>IF($N808=0,0,IF(AND($F808&lt;=EOMONTH(DATE(PlanYear,11,1),0),IF(ISNUMBER($G808),$G808,$F808)&gt;=DATE(PlanYear,11,1)),1,0))</f>
        <v>0</v>
      </c>
      <c r="Z808">
        <f>IF($N808=0,0,IF(AND($F808&lt;=EOMONTH(DATE(PlanYear,12,1),0),IF(ISNUMBER($G808),$G808,$F808)&gt;=DATE(PlanYear,12,1)),1,0))</f>
        <v>0</v>
      </c>
      <c r="AA808">
        <f>SUM($O808:$Z808)</f>
        <v>0</v>
      </c>
    </row>
    <row r="809" spans="1:27">
      <c r="A809" s="42">
        <f>IF($B809="","","ACT-"&amp;TEXT(ROW()-4,"000"))</f>
        <v>0</v>
      </c>
      <c r="M809" s="43">
        <f>IF(COUNTA($B809:$K809)=0,"",IF($B809="","Missing activity name",IF($C809="","Missing practice",IF(COUNTIF(PracticeNames,$C809)=0,"Practice not in Lists",IF($D809="","Missing motion",IF(NOT(ISNUMBER($F809)),"Missing or invalid start date",IF(AND(ISNUMBER($G809),$G809&lt;$F809),"End date before start",IF(AND($N809=1,$AA809=0),"Outside planning year","OK"))))))))</f>
        <v>0</v>
      </c>
      <c r="N809">
        <f>IF(AND($B809&lt;&gt;"",$C809&lt;&gt;"",$D809&lt;&gt;"",ISNUMBER($F809),COUNTIF(PracticeNames,$C809)&gt;0,COUNTIF(MotionNames,$D809)&gt;0,NOT(AND(ISNUMBER($G809),$G809&lt;$F809))),IF(StatusFilter="All (excl. Cancelled)",IF($H809="Cancelled",0,1),IF(StatusFilter="All",1,IF($H809=StatusFilter,1,0))),0)</f>
        <v>0</v>
      </c>
      <c r="O809">
        <f>IF($N809=0,0,IF(AND($F809&lt;=EOMONTH(DATE(PlanYear,1,1),0),IF(ISNUMBER($G809),$G809,$F809)&gt;=DATE(PlanYear,1,1)),1,0))</f>
        <v>0</v>
      </c>
      <c r="P809">
        <f>IF($N809=0,0,IF(AND($F809&lt;=EOMONTH(DATE(PlanYear,2,1),0),IF(ISNUMBER($G809),$G809,$F809)&gt;=DATE(PlanYear,2,1)),1,0))</f>
        <v>0</v>
      </c>
      <c r="Q809">
        <f>IF($N809=0,0,IF(AND($F809&lt;=EOMONTH(DATE(PlanYear,3,1),0),IF(ISNUMBER($G809),$G809,$F809)&gt;=DATE(PlanYear,3,1)),1,0))</f>
        <v>0</v>
      </c>
      <c r="R809">
        <f>IF($N809=0,0,IF(AND($F809&lt;=EOMONTH(DATE(PlanYear,4,1),0),IF(ISNUMBER($G809),$G809,$F809)&gt;=DATE(PlanYear,4,1)),1,0))</f>
        <v>0</v>
      </c>
      <c r="S809">
        <f>IF($N809=0,0,IF(AND($F809&lt;=EOMONTH(DATE(PlanYear,5,1),0),IF(ISNUMBER($G809),$G809,$F809)&gt;=DATE(PlanYear,5,1)),1,0))</f>
        <v>0</v>
      </c>
      <c r="T809">
        <f>IF($N809=0,0,IF(AND($F809&lt;=EOMONTH(DATE(PlanYear,6,1),0),IF(ISNUMBER($G809),$G809,$F809)&gt;=DATE(PlanYear,6,1)),1,0))</f>
        <v>0</v>
      </c>
      <c r="U809">
        <f>IF($N809=0,0,IF(AND($F809&lt;=EOMONTH(DATE(PlanYear,7,1),0),IF(ISNUMBER($G809),$G809,$F809)&gt;=DATE(PlanYear,7,1)),1,0))</f>
        <v>0</v>
      </c>
      <c r="V809">
        <f>IF($N809=0,0,IF(AND($F809&lt;=EOMONTH(DATE(PlanYear,8,1),0),IF(ISNUMBER($G809),$G809,$F809)&gt;=DATE(PlanYear,8,1)),1,0))</f>
        <v>0</v>
      </c>
      <c r="W809">
        <f>IF($N809=0,0,IF(AND($F809&lt;=EOMONTH(DATE(PlanYear,9,1),0),IF(ISNUMBER($G809),$G809,$F809)&gt;=DATE(PlanYear,9,1)),1,0))</f>
        <v>0</v>
      </c>
      <c r="X809">
        <f>IF($N809=0,0,IF(AND($F809&lt;=EOMONTH(DATE(PlanYear,10,1),0),IF(ISNUMBER($G809),$G809,$F809)&gt;=DATE(PlanYear,10,1)),1,0))</f>
        <v>0</v>
      </c>
      <c r="Y809">
        <f>IF($N809=0,0,IF(AND($F809&lt;=EOMONTH(DATE(PlanYear,11,1),0),IF(ISNUMBER($G809),$G809,$F809)&gt;=DATE(PlanYear,11,1)),1,0))</f>
        <v>0</v>
      </c>
      <c r="Z809">
        <f>IF($N809=0,0,IF(AND($F809&lt;=EOMONTH(DATE(PlanYear,12,1),0),IF(ISNUMBER($G809),$G809,$F809)&gt;=DATE(PlanYear,12,1)),1,0))</f>
        <v>0</v>
      </c>
      <c r="AA809">
        <f>SUM($O809:$Z809)</f>
        <v>0</v>
      </c>
    </row>
    <row r="810" spans="1:27">
      <c r="A810" s="42">
        <f>IF($B810="","","ACT-"&amp;TEXT(ROW()-4,"000"))</f>
        <v>0</v>
      </c>
      <c r="M810" s="43">
        <f>IF(COUNTA($B810:$K810)=0,"",IF($B810="","Missing activity name",IF($C810="","Missing practice",IF(COUNTIF(PracticeNames,$C810)=0,"Practice not in Lists",IF($D810="","Missing motion",IF(NOT(ISNUMBER($F810)),"Missing or invalid start date",IF(AND(ISNUMBER($G810),$G810&lt;$F810),"End date before start",IF(AND($N810=1,$AA810=0),"Outside planning year","OK"))))))))</f>
        <v>0</v>
      </c>
      <c r="N810">
        <f>IF(AND($B810&lt;&gt;"",$C810&lt;&gt;"",$D810&lt;&gt;"",ISNUMBER($F810),COUNTIF(PracticeNames,$C810)&gt;0,COUNTIF(MotionNames,$D810)&gt;0,NOT(AND(ISNUMBER($G810),$G810&lt;$F810))),IF(StatusFilter="All (excl. Cancelled)",IF($H810="Cancelled",0,1),IF(StatusFilter="All",1,IF($H810=StatusFilter,1,0))),0)</f>
        <v>0</v>
      </c>
      <c r="O810">
        <f>IF($N810=0,0,IF(AND($F810&lt;=EOMONTH(DATE(PlanYear,1,1),0),IF(ISNUMBER($G810),$G810,$F810)&gt;=DATE(PlanYear,1,1)),1,0))</f>
        <v>0</v>
      </c>
      <c r="P810">
        <f>IF($N810=0,0,IF(AND($F810&lt;=EOMONTH(DATE(PlanYear,2,1),0),IF(ISNUMBER($G810),$G810,$F810)&gt;=DATE(PlanYear,2,1)),1,0))</f>
        <v>0</v>
      </c>
      <c r="Q810">
        <f>IF($N810=0,0,IF(AND($F810&lt;=EOMONTH(DATE(PlanYear,3,1),0),IF(ISNUMBER($G810),$G810,$F810)&gt;=DATE(PlanYear,3,1)),1,0))</f>
        <v>0</v>
      </c>
      <c r="R810">
        <f>IF($N810=0,0,IF(AND($F810&lt;=EOMONTH(DATE(PlanYear,4,1),0),IF(ISNUMBER($G810),$G810,$F810)&gt;=DATE(PlanYear,4,1)),1,0))</f>
        <v>0</v>
      </c>
      <c r="S810">
        <f>IF($N810=0,0,IF(AND($F810&lt;=EOMONTH(DATE(PlanYear,5,1),0),IF(ISNUMBER($G810),$G810,$F810)&gt;=DATE(PlanYear,5,1)),1,0))</f>
        <v>0</v>
      </c>
      <c r="T810">
        <f>IF($N810=0,0,IF(AND($F810&lt;=EOMONTH(DATE(PlanYear,6,1),0),IF(ISNUMBER($G810),$G810,$F810)&gt;=DATE(PlanYear,6,1)),1,0))</f>
        <v>0</v>
      </c>
      <c r="U810">
        <f>IF($N810=0,0,IF(AND($F810&lt;=EOMONTH(DATE(PlanYear,7,1),0),IF(ISNUMBER($G810),$G810,$F810)&gt;=DATE(PlanYear,7,1)),1,0))</f>
        <v>0</v>
      </c>
      <c r="V810">
        <f>IF($N810=0,0,IF(AND($F810&lt;=EOMONTH(DATE(PlanYear,8,1),0),IF(ISNUMBER($G810),$G810,$F810)&gt;=DATE(PlanYear,8,1)),1,0))</f>
        <v>0</v>
      </c>
      <c r="W810">
        <f>IF($N810=0,0,IF(AND($F810&lt;=EOMONTH(DATE(PlanYear,9,1),0),IF(ISNUMBER($G810),$G810,$F810)&gt;=DATE(PlanYear,9,1)),1,0))</f>
        <v>0</v>
      </c>
      <c r="X810">
        <f>IF($N810=0,0,IF(AND($F810&lt;=EOMONTH(DATE(PlanYear,10,1),0),IF(ISNUMBER($G810),$G810,$F810)&gt;=DATE(PlanYear,10,1)),1,0))</f>
        <v>0</v>
      </c>
      <c r="Y810">
        <f>IF($N810=0,0,IF(AND($F810&lt;=EOMONTH(DATE(PlanYear,11,1),0),IF(ISNUMBER($G810),$G810,$F810)&gt;=DATE(PlanYear,11,1)),1,0))</f>
        <v>0</v>
      </c>
      <c r="Z810">
        <f>IF($N810=0,0,IF(AND($F810&lt;=EOMONTH(DATE(PlanYear,12,1),0),IF(ISNUMBER($G810),$G810,$F810)&gt;=DATE(PlanYear,12,1)),1,0))</f>
        <v>0</v>
      </c>
      <c r="AA810">
        <f>SUM($O810:$Z810)</f>
        <v>0</v>
      </c>
    </row>
    <row r="811" spans="1:27">
      <c r="A811" s="42">
        <f>IF($B811="","","ACT-"&amp;TEXT(ROW()-4,"000"))</f>
        <v>0</v>
      </c>
      <c r="M811" s="43">
        <f>IF(COUNTA($B811:$K811)=0,"",IF($B811="","Missing activity name",IF($C811="","Missing practice",IF(COUNTIF(PracticeNames,$C811)=0,"Practice not in Lists",IF($D811="","Missing motion",IF(NOT(ISNUMBER($F811)),"Missing or invalid start date",IF(AND(ISNUMBER($G811),$G811&lt;$F811),"End date before start",IF(AND($N811=1,$AA811=0),"Outside planning year","OK"))))))))</f>
        <v>0</v>
      </c>
      <c r="N811">
        <f>IF(AND($B811&lt;&gt;"",$C811&lt;&gt;"",$D811&lt;&gt;"",ISNUMBER($F811),COUNTIF(PracticeNames,$C811)&gt;0,COUNTIF(MotionNames,$D811)&gt;0,NOT(AND(ISNUMBER($G811),$G811&lt;$F811))),IF(StatusFilter="All (excl. Cancelled)",IF($H811="Cancelled",0,1),IF(StatusFilter="All",1,IF($H811=StatusFilter,1,0))),0)</f>
        <v>0</v>
      </c>
      <c r="O811">
        <f>IF($N811=0,0,IF(AND($F811&lt;=EOMONTH(DATE(PlanYear,1,1),0),IF(ISNUMBER($G811),$G811,$F811)&gt;=DATE(PlanYear,1,1)),1,0))</f>
        <v>0</v>
      </c>
      <c r="P811">
        <f>IF($N811=0,0,IF(AND($F811&lt;=EOMONTH(DATE(PlanYear,2,1),0),IF(ISNUMBER($G811),$G811,$F811)&gt;=DATE(PlanYear,2,1)),1,0))</f>
        <v>0</v>
      </c>
      <c r="Q811">
        <f>IF($N811=0,0,IF(AND($F811&lt;=EOMONTH(DATE(PlanYear,3,1),0),IF(ISNUMBER($G811),$G811,$F811)&gt;=DATE(PlanYear,3,1)),1,0))</f>
        <v>0</v>
      </c>
      <c r="R811">
        <f>IF($N811=0,0,IF(AND($F811&lt;=EOMONTH(DATE(PlanYear,4,1),0),IF(ISNUMBER($G811),$G811,$F811)&gt;=DATE(PlanYear,4,1)),1,0))</f>
        <v>0</v>
      </c>
      <c r="S811">
        <f>IF($N811=0,0,IF(AND($F811&lt;=EOMONTH(DATE(PlanYear,5,1),0),IF(ISNUMBER($G811),$G811,$F811)&gt;=DATE(PlanYear,5,1)),1,0))</f>
        <v>0</v>
      </c>
      <c r="T811">
        <f>IF($N811=0,0,IF(AND($F811&lt;=EOMONTH(DATE(PlanYear,6,1),0),IF(ISNUMBER($G811),$G811,$F811)&gt;=DATE(PlanYear,6,1)),1,0))</f>
        <v>0</v>
      </c>
      <c r="U811">
        <f>IF($N811=0,0,IF(AND($F811&lt;=EOMONTH(DATE(PlanYear,7,1),0),IF(ISNUMBER($G811),$G811,$F811)&gt;=DATE(PlanYear,7,1)),1,0))</f>
        <v>0</v>
      </c>
      <c r="V811">
        <f>IF($N811=0,0,IF(AND($F811&lt;=EOMONTH(DATE(PlanYear,8,1),0),IF(ISNUMBER($G811),$G811,$F811)&gt;=DATE(PlanYear,8,1)),1,0))</f>
        <v>0</v>
      </c>
      <c r="W811">
        <f>IF($N811=0,0,IF(AND($F811&lt;=EOMONTH(DATE(PlanYear,9,1),0),IF(ISNUMBER($G811),$G811,$F811)&gt;=DATE(PlanYear,9,1)),1,0))</f>
        <v>0</v>
      </c>
      <c r="X811">
        <f>IF($N811=0,0,IF(AND($F811&lt;=EOMONTH(DATE(PlanYear,10,1),0),IF(ISNUMBER($G811),$G811,$F811)&gt;=DATE(PlanYear,10,1)),1,0))</f>
        <v>0</v>
      </c>
      <c r="Y811">
        <f>IF($N811=0,0,IF(AND($F811&lt;=EOMONTH(DATE(PlanYear,11,1),0),IF(ISNUMBER($G811),$G811,$F811)&gt;=DATE(PlanYear,11,1)),1,0))</f>
        <v>0</v>
      </c>
      <c r="Z811">
        <f>IF($N811=0,0,IF(AND($F811&lt;=EOMONTH(DATE(PlanYear,12,1),0),IF(ISNUMBER($G811),$G811,$F811)&gt;=DATE(PlanYear,12,1)),1,0))</f>
        <v>0</v>
      </c>
      <c r="AA811">
        <f>SUM($O811:$Z811)</f>
        <v>0</v>
      </c>
    </row>
    <row r="812" spans="1:27">
      <c r="A812" s="42">
        <f>IF($B812="","","ACT-"&amp;TEXT(ROW()-4,"000"))</f>
        <v>0</v>
      </c>
      <c r="M812" s="43">
        <f>IF(COUNTA($B812:$K812)=0,"",IF($B812="","Missing activity name",IF($C812="","Missing practice",IF(COUNTIF(PracticeNames,$C812)=0,"Practice not in Lists",IF($D812="","Missing motion",IF(NOT(ISNUMBER($F812)),"Missing or invalid start date",IF(AND(ISNUMBER($G812),$G812&lt;$F812),"End date before start",IF(AND($N812=1,$AA812=0),"Outside planning year","OK"))))))))</f>
        <v>0</v>
      </c>
      <c r="N812">
        <f>IF(AND($B812&lt;&gt;"",$C812&lt;&gt;"",$D812&lt;&gt;"",ISNUMBER($F812),COUNTIF(PracticeNames,$C812)&gt;0,COUNTIF(MotionNames,$D812)&gt;0,NOT(AND(ISNUMBER($G812),$G812&lt;$F812))),IF(StatusFilter="All (excl. Cancelled)",IF($H812="Cancelled",0,1),IF(StatusFilter="All",1,IF($H812=StatusFilter,1,0))),0)</f>
        <v>0</v>
      </c>
      <c r="O812">
        <f>IF($N812=0,0,IF(AND($F812&lt;=EOMONTH(DATE(PlanYear,1,1),0),IF(ISNUMBER($G812),$G812,$F812)&gt;=DATE(PlanYear,1,1)),1,0))</f>
        <v>0</v>
      </c>
      <c r="P812">
        <f>IF($N812=0,0,IF(AND($F812&lt;=EOMONTH(DATE(PlanYear,2,1),0),IF(ISNUMBER($G812),$G812,$F812)&gt;=DATE(PlanYear,2,1)),1,0))</f>
        <v>0</v>
      </c>
      <c r="Q812">
        <f>IF($N812=0,0,IF(AND($F812&lt;=EOMONTH(DATE(PlanYear,3,1),0),IF(ISNUMBER($G812),$G812,$F812)&gt;=DATE(PlanYear,3,1)),1,0))</f>
        <v>0</v>
      </c>
      <c r="R812">
        <f>IF($N812=0,0,IF(AND($F812&lt;=EOMONTH(DATE(PlanYear,4,1),0),IF(ISNUMBER($G812),$G812,$F812)&gt;=DATE(PlanYear,4,1)),1,0))</f>
        <v>0</v>
      </c>
      <c r="S812">
        <f>IF($N812=0,0,IF(AND($F812&lt;=EOMONTH(DATE(PlanYear,5,1),0),IF(ISNUMBER($G812),$G812,$F812)&gt;=DATE(PlanYear,5,1)),1,0))</f>
        <v>0</v>
      </c>
      <c r="T812">
        <f>IF($N812=0,0,IF(AND($F812&lt;=EOMONTH(DATE(PlanYear,6,1),0),IF(ISNUMBER($G812),$G812,$F812)&gt;=DATE(PlanYear,6,1)),1,0))</f>
        <v>0</v>
      </c>
      <c r="U812">
        <f>IF($N812=0,0,IF(AND($F812&lt;=EOMONTH(DATE(PlanYear,7,1),0),IF(ISNUMBER($G812),$G812,$F812)&gt;=DATE(PlanYear,7,1)),1,0))</f>
        <v>0</v>
      </c>
      <c r="V812">
        <f>IF($N812=0,0,IF(AND($F812&lt;=EOMONTH(DATE(PlanYear,8,1),0),IF(ISNUMBER($G812),$G812,$F812)&gt;=DATE(PlanYear,8,1)),1,0))</f>
        <v>0</v>
      </c>
      <c r="W812">
        <f>IF($N812=0,0,IF(AND($F812&lt;=EOMONTH(DATE(PlanYear,9,1),0),IF(ISNUMBER($G812),$G812,$F812)&gt;=DATE(PlanYear,9,1)),1,0))</f>
        <v>0</v>
      </c>
      <c r="X812">
        <f>IF($N812=0,0,IF(AND($F812&lt;=EOMONTH(DATE(PlanYear,10,1),0),IF(ISNUMBER($G812),$G812,$F812)&gt;=DATE(PlanYear,10,1)),1,0))</f>
        <v>0</v>
      </c>
      <c r="Y812">
        <f>IF($N812=0,0,IF(AND($F812&lt;=EOMONTH(DATE(PlanYear,11,1),0),IF(ISNUMBER($G812),$G812,$F812)&gt;=DATE(PlanYear,11,1)),1,0))</f>
        <v>0</v>
      </c>
      <c r="Z812">
        <f>IF($N812=0,0,IF(AND($F812&lt;=EOMONTH(DATE(PlanYear,12,1),0),IF(ISNUMBER($G812),$G812,$F812)&gt;=DATE(PlanYear,12,1)),1,0))</f>
        <v>0</v>
      </c>
      <c r="AA812">
        <f>SUM($O812:$Z812)</f>
        <v>0</v>
      </c>
    </row>
    <row r="813" spans="1:27">
      <c r="A813" s="42">
        <f>IF($B813="","","ACT-"&amp;TEXT(ROW()-4,"000"))</f>
        <v>0</v>
      </c>
      <c r="M813" s="43">
        <f>IF(COUNTA($B813:$K813)=0,"",IF($B813="","Missing activity name",IF($C813="","Missing practice",IF(COUNTIF(PracticeNames,$C813)=0,"Practice not in Lists",IF($D813="","Missing motion",IF(NOT(ISNUMBER($F813)),"Missing or invalid start date",IF(AND(ISNUMBER($G813),$G813&lt;$F813),"End date before start",IF(AND($N813=1,$AA813=0),"Outside planning year","OK"))))))))</f>
        <v>0</v>
      </c>
      <c r="N813">
        <f>IF(AND($B813&lt;&gt;"",$C813&lt;&gt;"",$D813&lt;&gt;"",ISNUMBER($F813),COUNTIF(PracticeNames,$C813)&gt;0,COUNTIF(MotionNames,$D813)&gt;0,NOT(AND(ISNUMBER($G813),$G813&lt;$F813))),IF(StatusFilter="All (excl. Cancelled)",IF($H813="Cancelled",0,1),IF(StatusFilter="All",1,IF($H813=StatusFilter,1,0))),0)</f>
        <v>0</v>
      </c>
      <c r="O813">
        <f>IF($N813=0,0,IF(AND($F813&lt;=EOMONTH(DATE(PlanYear,1,1),0),IF(ISNUMBER($G813),$G813,$F813)&gt;=DATE(PlanYear,1,1)),1,0))</f>
        <v>0</v>
      </c>
      <c r="P813">
        <f>IF($N813=0,0,IF(AND($F813&lt;=EOMONTH(DATE(PlanYear,2,1),0),IF(ISNUMBER($G813),$G813,$F813)&gt;=DATE(PlanYear,2,1)),1,0))</f>
        <v>0</v>
      </c>
      <c r="Q813">
        <f>IF($N813=0,0,IF(AND($F813&lt;=EOMONTH(DATE(PlanYear,3,1),0),IF(ISNUMBER($G813),$G813,$F813)&gt;=DATE(PlanYear,3,1)),1,0))</f>
        <v>0</v>
      </c>
      <c r="R813">
        <f>IF($N813=0,0,IF(AND($F813&lt;=EOMONTH(DATE(PlanYear,4,1),0),IF(ISNUMBER($G813),$G813,$F813)&gt;=DATE(PlanYear,4,1)),1,0))</f>
        <v>0</v>
      </c>
      <c r="S813">
        <f>IF($N813=0,0,IF(AND($F813&lt;=EOMONTH(DATE(PlanYear,5,1),0),IF(ISNUMBER($G813),$G813,$F813)&gt;=DATE(PlanYear,5,1)),1,0))</f>
        <v>0</v>
      </c>
      <c r="T813">
        <f>IF($N813=0,0,IF(AND($F813&lt;=EOMONTH(DATE(PlanYear,6,1),0),IF(ISNUMBER($G813),$G813,$F813)&gt;=DATE(PlanYear,6,1)),1,0))</f>
        <v>0</v>
      </c>
      <c r="U813">
        <f>IF($N813=0,0,IF(AND($F813&lt;=EOMONTH(DATE(PlanYear,7,1),0),IF(ISNUMBER($G813),$G813,$F813)&gt;=DATE(PlanYear,7,1)),1,0))</f>
        <v>0</v>
      </c>
      <c r="V813">
        <f>IF($N813=0,0,IF(AND($F813&lt;=EOMONTH(DATE(PlanYear,8,1),0),IF(ISNUMBER($G813),$G813,$F813)&gt;=DATE(PlanYear,8,1)),1,0))</f>
        <v>0</v>
      </c>
      <c r="W813">
        <f>IF($N813=0,0,IF(AND($F813&lt;=EOMONTH(DATE(PlanYear,9,1),0),IF(ISNUMBER($G813),$G813,$F813)&gt;=DATE(PlanYear,9,1)),1,0))</f>
        <v>0</v>
      </c>
      <c r="X813">
        <f>IF($N813=0,0,IF(AND($F813&lt;=EOMONTH(DATE(PlanYear,10,1),0),IF(ISNUMBER($G813),$G813,$F813)&gt;=DATE(PlanYear,10,1)),1,0))</f>
        <v>0</v>
      </c>
      <c r="Y813">
        <f>IF($N813=0,0,IF(AND($F813&lt;=EOMONTH(DATE(PlanYear,11,1),0),IF(ISNUMBER($G813),$G813,$F813)&gt;=DATE(PlanYear,11,1)),1,0))</f>
        <v>0</v>
      </c>
      <c r="Z813">
        <f>IF($N813=0,0,IF(AND($F813&lt;=EOMONTH(DATE(PlanYear,12,1),0),IF(ISNUMBER($G813),$G813,$F813)&gt;=DATE(PlanYear,12,1)),1,0))</f>
        <v>0</v>
      </c>
      <c r="AA813">
        <f>SUM($O813:$Z813)</f>
        <v>0</v>
      </c>
    </row>
    <row r="814" spans="1:27">
      <c r="A814" s="42">
        <f>IF($B814="","","ACT-"&amp;TEXT(ROW()-4,"000"))</f>
        <v>0</v>
      </c>
      <c r="M814" s="43">
        <f>IF(COUNTA($B814:$K814)=0,"",IF($B814="","Missing activity name",IF($C814="","Missing practice",IF(COUNTIF(PracticeNames,$C814)=0,"Practice not in Lists",IF($D814="","Missing motion",IF(NOT(ISNUMBER($F814)),"Missing or invalid start date",IF(AND(ISNUMBER($G814),$G814&lt;$F814),"End date before start",IF(AND($N814=1,$AA814=0),"Outside planning year","OK"))))))))</f>
        <v>0</v>
      </c>
      <c r="N814">
        <f>IF(AND($B814&lt;&gt;"",$C814&lt;&gt;"",$D814&lt;&gt;"",ISNUMBER($F814),COUNTIF(PracticeNames,$C814)&gt;0,COUNTIF(MotionNames,$D814)&gt;0,NOT(AND(ISNUMBER($G814),$G814&lt;$F814))),IF(StatusFilter="All (excl. Cancelled)",IF($H814="Cancelled",0,1),IF(StatusFilter="All",1,IF($H814=StatusFilter,1,0))),0)</f>
        <v>0</v>
      </c>
      <c r="O814">
        <f>IF($N814=0,0,IF(AND($F814&lt;=EOMONTH(DATE(PlanYear,1,1),0),IF(ISNUMBER($G814),$G814,$F814)&gt;=DATE(PlanYear,1,1)),1,0))</f>
        <v>0</v>
      </c>
      <c r="P814">
        <f>IF($N814=0,0,IF(AND($F814&lt;=EOMONTH(DATE(PlanYear,2,1),0),IF(ISNUMBER($G814),$G814,$F814)&gt;=DATE(PlanYear,2,1)),1,0))</f>
        <v>0</v>
      </c>
      <c r="Q814">
        <f>IF($N814=0,0,IF(AND($F814&lt;=EOMONTH(DATE(PlanYear,3,1),0),IF(ISNUMBER($G814),$G814,$F814)&gt;=DATE(PlanYear,3,1)),1,0))</f>
        <v>0</v>
      </c>
      <c r="R814">
        <f>IF($N814=0,0,IF(AND($F814&lt;=EOMONTH(DATE(PlanYear,4,1),0),IF(ISNUMBER($G814),$G814,$F814)&gt;=DATE(PlanYear,4,1)),1,0))</f>
        <v>0</v>
      </c>
      <c r="S814">
        <f>IF($N814=0,0,IF(AND($F814&lt;=EOMONTH(DATE(PlanYear,5,1),0),IF(ISNUMBER($G814),$G814,$F814)&gt;=DATE(PlanYear,5,1)),1,0))</f>
        <v>0</v>
      </c>
      <c r="T814">
        <f>IF($N814=0,0,IF(AND($F814&lt;=EOMONTH(DATE(PlanYear,6,1),0),IF(ISNUMBER($G814),$G814,$F814)&gt;=DATE(PlanYear,6,1)),1,0))</f>
        <v>0</v>
      </c>
      <c r="U814">
        <f>IF($N814=0,0,IF(AND($F814&lt;=EOMONTH(DATE(PlanYear,7,1),0),IF(ISNUMBER($G814),$G814,$F814)&gt;=DATE(PlanYear,7,1)),1,0))</f>
        <v>0</v>
      </c>
      <c r="V814">
        <f>IF($N814=0,0,IF(AND($F814&lt;=EOMONTH(DATE(PlanYear,8,1),0),IF(ISNUMBER($G814),$G814,$F814)&gt;=DATE(PlanYear,8,1)),1,0))</f>
        <v>0</v>
      </c>
      <c r="W814">
        <f>IF($N814=0,0,IF(AND($F814&lt;=EOMONTH(DATE(PlanYear,9,1),0),IF(ISNUMBER($G814),$G814,$F814)&gt;=DATE(PlanYear,9,1)),1,0))</f>
        <v>0</v>
      </c>
      <c r="X814">
        <f>IF($N814=0,0,IF(AND($F814&lt;=EOMONTH(DATE(PlanYear,10,1),0),IF(ISNUMBER($G814),$G814,$F814)&gt;=DATE(PlanYear,10,1)),1,0))</f>
        <v>0</v>
      </c>
      <c r="Y814">
        <f>IF($N814=0,0,IF(AND($F814&lt;=EOMONTH(DATE(PlanYear,11,1),0),IF(ISNUMBER($G814),$G814,$F814)&gt;=DATE(PlanYear,11,1)),1,0))</f>
        <v>0</v>
      </c>
      <c r="Z814">
        <f>IF($N814=0,0,IF(AND($F814&lt;=EOMONTH(DATE(PlanYear,12,1),0),IF(ISNUMBER($G814),$G814,$F814)&gt;=DATE(PlanYear,12,1)),1,0))</f>
        <v>0</v>
      </c>
      <c r="AA814">
        <f>SUM($O814:$Z814)</f>
        <v>0</v>
      </c>
    </row>
    <row r="815" spans="1:27">
      <c r="A815" s="42">
        <f>IF($B815="","","ACT-"&amp;TEXT(ROW()-4,"000"))</f>
        <v>0</v>
      </c>
      <c r="M815" s="43">
        <f>IF(COUNTA($B815:$K815)=0,"",IF($B815="","Missing activity name",IF($C815="","Missing practice",IF(COUNTIF(PracticeNames,$C815)=0,"Practice not in Lists",IF($D815="","Missing motion",IF(NOT(ISNUMBER($F815)),"Missing or invalid start date",IF(AND(ISNUMBER($G815),$G815&lt;$F815),"End date before start",IF(AND($N815=1,$AA815=0),"Outside planning year","OK"))))))))</f>
        <v>0</v>
      </c>
      <c r="N815">
        <f>IF(AND($B815&lt;&gt;"",$C815&lt;&gt;"",$D815&lt;&gt;"",ISNUMBER($F815),COUNTIF(PracticeNames,$C815)&gt;0,COUNTIF(MotionNames,$D815)&gt;0,NOT(AND(ISNUMBER($G815),$G815&lt;$F815))),IF(StatusFilter="All (excl. Cancelled)",IF($H815="Cancelled",0,1),IF(StatusFilter="All",1,IF($H815=StatusFilter,1,0))),0)</f>
        <v>0</v>
      </c>
      <c r="O815">
        <f>IF($N815=0,0,IF(AND($F815&lt;=EOMONTH(DATE(PlanYear,1,1),0),IF(ISNUMBER($G815),$G815,$F815)&gt;=DATE(PlanYear,1,1)),1,0))</f>
        <v>0</v>
      </c>
      <c r="P815">
        <f>IF($N815=0,0,IF(AND($F815&lt;=EOMONTH(DATE(PlanYear,2,1),0),IF(ISNUMBER($G815),$G815,$F815)&gt;=DATE(PlanYear,2,1)),1,0))</f>
        <v>0</v>
      </c>
      <c r="Q815">
        <f>IF($N815=0,0,IF(AND($F815&lt;=EOMONTH(DATE(PlanYear,3,1),0),IF(ISNUMBER($G815),$G815,$F815)&gt;=DATE(PlanYear,3,1)),1,0))</f>
        <v>0</v>
      </c>
      <c r="R815">
        <f>IF($N815=0,0,IF(AND($F815&lt;=EOMONTH(DATE(PlanYear,4,1),0),IF(ISNUMBER($G815),$G815,$F815)&gt;=DATE(PlanYear,4,1)),1,0))</f>
        <v>0</v>
      </c>
      <c r="S815">
        <f>IF($N815=0,0,IF(AND($F815&lt;=EOMONTH(DATE(PlanYear,5,1),0),IF(ISNUMBER($G815),$G815,$F815)&gt;=DATE(PlanYear,5,1)),1,0))</f>
        <v>0</v>
      </c>
      <c r="T815">
        <f>IF($N815=0,0,IF(AND($F815&lt;=EOMONTH(DATE(PlanYear,6,1),0),IF(ISNUMBER($G815),$G815,$F815)&gt;=DATE(PlanYear,6,1)),1,0))</f>
        <v>0</v>
      </c>
      <c r="U815">
        <f>IF($N815=0,0,IF(AND($F815&lt;=EOMONTH(DATE(PlanYear,7,1),0),IF(ISNUMBER($G815),$G815,$F815)&gt;=DATE(PlanYear,7,1)),1,0))</f>
        <v>0</v>
      </c>
      <c r="V815">
        <f>IF($N815=0,0,IF(AND($F815&lt;=EOMONTH(DATE(PlanYear,8,1),0),IF(ISNUMBER($G815),$G815,$F815)&gt;=DATE(PlanYear,8,1)),1,0))</f>
        <v>0</v>
      </c>
      <c r="W815">
        <f>IF($N815=0,0,IF(AND($F815&lt;=EOMONTH(DATE(PlanYear,9,1),0),IF(ISNUMBER($G815),$G815,$F815)&gt;=DATE(PlanYear,9,1)),1,0))</f>
        <v>0</v>
      </c>
      <c r="X815">
        <f>IF($N815=0,0,IF(AND($F815&lt;=EOMONTH(DATE(PlanYear,10,1),0),IF(ISNUMBER($G815),$G815,$F815)&gt;=DATE(PlanYear,10,1)),1,0))</f>
        <v>0</v>
      </c>
      <c r="Y815">
        <f>IF($N815=0,0,IF(AND($F815&lt;=EOMONTH(DATE(PlanYear,11,1),0),IF(ISNUMBER($G815),$G815,$F815)&gt;=DATE(PlanYear,11,1)),1,0))</f>
        <v>0</v>
      </c>
      <c r="Z815">
        <f>IF($N815=0,0,IF(AND($F815&lt;=EOMONTH(DATE(PlanYear,12,1),0),IF(ISNUMBER($G815),$G815,$F815)&gt;=DATE(PlanYear,12,1)),1,0))</f>
        <v>0</v>
      </c>
      <c r="AA815">
        <f>SUM($O815:$Z815)</f>
        <v>0</v>
      </c>
    </row>
    <row r="816" spans="1:27">
      <c r="A816" s="42">
        <f>IF($B816="","","ACT-"&amp;TEXT(ROW()-4,"000"))</f>
        <v>0</v>
      </c>
      <c r="M816" s="43">
        <f>IF(COUNTA($B816:$K816)=0,"",IF($B816="","Missing activity name",IF($C816="","Missing practice",IF(COUNTIF(PracticeNames,$C816)=0,"Practice not in Lists",IF($D816="","Missing motion",IF(NOT(ISNUMBER($F816)),"Missing or invalid start date",IF(AND(ISNUMBER($G816),$G816&lt;$F816),"End date before start",IF(AND($N816=1,$AA816=0),"Outside planning year","OK"))))))))</f>
        <v>0</v>
      </c>
      <c r="N816">
        <f>IF(AND($B816&lt;&gt;"",$C816&lt;&gt;"",$D816&lt;&gt;"",ISNUMBER($F816),COUNTIF(PracticeNames,$C816)&gt;0,COUNTIF(MotionNames,$D816)&gt;0,NOT(AND(ISNUMBER($G816),$G816&lt;$F816))),IF(StatusFilter="All (excl. Cancelled)",IF($H816="Cancelled",0,1),IF(StatusFilter="All",1,IF($H816=StatusFilter,1,0))),0)</f>
        <v>0</v>
      </c>
      <c r="O816">
        <f>IF($N816=0,0,IF(AND($F816&lt;=EOMONTH(DATE(PlanYear,1,1),0),IF(ISNUMBER($G816),$G816,$F816)&gt;=DATE(PlanYear,1,1)),1,0))</f>
        <v>0</v>
      </c>
      <c r="P816">
        <f>IF($N816=0,0,IF(AND($F816&lt;=EOMONTH(DATE(PlanYear,2,1),0),IF(ISNUMBER($G816),$G816,$F816)&gt;=DATE(PlanYear,2,1)),1,0))</f>
        <v>0</v>
      </c>
      <c r="Q816">
        <f>IF($N816=0,0,IF(AND($F816&lt;=EOMONTH(DATE(PlanYear,3,1),0),IF(ISNUMBER($G816),$G816,$F816)&gt;=DATE(PlanYear,3,1)),1,0))</f>
        <v>0</v>
      </c>
      <c r="R816">
        <f>IF($N816=0,0,IF(AND($F816&lt;=EOMONTH(DATE(PlanYear,4,1),0),IF(ISNUMBER($G816),$G816,$F816)&gt;=DATE(PlanYear,4,1)),1,0))</f>
        <v>0</v>
      </c>
      <c r="S816">
        <f>IF($N816=0,0,IF(AND($F816&lt;=EOMONTH(DATE(PlanYear,5,1),0),IF(ISNUMBER($G816),$G816,$F816)&gt;=DATE(PlanYear,5,1)),1,0))</f>
        <v>0</v>
      </c>
      <c r="T816">
        <f>IF($N816=0,0,IF(AND($F816&lt;=EOMONTH(DATE(PlanYear,6,1),0),IF(ISNUMBER($G816),$G816,$F816)&gt;=DATE(PlanYear,6,1)),1,0))</f>
        <v>0</v>
      </c>
      <c r="U816">
        <f>IF($N816=0,0,IF(AND($F816&lt;=EOMONTH(DATE(PlanYear,7,1),0),IF(ISNUMBER($G816),$G816,$F816)&gt;=DATE(PlanYear,7,1)),1,0))</f>
        <v>0</v>
      </c>
      <c r="V816">
        <f>IF($N816=0,0,IF(AND($F816&lt;=EOMONTH(DATE(PlanYear,8,1),0),IF(ISNUMBER($G816),$G816,$F816)&gt;=DATE(PlanYear,8,1)),1,0))</f>
        <v>0</v>
      </c>
      <c r="W816">
        <f>IF($N816=0,0,IF(AND($F816&lt;=EOMONTH(DATE(PlanYear,9,1),0),IF(ISNUMBER($G816),$G816,$F816)&gt;=DATE(PlanYear,9,1)),1,0))</f>
        <v>0</v>
      </c>
      <c r="X816">
        <f>IF($N816=0,0,IF(AND($F816&lt;=EOMONTH(DATE(PlanYear,10,1),0),IF(ISNUMBER($G816),$G816,$F816)&gt;=DATE(PlanYear,10,1)),1,0))</f>
        <v>0</v>
      </c>
      <c r="Y816">
        <f>IF($N816=0,0,IF(AND($F816&lt;=EOMONTH(DATE(PlanYear,11,1),0),IF(ISNUMBER($G816),$G816,$F816)&gt;=DATE(PlanYear,11,1)),1,0))</f>
        <v>0</v>
      </c>
      <c r="Z816">
        <f>IF($N816=0,0,IF(AND($F816&lt;=EOMONTH(DATE(PlanYear,12,1),0),IF(ISNUMBER($G816),$G816,$F816)&gt;=DATE(PlanYear,12,1)),1,0))</f>
        <v>0</v>
      </c>
      <c r="AA816">
        <f>SUM($O816:$Z816)</f>
        <v>0</v>
      </c>
    </row>
    <row r="817" spans="1:27">
      <c r="A817" s="42">
        <f>IF($B817="","","ACT-"&amp;TEXT(ROW()-4,"000"))</f>
        <v>0</v>
      </c>
      <c r="M817" s="43">
        <f>IF(COUNTA($B817:$K817)=0,"",IF($B817="","Missing activity name",IF($C817="","Missing practice",IF(COUNTIF(PracticeNames,$C817)=0,"Practice not in Lists",IF($D817="","Missing motion",IF(NOT(ISNUMBER($F817)),"Missing or invalid start date",IF(AND(ISNUMBER($G817),$G817&lt;$F817),"End date before start",IF(AND($N817=1,$AA817=0),"Outside planning year","OK"))))))))</f>
        <v>0</v>
      </c>
      <c r="N817">
        <f>IF(AND($B817&lt;&gt;"",$C817&lt;&gt;"",$D817&lt;&gt;"",ISNUMBER($F817),COUNTIF(PracticeNames,$C817)&gt;0,COUNTIF(MotionNames,$D817)&gt;0,NOT(AND(ISNUMBER($G817),$G817&lt;$F817))),IF(StatusFilter="All (excl. Cancelled)",IF($H817="Cancelled",0,1),IF(StatusFilter="All",1,IF($H817=StatusFilter,1,0))),0)</f>
        <v>0</v>
      </c>
      <c r="O817">
        <f>IF($N817=0,0,IF(AND($F817&lt;=EOMONTH(DATE(PlanYear,1,1),0),IF(ISNUMBER($G817),$G817,$F817)&gt;=DATE(PlanYear,1,1)),1,0))</f>
        <v>0</v>
      </c>
      <c r="P817">
        <f>IF($N817=0,0,IF(AND($F817&lt;=EOMONTH(DATE(PlanYear,2,1),0),IF(ISNUMBER($G817),$G817,$F817)&gt;=DATE(PlanYear,2,1)),1,0))</f>
        <v>0</v>
      </c>
      <c r="Q817">
        <f>IF($N817=0,0,IF(AND($F817&lt;=EOMONTH(DATE(PlanYear,3,1),0),IF(ISNUMBER($G817),$G817,$F817)&gt;=DATE(PlanYear,3,1)),1,0))</f>
        <v>0</v>
      </c>
      <c r="R817">
        <f>IF($N817=0,0,IF(AND($F817&lt;=EOMONTH(DATE(PlanYear,4,1),0),IF(ISNUMBER($G817),$G817,$F817)&gt;=DATE(PlanYear,4,1)),1,0))</f>
        <v>0</v>
      </c>
      <c r="S817">
        <f>IF($N817=0,0,IF(AND($F817&lt;=EOMONTH(DATE(PlanYear,5,1),0),IF(ISNUMBER($G817),$G817,$F817)&gt;=DATE(PlanYear,5,1)),1,0))</f>
        <v>0</v>
      </c>
      <c r="T817">
        <f>IF($N817=0,0,IF(AND($F817&lt;=EOMONTH(DATE(PlanYear,6,1),0),IF(ISNUMBER($G817),$G817,$F817)&gt;=DATE(PlanYear,6,1)),1,0))</f>
        <v>0</v>
      </c>
      <c r="U817">
        <f>IF($N817=0,0,IF(AND($F817&lt;=EOMONTH(DATE(PlanYear,7,1),0),IF(ISNUMBER($G817),$G817,$F817)&gt;=DATE(PlanYear,7,1)),1,0))</f>
        <v>0</v>
      </c>
      <c r="V817">
        <f>IF($N817=0,0,IF(AND($F817&lt;=EOMONTH(DATE(PlanYear,8,1),0),IF(ISNUMBER($G817),$G817,$F817)&gt;=DATE(PlanYear,8,1)),1,0))</f>
        <v>0</v>
      </c>
      <c r="W817">
        <f>IF($N817=0,0,IF(AND($F817&lt;=EOMONTH(DATE(PlanYear,9,1),0),IF(ISNUMBER($G817),$G817,$F817)&gt;=DATE(PlanYear,9,1)),1,0))</f>
        <v>0</v>
      </c>
      <c r="X817">
        <f>IF($N817=0,0,IF(AND($F817&lt;=EOMONTH(DATE(PlanYear,10,1),0),IF(ISNUMBER($G817),$G817,$F817)&gt;=DATE(PlanYear,10,1)),1,0))</f>
        <v>0</v>
      </c>
      <c r="Y817">
        <f>IF($N817=0,0,IF(AND($F817&lt;=EOMONTH(DATE(PlanYear,11,1),0),IF(ISNUMBER($G817),$G817,$F817)&gt;=DATE(PlanYear,11,1)),1,0))</f>
        <v>0</v>
      </c>
      <c r="Z817">
        <f>IF($N817=0,0,IF(AND($F817&lt;=EOMONTH(DATE(PlanYear,12,1),0),IF(ISNUMBER($G817),$G817,$F817)&gt;=DATE(PlanYear,12,1)),1,0))</f>
        <v>0</v>
      </c>
      <c r="AA817">
        <f>SUM($O817:$Z817)</f>
        <v>0</v>
      </c>
    </row>
    <row r="818" spans="1:27">
      <c r="A818" s="42">
        <f>IF($B818="","","ACT-"&amp;TEXT(ROW()-4,"000"))</f>
        <v>0</v>
      </c>
      <c r="M818" s="43">
        <f>IF(COUNTA($B818:$K818)=0,"",IF($B818="","Missing activity name",IF($C818="","Missing practice",IF(COUNTIF(PracticeNames,$C818)=0,"Practice not in Lists",IF($D818="","Missing motion",IF(NOT(ISNUMBER($F818)),"Missing or invalid start date",IF(AND(ISNUMBER($G818),$G818&lt;$F818),"End date before start",IF(AND($N818=1,$AA818=0),"Outside planning year","OK"))))))))</f>
        <v>0</v>
      </c>
      <c r="N818">
        <f>IF(AND($B818&lt;&gt;"",$C818&lt;&gt;"",$D818&lt;&gt;"",ISNUMBER($F818),COUNTIF(PracticeNames,$C818)&gt;0,COUNTIF(MotionNames,$D818)&gt;0,NOT(AND(ISNUMBER($G818),$G818&lt;$F818))),IF(StatusFilter="All (excl. Cancelled)",IF($H818="Cancelled",0,1),IF(StatusFilter="All",1,IF($H818=StatusFilter,1,0))),0)</f>
        <v>0</v>
      </c>
      <c r="O818">
        <f>IF($N818=0,0,IF(AND($F818&lt;=EOMONTH(DATE(PlanYear,1,1),0),IF(ISNUMBER($G818),$G818,$F818)&gt;=DATE(PlanYear,1,1)),1,0))</f>
        <v>0</v>
      </c>
      <c r="P818">
        <f>IF($N818=0,0,IF(AND($F818&lt;=EOMONTH(DATE(PlanYear,2,1),0),IF(ISNUMBER($G818),$G818,$F818)&gt;=DATE(PlanYear,2,1)),1,0))</f>
        <v>0</v>
      </c>
      <c r="Q818">
        <f>IF($N818=0,0,IF(AND($F818&lt;=EOMONTH(DATE(PlanYear,3,1),0),IF(ISNUMBER($G818),$G818,$F818)&gt;=DATE(PlanYear,3,1)),1,0))</f>
        <v>0</v>
      </c>
      <c r="R818">
        <f>IF($N818=0,0,IF(AND($F818&lt;=EOMONTH(DATE(PlanYear,4,1),0),IF(ISNUMBER($G818),$G818,$F818)&gt;=DATE(PlanYear,4,1)),1,0))</f>
        <v>0</v>
      </c>
      <c r="S818">
        <f>IF($N818=0,0,IF(AND($F818&lt;=EOMONTH(DATE(PlanYear,5,1),0),IF(ISNUMBER($G818),$G818,$F818)&gt;=DATE(PlanYear,5,1)),1,0))</f>
        <v>0</v>
      </c>
      <c r="T818">
        <f>IF($N818=0,0,IF(AND($F818&lt;=EOMONTH(DATE(PlanYear,6,1),0),IF(ISNUMBER($G818),$G818,$F818)&gt;=DATE(PlanYear,6,1)),1,0))</f>
        <v>0</v>
      </c>
      <c r="U818">
        <f>IF($N818=0,0,IF(AND($F818&lt;=EOMONTH(DATE(PlanYear,7,1),0),IF(ISNUMBER($G818),$G818,$F818)&gt;=DATE(PlanYear,7,1)),1,0))</f>
        <v>0</v>
      </c>
      <c r="V818">
        <f>IF($N818=0,0,IF(AND($F818&lt;=EOMONTH(DATE(PlanYear,8,1),0),IF(ISNUMBER($G818),$G818,$F818)&gt;=DATE(PlanYear,8,1)),1,0))</f>
        <v>0</v>
      </c>
      <c r="W818">
        <f>IF($N818=0,0,IF(AND($F818&lt;=EOMONTH(DATE(PlanYear,9,1),0),IF(ISNUMBER($G818),$G818,$F818)&gt;=DATE(PlanYear,9,1)),1,0))</f>
        <v>0</v>
      </c>
      <c r="X818">
        <f>IF($N818=0,0,IF(AND($F818&lt;=EOMONTH(DATE(PlanYear,10,1),0),IF(ISNUMBER($G818),$G818,$F818)&gt;=DATE(PlanYear,10,1)),1,0))</f>
        <v>0</v>
      </c>
      <c r="Y818">
        <f>IF($N818=0,0,IF(AND($F818&lt;=EOMONTH(DATE(PlanYear,11,1),0),IF(ISNUMBER($G818),$G818,$F818)&gt;=DATE(PlanYear,11,1)),1,0))</f>
        <v>0</v>
      </c>
      <c r="Z818">
        <f>IF($N818=0,0,IF(AND($F818&lt;=EOMONTH(DATE(PlanYear,12,1),0),IF(ISNUMBER($G818),$G818,$F818)&gt;=DATE(PlanYear,12,1)),1,0))</f>
        <v>0</v>
      </c>
      <c r="AA818">
        <f>SUM($O818:$Z818)</f>
        <v>0</v>
      </c>
    </row>
    <row r="819" spans="1:27">
      <c r="A819" s="42">
        <f>IF($B819="","","ACT-"&amp;TEXT(ROW()-4,"000"))</f>
        <v>0</v>
      </c>
      <c r="M819" s="43">
        <f>IF(COUNTA($B819:$K819)=0,"",IF($B819="","Missing activity name",IF($C819="","Missing practice",IF(COUNTIF(PracticeNames,$C819)=0,"Practice not in Lists",IF($D819="","Missing motion",IF(NOT(ISNUMBER($F819)),"Missing or invalid start date",IF(AND(ISNUMBER($G819),$G819&lt;$F819),"End date before start",IF(AND($N819=1,$AA819=0),"Outside planning year","OK"))))))))</f>
        <v>0</v>
      </c>
      <c r="N819">
        <f>IF(AND($B819&lt;&gt;"",$C819&lt;&gt;"",$D819&lt;&gt;"",ISNUMBER($F819),COUNTIF(PracticeNames,$C819)&gt;0,COUNTIF(MotionNames,$D819)&gt;0,NOT(AND(ISNUMBER($G819),$G819&lt;$F819))),IF(StatusFilter="All (excl. Cancelled)",IF($H819="Cancelled",0,1),IF(StatusFilter="All",1,IF($H819=StatusFilter,1,0))),0)</f>
        <v>0</v>
      </c>
      <c r="O819">
        <f>IF($N819=0,0,IF(AND($F819&lt;=EOMONTH(DATE(PlanYear,1,1),0),IF(ISNUMBER($G819),$G819,$F819)&gt;=DATE(PlanYear,1,1)),1,0))</f>
        <v>0</v>
      </c>
      <c r="P819">
        <f>IF($N819=0,0,IF(AND($F819&lt;=EOMONTH(DATE(PlanYear,2,1),0),IF(ISNUMBER($G819),$G819,$F819)&gt;=DATE(PlanYear,2,1)),1,0))</f>
        <v>0</v>
      </c>
      <c r="Q819">
        <f>IF($N819=0,0,IF(AND($F819&lt;=EOMONTH(DATE(PlanYear,3,1),0),IF(ISNUMBER($G819),$G819,$F819)&gt;=DATE(PlanYear,3,1)),1,0))</f>
        <v>0</v>
      </c>
      <c r="R819">
        <f>IF($N819=0,0,IF(AND($F819&lt;=EOMONTH(DATE(PlanYear,4,1),0),IF(ISNUMBER($G819),$G819,$F819)&gt;=DATE(PlanYear,4,1)),1,0))</f>
        <v>0</v>
      </c>
      <c r="S819">
        <f>IF($N819=0,0,IF(AND($F819&lt;=EOMONTH(DATE(PlanYear,5,1),0),IF(ISNUMBER($G819),$G819,$F819)&gt;=DATE(PlanYear,5,1)),1,0))</f>
        <v>0</v>
      </c>
      <c r="T819">
        <f>IF($N819=0,0,IF(AND($F819&lt;=EOMONTH(DATE(PlanYear,6,1),0),IF(ISNUMBER($G819),$G819,$F819)&gt;=DATE(PlanYear,6,1)),1,0))</f>
        <v>0</v>
      </c>
      <c r="U819">
        <f>IF($N819=0,0,IF(AND($F819&lt;=EOMONTH(DATE(PlanYear,7,1),0),IF(ISNUMBER($G819),$G819,$F819)&gt;=DATE(PlanYear,7,1)),1,0))</f>
        <v>0</v>
      </c>
      <c r="V819">
        <f>IF($N819=0,0,IF(AND($F819&lt;=EOMONTH(DATE(PlanYear,8,1),0),IF(ISNUMBER($G819),$G819,$F819)&gt;=DATE(PlanYear,8,1)),1,0))</f>
        <v>0</v>
      </c>
      <c r="W819">
        <f>IF($N819=0,0,IF(AND($F819&lt;=EOMONTH(DATE(PlanYear,9,1),0),IF(ISNUMBER($G819),$G819,$F819)&gt;=DATE(PlanYear,9,1)),1,0))</f>
        <v>0</v>
      </c>
      <c r="X819">
        <f>IF($N819=0,0,IF(AND($F819&lt;=EOMONTH(DATE(PlanYear,10,1),0),IF(ISNUMBER($G819),$G819,$F819)&gt;=DATE(PlanYear,10,1)),1,0))</f>
        <v>0</v>
      </c>
      <c r="Y819">
        <f>IF($N819=0,0,IF(AND($F819&lt;=EOMONTH(DATE(PlanYear,11,1),0),IF(ISNUMBER($G819),$G819,$F819)&gt;=DATE(PlanYear,11,1)),1,0))</f>
        <v>0</v>
      </c>
      <c r="Z819">
        <f>IF($N819=0,0,IF(AND($F819&lt;=EOMONTH(DATE(PlanYear,12,1),0),IF(ISNUMBER($G819),$G819,$F819)&gt;=DATE(PlanYear,12,1)),1,0))</f>
        <v>0</v>
      </c>
      <c r="AA819">
        <f>SUM($O819:$Z819)</f>
        <v>0</v>
      </c>
    </row>
    <row r="820" spans="1:27">
      <c r="A820" s="42">
        <f>IF($B820="","","ACT-"&amp;TEXT(ROW()-4,"000"))</f>
        <v>0</v>
      </c>
      <c r="M820" s="43">
        <f>IF(COUNTA($B820:$K820)=0,"",IF($B820="","Missing activity name",IF($C820="","Missing practice",IF(COUNTIF(PracticeNames,$C820)=0,"Practice not in Lists",IF($D820="","Missing motion",IF(NOT(ISNUMBER($F820)),"Missing or invalid start date",IF(AND(ISNUMBER($G820),$G820&lt;$F820),"End date before start",IF(AND($N820=1,$AA820=0),"Outside planning year","OK"))))))))</f>
        <v>0</v>
      </c>
      <c r="N820">
        <f>IF(AND($B820&lt;&gt;"",$C820&lt;&gt;"",$D820&lt;&gt;"",ISNUMBER($F820),COUNTIF(PracticeNames,$C820)&gt;0,COUNTIF(MotionNames,$D820)&gt;0,NOT(AND(ISNUMBER($G820),$G820&lt;$F820))),IF(StatusFilter="All (excl. Cancelled)",IF($H820="Cancelled",0,1),IF(StatusFilter="All",1,IF($H820=StatusFilter,1,0))),0)</f>
        <v>0</v>
      </c>
      <c r="O820">
        <f>IF($N820=0,0,IF(AND($F820&lt;=EOMONTH(DATE(PlanYear,1,1),0),IF(ISNUMBER($G820),$G820,$F820)&gt;=DATE(PlanYear,1,1)),1,0))</f>
        <v>0</v>
      </c>
      <c r="P820">
        <f>IF($N820=0,0,IF(AND($F820&lt;=EOMONTH(DATE(PlanYear,2,1),0),IF(ISNUMBER($G820),$G820,$F820)&gt;=DATE(PlanYear,2,1)),1,0))</f>
        <v>0</v>
      </c>
      <c r="Q820">
        <f>IF($N820=0,0,IF(AND($F820&lt;=EOMONTH(DATE(PlanYear,3,1),0),IF(ISNUMBER($G820),$G820,$F820)&gt;=DATE(PlanYear,3,1)),1,0))</f>
        <v>0</v>
      </c>
      <c r="R820">
        <f>IF($N820=0,0,IF(AND($F820&lt;=EOMONTH(DATE(PlanYear,4,1),0),IF(ISNUMBER($G820),$G820,$F820)&gt;=DATE(PlanYear,4,1)),1,0))</f>
        <v>0</v>
      </c>
      <c r="S820">
        <f>IF($N820=0,0,IF(AND($F820&lt;=EOMONTH(DATE(PlanYear,5,1),0),IF(ISNUMBER($G820),$G820,$F820)&gt;=DATE(PlanYear,5,1)),1,0))</f>
        <v>0</v>
      </c>
      <c r="T820">
        <f>IF($N820=0,0,IF(AND($F820&lt;=EOMONTH(DATE(PlanYear,6,1),0),IF(ISNUMBER($G820),$G820,$F820)&gt;=DATE(PlanYear,6,1)),1,0))</f>
        <v>0</v>
      </c>
      <c r="U820">
        <f>IF($N820=0,0,IF(AND($F820&lt;=EOMONTH(DATE(PlanYear,7,1),0),IF(ISNUMBER($G820),$G820,$F820)&gt;=DATE(PlanYear,7,1)),1,0))</f>
        <v>0</v>
      </c>
      <c r="V820">
        <f>IF($N820=0,0,IF(AND($F820&lt;=EOMONTH(DATE(PlanYear,8,1),0),IF(ISNUMBER($G820),$G820,$F820)&gt;=DATE(PlanYear,8,1)),1,0))</f>
        <v>0</v>
      </c>
      <c r="W820">
        <f>IF($N820=0,0,IF(AND($F820&lt;=EOMONTH(DATE(PlanYear,9,1),0),IF(ISNUMBER($G820),$G820,$F820)&gt;=DATE(PlanYear,9,1)),1,0))</f>
        <v>0</v>
      </c>
      <c r="X820">
        <f>IF($N820=0,0,IF(AND($F820&lt;=EOMONTH(DATE(PlanYear,10,1),0),IF(ISNUMBER($G820),$G820,$F820)&gt;=DATE(PlanYear,10,1)),1,0))</f>
        <v>0</v>
      </c>
      <c r="Y820">
        <f>IF($N820=0,0,IF(AND($F820&lt;=EOMONTH(DATE(PlanYear,11,1),0),IF(ISNUMBER($G820),$G820,$F820)&gt;=DATE(PlanYear,11,1)),1,0))</f>
        <v>0</v>
      </c>
      <c r="Z820">
        <f>IF($N820=0,0,IF(AND($F820&lt;=EOMONTH(DATE(PlanYear,12,1),0),IF(ISNUMBER($G820),$G820,$F820)&gt;=DATE(PlanYear,12,1)),1,0))</f>
        <v>0</v>
      </c>
      <c r="AA820">
        <f>SUM($O820:$Z820)</f>
        <v>0</v>
      </c>
    </row>
    <row r="821" spans="1:27">
      <c r="A821" s="42">
        <f>IF($B821="","","ACT-"&amp;TEXT(ROW()-4,"000"))</f>
        <v>0</v>
      </c>
      <c r="M821" s="43">
        <f>IF(COUNTA($B821:$K821)=0,"",IF($B821="","Missing activity name",IF($C821="","Missing practice",IF(COUNTIF(PracticeNames,$C821)=0,"Practice not in Lists",IF($D821="","Missing motion",IF(NOT(ISNUMBER($F821)),"Missing or invalid start date",IF(AND(ISNUMBER($G821),$G821&lt;$F821),"End date before start",IF(AND($N821=1,$AA821=0),"Outside planning year","OK"))))))))</f>
        <v>0</v>
      </c>
      <c r="N821">
        <f>IF(AND($B821&lt;&gt;"",$C821&lt;&gt;"",$D821&lt;&gt;"",ISNUMBER($F821),COUNTIF(PracticeNames,$C821)&gt;0,COUNTIF(MotionNames,$D821)&gt;0,NOT(AND(ISNUMBER($G821),$G821&lt;$F821))),IF(StatusFilter="All (excl. Cancelled)",IF($H821="Cancelled",0,1),IF(StatusFilter="All",1,IF($H821=StatusFilter,1,0))),0)</f>
        <v>0</v>
      </c>
      <c r="O821">
        <f>IF($N821=0,0,IF(AND($F821&lt;=EOMONTH(DATE(PlanYear,1,1),0),IF(ISNUMBER($G821),$G821,$F821)&gt;=DATE(PlanYear,1,1)),1,0))</f>
        <v>0</v>
      </c>
      <c r="P821">
        <f>IF($N821=0,0,IF(AND($F821&lt;=EOMONTH(DATE(PlanYear,2,1),0),IF(ISNUMBER($G821),$G821,$F821)&gt;=DATE(PlanYear,2,1)),1,0))</f>
        <v>0</v>
      </c>
      <c r="Q821">
        <f>IF($N821=0,0,IF(AND($F821&lt;=EOMONTH(DATE(PlanYear,3,1),0),IF(ISNUMBER($G821),$G821,$F821)&gt;=DATE(PlanYear,3,1)),1,0))</f>
        <v>0</v>
      </c>
      <c r="R821">
        <f>IF($N821=0,0,IF(AND($F821&lt;=EOMONTH(DATE(PlanYear,4,1),0),IF(ISNUMBER($G821),$G821,$F821)&gt;=DATE(PlanYear,4,1)),1,0))</f>
        <v>0</v>
      </c>
      <c r="S821">
        <f>IF($N821=0,0,IF(AND($F821&lt;=EOMONTH(DATE(PlanYear,5,1),0),IF(ISNUMBER($G821),$G821,$F821)&gt;=DATE(PlanYear,5,1)),1,0))</f>
        <v>0</v>
      </c>
      <c r="T821">
        <f>IF($N821=0,0,IF(AND($F821&lt;=EOMONTH(DATE(PlanYear,6,1),0),IF(ISNUMBER($G821),$G821,$F821)&gt;=DATE(PlanYear,6,1)),1,0))</f>
        <v>0</v>
      </c>
      <c r="U821">
        <f>IF($N821=0,0,IF(AND($F821&lt;=EOMONTH(DATE(PlanYear,7,1),0),IF(ISNUMBER($G821),$G821,$F821)&gt;=DATE(PlanYear,7,1)),1,0))</f>
        <v>0</v>
      </c>
      <c r="V821">
        <f>IF($N821=0,0,IF(AND($F821&lt;=EOMONTH(DATE(PlanYear,8,1),0),IF(ISNUMBER($G821),$G821,$F821)&gt;=DATE(PlanYear,8,1)),1,0))</f>
        <v>0</v>
      </c>
      <c r="W821">
        <f>IF($N821=0,0,IF(AND($F821&lt;=EOMONTH(DATE(PlanYear,9,1),0),IF(ISNUMBER($G821),$G821,$F821)&gt;=DATE(PlanYear,9,1)),1,0))</f>
        <v>0</v>
      </c>
      <c r="X821">
        <f>IF($N821=0,0,IF(AND($F821&lt;=EOMONTH(DATE(PlanYear,10,1),0),IF(ISNUMBER($G821),$G821,$F821)&gt;=DATE(PlanYear,10,1)),1,0))</f>
        <v>0</v>
      </c>
      <c r="Y821">
        <f>IF($N821=0,0,IF(AND($F821&lt;=EOMONTH(DATE(PlanYear,11,1),0),IF(ISNUMBER($G821),$G821,$F821)&gt;=DATE(PlanYear,11,1)),1,0))</f>
        <v>0</v>
      </c>
      <c r="Z821">
        <f>IF($N821=0,0,IF(AND($F821&lt;=EOMONTH(DATE(PlanYear,12,1),0),IF(ISNUMBER($G821),$G821,$F821)&gt;=DATE(PlanYear,12,1)),1,0))</f>
        <v>0</v>
      </c>
      <c r="AA821">
        <f>SUM($O821:$Z821)</f>
        <v>0</v>
      </c>
    </row>
    <row r="822" spans="1:27">
      <c r="A822" s="42">
        <f>IF($B822="","","ACT-"&amp;TEXT(ROW()-4,"000"))</f>
        <v>0</v>
      </c>
      <c r="M822" s="43">
        <f>IF(COUNTA($B822:$K822)=0,"",IF($B822="","Missing activity name",IF($C822="","Missing practice",IF(COUNTIF(PracticeNames,$C822)=0,"Practice not in Lists",IF($D822="","Missing motion",IF(NOT(ISNUMBER($F822)),"Missing or invalid start date",IF(AND(ISNUMBER($G822),$G822&lt;$F822),"End date before start",IF(AND($N822=1,$AA822=0),"Outside planning year","OK"))))))))</f>
        <v>0</v>
      </c>
      <c r="N822">
        <f>IF(AND($B822&lt;&gt;"",$C822&lt;&gt;"",$D822&lt;&gt;"",ISNUMBER($F822),COUNTIF(PracticeNames,$C822)&gt;0,COUNTIF(MotionNames,$D822)&gt;0,NOT(AND(ISNUMBER($G822),$G822&lt;$F822))),IF(StatusFilter="All (excl. Cancelled)",IF($H822="Cancelled",0,1),IF(StatusFilter="All",1,IF($H822=StatusFilter,1,0))),0)</f>
        <v>0</v>
      </c>
      <c r="O822">
        <f>IF($N822=0,0,IF(AND($F822&lt;=EOMONTH(DATE(PlanYear,1,1),0),IF(ISNUMBER($G822),$G822,$F822)&gt;=DATE(PlanYear,1,1)),1,0))</f>
        <v>0</v>
      </c>
      <c r="P822">
        <f>IF($N822=0,0,IF(AND($F822&lt;=EOMONTH(DATE(PlanYear,2,1),0),IF(ISNUMBER($G822),$G822,$F822)&gt;=DATE(PlanYear,2,1)),1,0))</f>
        <v>0</v>
      </c>
      <c r="Q822">
        <f>IF($N822=0,0,IF(AND($F822&lt;=EOMONTH(DATE(PlanYear,3,1),0),IF(ISNUMBER($G822),$G822,$F822)&gt;=DATE(PlanYear,3,1)),1,0))</f>
        <v>0</v>
      </c>
      <c r="R822">
        <f>IF($N822=0,0,IF(AND($F822&lt;=EOMONTH(DATE(PlanYear,4,1),0),IF(ISNUMBER($G822),$G822,$F822)&gt;=DATE(PlanYear,4,1)),1,0))</f>
        <v>0</v>
      </c>
      <c r="S822">
        <f>IF($N822=0,0,IF(AND($F822&lt;=EOMONTH(DATE(PlanYear,5,1),0),IF(ISNUMBER($G822),$G822,$F822)&gt;=DATE(PlanYear,5,1)),1,0))</f>
        <v>0</v>
      </c>
      <c r="T822">
        <f>IF($N822=0,0,IF(AND($F822&lt;=EOMONTH(DATE(PlanYear,6,1),0),IF(ISNUMBER($G822),$G822,$F822)&gt;=DATE(PlanYear,6,1)),1,0))</f>
        <v>0</v>
      </c>
      <c r="U822">
        <f>IF($N822=0,0,IF(AND($F822&lt;=EOMONTH(DATE(PlanYear,7,1),0),IF(ISNUMBER($G822),$G822,$F822)&gt;=DATE(PlanYear,7,1)),1,0))</f>
        <v>0</v>
      </c>
      <c r="V822">
        <f>IF($N822=0,0,IF(AND($F822&lt;=EOMONTH(DATE(PlanYear,8,1),0),IF(ISNUMBER($G822),$G822,$F822)&gt;=DATE(PlanYear,8,1)),1,0))</f>
        <v>0</v>
      </c>
      <c r="W822">
        <f>IF($N822=0,0,IF(AND($F822&lt;=EOMONTH(DATE(PlanYear,9,1),0),IF(ISNUMBER($G822),$G822,$F822)&gt;=DATE(PlanYear,9,1)),1,0))</f>
        <v>0</v>
      </c>
      <c r="X822">
        <f>IF($N822=0,0,IF(AND($F822&lt;=EOMONTH(DATE(PlanYear,10,1),0),IF(ISNUMBER($G822),$G822,$F822)&gt;=DATE(PlanYear,10,1)),1,0))</f>
        <v>0</v>
      </c>
      <c r="Y822">
        <f>IF($N822=0,0,IF(AND($F822&lt;=EOMONTH(DATE(PlanYear,11,1),0),IF(ISNUMBER($G822),$G822,$F822)&gt;=DATE(PlanYear,11,1)),1,0))</f>
        <v>0</v>
      </c>
      <c r="Z822">
        <f>IF($N822=0,0,IF(AND($F822&lt;=EOMONTH(DATE(PlanYear,12,1),0),IF(ISNUMBER($G822),$G822,$F822)&gt;=DATE(PlanYear,12,1)),1,0))</f>
        <v>0</v>
      </c>
      <c r="AA822">
        <f>SUM($O822:$Z822)</f>
        <v>0</v>
      </c>
    </row>
    <row r="823" spans="1:27">
      <c r="A823" s="42">
        <f>IF($B823="","","ACT-"&amp;TEXT(ROW()-4,"000"))</f>
        <v>0</v>
      </c>
      <c r="M823" s="43">
        <f>IF(COUNTA($B823:$K823)=0,"",IF($B823="","Missing activity name",IF($C823="","Missing practice",IF(COUNTIF(PracticeNames,$C823)=0,"Practice not in Lists",IF($D823="","Missing motion",IF(NOT(ISNUMBER($F823)),"Missing or invalid start date",IF(AND(ISNUMBER($G823),$G823&lt;$F823),"End date before start",IF(AND($N823=1,$AA823=0),"Outside planning year","OK"))))))))</f>
        <v>0</v>
      </c>
      <c r="N823">
        <f>IF(AND($B823&lt;&gt;"",$C823&lt;&gt;"",$D823&lt;&gt;"",ISNUMBER($F823),COUNTIF(PracticeNames,$C823)&gt;0,COUNTIF(MotionNames,$D823)&gt;0,NOT(AND(ISNUMBER($G823),$G823&lt;$F823))),IF(StatusFilter="All (excl. Cancelled)",IF($H823="Cancelled",0,1),IF(StatusFilter="All",1,IF($H823=StatusFilter,1,0))),0)</f>
        <v>0</v>
      </c>
      <c r="O823">
        <f>IF($N823=0,0,IF(AND($F823&lt;=EOMONTH(DATE(PlanYear,1,1),0),IF(ISNUMBER($G823),$G823,$F823)&gt;=DATE(PlanYear,1,1)),1,0))</f>
        <v>0</v>
      </c>
      <c r="P823">
        <f>IF($N823=0,0,IF(AND($F823&lt;=EOMONTH(DATE(PlanYear,2,1),0),IF(ISNUMBER($G823),$G823,$F823)&gt;=DATE(PlanYear,2,1)),1,0))</f>
        <v>0</v>
      </c>
      <c r="Q823">
        <f>IF($N823=0,0,IF(AND($F823&lt;=EOMONTH(DATE(PlanYear,3,1),0),IF(ISNUMBER($G823),$G823,$F823)&gt;=DATE(PlanYear,3,1)),1,0))</f>
        <v>0</v>
      </c>
      <c r="R823">
        <f>IF($N823=0,0,IF(AND($F823&lt;=EOMONTH(DATE(PlanYear,4,1),0),IF(ISNUMBER($G823),$G823,$F823)&gt;=DATE(PlanYear,4,1)),1,0))</f>
        <v>0</v>
      </c>
      <c r="S823">
        <f>IF($N823=0,0,IF(AND($F823&lt;=EOMONTH(DATE(PlanYear,5,1),0),IF(ISNUMBER($G823),$G823,$F823)&gt;=DATE(PlanYear,5,1)),1,0))</f>
        <v>0</v>
      </c>
      <c r="T823">
        <f>IF($N823=0,0,IF(AND($F823&lt;=EOMONTH(DATE(PlanYear,6,1),0),IF(ISNUMBER($G823),$G823,$F823)&gt;=DATE(PlanYear,6,1)),1,0))</f>
        <v>0</v>
      </c>
      <c r="U823">
        <f>IF($N823=0,0,IF(AND($F823&lt;=EOMONTH(DATE(PlanYear,7,1),0),IF(ISNUMBER($G823),$G823,$F823)&gt;=DATE(PlanYear,7,1)),1,0))</f>
        <v>0</v>
      </c>
      <c r="V823">
        <f>IF($N823=0,0,IF(AND($F823&lt;=EOMONTH(DATE(PlanYear,8,1),0),IF(ISNUMBER($G823),$G823,$F823)&gt;=DATE(PlanYear,8,1)),1,0))</f>
        <v>0</v>
      </c>
      <c r="W823">
        <f>IF($N823=0,0,IF(AND($F823&lt;=EOMONTH(DATE(PlanYear,9,1),0),IF(ISNUMBER($G823),$G823,$F823)&gt;=DATE(PlanYear,9,1)),1,0))</f>
        <v>0</v>
      </c>
      <c r="X823">
        <f>IF($N823=0,0,IF(AND($F823&lt;=EOMONTH(DATE(PlanYear,10,1),0),IF(ISNUMBER($G823),$G823,$F823)&gt;=DATE(PlanYear,10,1)),1,0))</f>
        <v>0</v>
      </c>
      <c r="Y823">
        <f>IF($N823=0,0,IF(AND($F823&lt;=EOMONTH(DATE(PlanYear,11,1),0),IF(ISNUMBER($G823),$G823,$F823)&gt;=DATE(PlanYear,11,1)),1,0))</f>
        <v>0</v>
      </c>
      <c r="Z823">
        <f>IF($N823=0,0,IF(AND($F823&lt;=EOMONTH(DATE(PlanYear,12,1),0),IF(ISNUMBER($G823),$G823,$F823)&gt;=DATE(PlanYear,12,1)),1,0))</f>
        <v>0</v>
      </c>
      <c r="AA823">
        <f>SUM($O823:$Z823)</f>
        <v>0</v>
      </c>
    </row>
    <row r="824" spans="1:27">
      <c r="A824" s="42">
        <f>IF($B824="","","ACT-"&amp;TEXT(ROW()-4,"000"))</f>
        <v>0</v>
      </c>
      <c r="M824" s="43">
        <f>IF(COUNTA($B824:$K824)=0,"",IF($B824="","Missing activity name",IF($C824="","Missing practice",IF(COUNTIF(PracticeNames,$C824)=0,"Practice not in Lists",IF($D824="","Missing motion",IF(NOT(ISNUMBER($F824)),"Missing or invalid start date",IF(AND(ISNUMBER($G824),$G824&lt;$F824),"End date before start",IF(AND($N824=1,$AA824=0),"Outside planning year","OK"))))))))</f>
        <v>0</v>
      </c>
      <c r="N824">
        <f>IF(AND($B824&lt;&gt;"",$C824&lt;&gt;"",$D824&lt;&gt;"",ISNUMBER($F824),COUNTIF(PracticeNames,$C824)&gt;0,COUNTIF(MotionNames,$D824)&gt;0,NOT(AND(ISNUMBER($G824),$G824&lt;$F824))),IF(StatusFilter="All (excl. Cancelled)",IF($H824="Cancelled",0,1),IF(StatusFilter="All",1,IF($H824=StatusFilter,1,0))),0)</f>
        <v>0</v>
      </c>
      <c r="O824">
        <f>IF($N824=0,0,IF(AND($F824&lt;=EOMONTH(DATE(PlanYear,1,1),0),IF(ISNUMBER($G824),$G824,$F824)&gt;=DATE(PlanYear,1,1)),1,0))</f>
        <v>0</v>
      </c>
      <c r="P824">
        <f>IF($N824=0,0,IF(AND($F824&lt;=EOMONTH(DATE(PlanYear,2,1),0),IF(ISNUMBER($G824),$G824,$F824)&gt;=DATE(PlanYear,2,1)),1,0))</f>
        <v>0</v>
      </c>
      <c r="Q824">
        <f>IF($N824=0,0,IF(AND($F824&lt;=EOMONTH(DATE(PlanYear,3,1),0),IF(ISNUMBER($G824),$G824,$F824)&gt;=DATE(PlanYear,3,1)),1,0))</f>
        <v>0</v>
      </c>
      <c r="R824">
        <f>IF($N824=0,0,IF(AND($F824&lt;=EOMONTH(DATE(PlanYear,4,1),0),IF(ISNUMBER($G824),$G824,$F824)&gt;=DATE(PlanYear,4,1)),1,0))</f>
        <v>0</v>
      </c>
      <c r="S824">
        <f>IF($N824=0,0,IF(AND($F824&lt;=EOMONTH(DATE(PlanYear,5,1),0),IF(ISNUMBER($G824),$G824,$F824)&gt;=DATE(PlanYear,5,1)),1,0))</f>
        <v>0</v>
      </c>
      <c r="T824">
        <f>IF($N824=0,0,IF(AND($F824&lt;=EOMONTH(DATE(PlanYear,6,1),0),IF(ISNUMBER($G824),$G824,$F824)&gt;=DATE(PlanYear,6,1)),1,0))</f>
        <v>0</v>
      </c>
      <c r="U824">
        <f>IF($N824=0,0,IF(AND($F824&lt;=EOMONTH(DATE(PlanYear,7,1),0),IF(ISNUMBER($G824),$G824,$F824)&gt;=DATE(PlanYear,7,1)),1,0))</f>
        <v>0</v>
      </c>
      <c r="V824">
        <f>IF($N824=0,0,IF(AND($F824&lt;=EOMONTH(DATE(PlanYear,8,1),0),IF(ISNUMBER($G824),$G824,$F824)&gt;=DATE(PlanYear,8,1)),1,0))</f>
        <v>0</v>
      </c>
      <c r="W824">
        <f>IF($N824=0,0,IF(AND($F824&lt;=EOMONTH(DATE(PlanYear,9,1),0),IF(ISNUMBER($G824),$G824,$F824)&gt;=DATE(PlanYear,9,1)),1,0))</f>
        <v>0</v>
      </c>
      <c r="X824">
        <f>IF($N824=0,0,IF(AND($F824&lt;=EOMONTH(DATE(PlanYear,10,1),0),IF(ISNUMBER($G824),$G824,$F824)&gt;=DATE(PlanYear,10,1)),1,0))</f>
        <v>0</v>
      </c>
      <c r="Y824">
        <f>IF($N824=0,0,IF(AND($F824&lt;=EOMONTH(DATE(PlanYear,11,1),0),IF(ISNUMBER($G824),$G824,$F824)&gt;=DATE(PlanYear,11,1)),1,0))</f>
        <v>0</v>
      </c>
      <c r="Z824">
        <f>IF($N824=0,0,IF(AND($F824&lt;=EOMONTH(DATE(PlanYear,12,1),0),IF(ISNUMBER($G824),$G824,$F824)&gt;=DATE(PlanYear,12,1)),1,0))</f>
        <v>0</v>
      </c>
      <c r="AA824">
        <f>SUM($O824:$Z824)</f>
        <v>0</v>
      </c>
    </row>
    <row r="825" spans="1:27">
      <c r="A825" s="42">
        <f>IF($B825="","","ACT-"&amp;TEXT(ROW()-4,"000"))</f>
        <v>0</v>
      </c>
      <c r="M825" s="43">
        <f>IF(COUNTA($B825:$K825)=0,"",IF($B825="","Missing activity name",IF($C825="","Missing practice",IF(COUNTIF(PracticeNames,$C825)=0,"Practice not in Lists",IF($D825="","Missing motion",IF(NOT(ISNUMBER($F825)),"Missing or invalid start date",IF(AND(ISNUMBER($G825),$G825&lt;$F825),"End date before start",IF(AND($N825=1,$AA825=0),"Outside planning year","OK"))))))))</f>
        <v>0</v>
      </c>
      <c r="N825">
        <f>IF(AND($B825&lt;&gt;"",$C825&lt;&gt;"",$D825&lt;&gt;"",ISNUMBER($F825),COUNTIF(PracticeNames,$C825)&gt;0,COUNTIF(MotionNames,$D825)&gt;0,NOT(AND(ISNUMBER($G825),$G825&lt;$F825))),IF(StatusFilter="All (excl. Cancelled)",IF($H825="Cancelled",0,1),IF(StatusFilter="All",1,IF($H825=StatusFilter,1,0))),0)</f>
        <v>0</v>
      </c>
      <c r="O825">
        <f>IF($N825=0,0,IF(AND($F825&lt;=EOMONTH(DATE(PlanYear,1,1),0),IF(ISNUMBER($G825),$G825,$F825)&gt;=DATE(PlanYear,1,1)),1,0))</f>
        <v>0</v>
      </c>
      <c r="P825">
        <f>IF($N825=0,0,IF(AND($F825&lt;=EOMONTH(DATE(PlanYear,2,1),0),IF(ISNUMBER($G825),$G825,$F825)&gt;=DATE(PlanYear,2,1)),1,0))</f>
        <v>0</v>
      </c>
      <c r="Q825">
        <f>IF($N825=0,0,IF(AND($F825&lt;=EOMONTH(DATE(PlanYear,3,1),0),IF(ISNUMBER($G825),$G825,$F825)&gt;=DATE(PlanYear,3,1)),1,0))</f>
        <v>0</v>
      </c>
      <c r="R825">
        <f>IF($N825=0,0,IF(AND($F825&lt;=EOMONTH(DATE(PlanYear,4,1),0),IF(ISNUMBER($G825),$G825,$F825)&gt;=DATE(PlanYear,4,1)),1,0))</f>
        <v>0</v>
      </c>
      <c r="S825">
        <f>IF($N825=0,0,IF(AND($F825&lt;=EOMONTH(DATE(PlanYear,5,1),0),IF(ISNUMBER($G825),$G825,$F825)&gt;=DATE(PlanYear,5,1)),1,0))</f>
        <v>0</v>
      </c>
      <c r="T825">
        <f>IF($N825=0,0,IF(AND($F825&lt;=EOMONTH(DATE(PlanYear,6,1),0),IF(ISNUMBER($G825),$G825,$F825)&gt;=DATE(PlanYear,6,1)),1,0))</f>
        <v>0</v>
      </c>
      <c r="U825">
        <f>IF($N825=0,0,IF(AND($F825&lt;=EOMONTH(DATE(PlanYear,7,1),0),IF(ISNUMBER($G825),$G825,$F825)&gt;=DATE(PlanYear,7,1)),1,0))</f>
        <v>0</v>
      </c>
      <c r="V825">
        <f>IF($N825=0,0,IF(AND($F825&lt;=EOMONTH(DATE(PlanYear,8,1),0),IF(ISNUMBER($G825),$G825,$F825)&gt;=DATE(PlanYear,8,1)),1,0))</f>
        <v>0</v>
      </c>
      <c r="W825">
        <f>IF($N825=0,0,IF(AND($F825&lt;=EOMONTH(DATE(PlanYear,9,1),0),IF(ISNUMBER($G825),$G825,$F825)&gt;=DATE(PlanYear,9,1)),1,0))</f>
        <v>0</v>
      </c>
      <c r="X825">
        <f>IF($N825=0,0,IF(AND($F825&lt;=EOMONTH(DATE(PlanYear,10,1),0),IF(ISNUMBER($G825),$G825,$F825)&gt;=DATE(PlanYear,10,1)),1,0))</f>
        <v>0</v>
      </c>
      <c r="Y825">
        <f>IF($N825=0,0,IF(AND($F825&lt;=EOMONTH(DATE(PlanYear,11,1),0),IF(ISNUMBER($G825),$G825,$F825)&gt;=DATE(PlanYear,11,1)),1,0))</f>
        <v>0</v>
      </c>
      <c r="Z825">
        <f>IF($N825=0,0,IF(AND($F825&lt;=EOMONTH(DATE(PlanYear,12,1),0),IF(ISNUMBER($G825),$G825,$F825)&gt;=DATE(PlanYear,12,1)),1,0))</f>
        <v>0</v>
      </c>
      <c r="AA825">
        <f>SUM($O825:$Z825)</f>
        <v>0</v>
      </c>
    </row>
    <row r="826" spans="1:27">
      <c r="A826" s="42">
        <f>IF($B826="","","ACT-"&amp;TEXT(ROW()-4,"000"))</f>
        <v>0</v>
      </c>
      <c r="M826" s="43">
        <f>IF(COUNTA($B826:$K826)=0,"",IF($B826="","Missing activity name",IF($C826="","Missing practice",IF(COUNTIF(PracticeNames,$C826)=0,"Practice not in Lists",IF($D826="","Missing motion",IF(NOT(ISNUMBER($F826)),"Missing or invalid start date",IF(AND(ISNUMBER($G826),$G826&lt;$F826),"End date before start",IF(AND($N826=1,$AA826=0),"Outside planning year","OK"))))))))</f>
        <v>0</v>
      </c>
      <c r="N826">
        <f>IF(AND($B826&lt;&gt;"",$C826&lt;&gt;"",$D826&lt;&gt;"",ISNUMBER($F826),COUNTIF(PracticeNames,$C826)&gt;0,COUNTIF(MotionNames,$D826)&gt;0,NOT(AND(ISNUMBER($G826),$G826&lt;$F826))),IF(StatusFilter="All (excl. Cancelled)",IF($H826="Cancelled",0,1),IF(StatusFilter="All",1,IF($H826=StatusFilter,1,0))),0)</f>
        <v>0</v>
      </c>
      <c r="O826">
        <f>IF($N826=0,0,IF(AND($F826&lt;=EOMONTH(DATE(PlanYear,1,1),0),IF(ISNUMBER($G826),$G826,$F826)&gt;=DATE(PlanYear,1,1)),1,0))</f>
        <v>0</v>
      </c>
      <c r="P826">
        <f>IF($N826=0,0,IF(AND($F826&lt;=EOMONTH(DATE(PlanYear,2,1),0),IF(ISNUMBER($G826),$G826,$F826)&gt;=DATE(PlanYear,2,1)),1,0))</f>
        <v>0</v>
      </c>
      <c r="Q826">
        <f>IF($N826=0,0,IF(AND($F826&lt;=EOMONTH(DATE(PlanYear,3,1),0),IF(ISNUMBER($G826),$G826,$F826)&gt;=DATE(PlanYear,3,1)),1,0))</f>
        <v>0</v>
      </c>
      <c r="R826">
        <f>IF($N826=0,0,IF(AND($F826&lt;=EOMONTH(DATE(PlanYear,4,1),0),IF(ISNUMBER($G826),$G826,$F826)&gt;=DATE(PlanYear,4,1)),1,0))</f>
        <v>0</v>
      </c>
      <c r="S826">
        <f>IF($N826=0,0,IF(AND($F826&lt;=EOMONTH(DATE(PlanYear,5,1),0),IF(ISNUMBER($G826),$G826,$F826)&gt;=DATE(PlanYear,5,1)),1,0))</f>
        <v>0</v>
      </c>
      <c r="T826">
        <f>IF($N826=0,0,IF(AND($F826&lt;=EOMONTH(DATE(PlanYear,6,1),0),IF(ISNUMBER($G826),$G826,$F826)&gt;=DATE(PlanYear,6,1)),1,0))</f>
        <v>0</v>
      </c>
      <c r="U826">
        <f>IF($N826=0,0,IF(AND($F826&lt;=EOMONTH(DATE(PlanYear,7,1),0),IF(ISNUMBER($G826),$G826,$F826)&gt;=DATE(PlanYear,7,1)),1,0))</f>
        <v>0</v>
      </c>
      <c r="V826">
        <f>IF($N826=0,0,IF(AND($F826&lt;=EOMONTH(DATE(PlanYear,8,1),0),IF(ISNUMBER($G826),$G826,$F826)&gt;=DATE(PlanYear,8,1)),1,0))</f>
        <v>0</v>
      </c>
      <c r="W826">
        <f>IF($N826=0,0,IF(AND($F826&lt;=EOMONTH(DATE(PlanYear,9,1),0),IF(ISNUMBER($G826),$G826,$F826)&gt;=DATE(PlanYear,9,1)),1,0))</f>
        <v>0</v>
      </c>
      <c r="X826">
        <f>IF($N826=0,0,IF(AND($F826&lt;=EOMONTH(DATE(PlanYear,10,1),0),IF(ISNUMBER($G826),$G826,$F826)&gt;=DATE(PlanYear,10,1)),1,0))</f>
        <v>0</v>
      </c>
      <c r="Y826">
        <f>IF($N826=0,0,IF(AND($F826&lt;=EOMONTH(DATE(PlanYear,11,1),0),IF(ISNUMBER($G826),$G826,$F826)&gt;=DATE(PlanYear,11,1)),1,0))</f>
        <v>0</v>
      </c>
      <c r="Z826">
        <f>IF($N826=0,0,IF(AND($F826&lt;=EOMONTH(DATE(PlanYear,12,1),0),IF(ISNUMBER($G826),$G826,$F826)&gt;=DATE(PlanYear,12,1)),1,0))</f>
        <v>0</v>
      </c>
      <c r="AA826">
        <f>SUM($O826:$Z826)</f>
        <v>0</v>
      </c>
    </row>
    <row r="827" spans="1:27">
      <c r="A827" s="42">
        <f>IF($B827="","","ACT-"&amp;TEXT(ROW()-4,"000"))</f>
        <v>0</v>
      </c>
      <c r="M827" s="43">
        <f>IF(COUNTA($B827:$K827)=0,"",IF($B827="","Missing activity name",IF($C827="","Missing practice",IF(COUNTIF(PracticeNames,$C827)=0,"Practice not in Lists",IF($D827="","Missing motion",IF(NOT(ISNUMBER($F827)),"Missing or invalid start date",IF(AND(ISNUMBER($G827),$G827&lt;$F827),"End date before start",IF(AND($N827=1,$AA827=0),"Outside planning year","OK"))))))))</f>
        <v>0</v>
      </c>
      <c r="N827">
        <f>IF(AND($B827&lt;&gt;"",$C827&lt;&gt;"",$D827&lt;&gt;"",ISNUMBER($F827),COUNTIF(PracticeNames,$C827)&gt;0,COUNTIF(MotionNames,$D827)&gt;0,NOT(AND(ISNUMBER($G827),$G827&lt;$F827))),IF(StatusFilter="All (excl. Cancelled)",IF($H827="Cancelled",0,1),IF(StatusFilter="All",1,IF($H827=StatusFilter,1,0))),0)</f>
        <v>0</v>
      </c>
      <c r="O827">
        <f>IF($N827=0,0,IF(AND($F827&lt;=EOMONTH(DATE(PlanYear,1,1),0),IF(ISNUMBER($G827),$G827,$F827)&gt;=DATE(PlanYear,1,1)),1,0))</f>
        <v>0</v>
      </c>
      <c r="P827">
        <f>IF($N827=0,0,IF(AND($F827&lt;=EOMONTH(DATE(PlanYear,2,1),0),IF(ISNUMBER($G827),$G827,$F827)&gt;=DATE(PlanYear,2,1)),1,0))</f>
        <v>0</v>
      </c>
      <c r="Q827">
        <f>IF($N827=0,0,IF(AND($F827&lt;=EOMONTH(DATE(PlanYear,3,1),0),IF(ISNUMBER($G827),$G827,$F827)&gt;=DATE(PlanYear,3,1)),1,0))</f>
        <v>0</v>
      </c>
      <c r="R827">
        <f>IF($N827=0,0,IF(AND($F827&lt;=EOMONTH(DATE(PlanYear,4,1),0),IF(ISNUMBER($G827),$G827,$F827)&gt;=DATE(PlanYear,4,1)),1,0))</f>
        <v>0</v>
      </c>
      <c r="S827">
        <f>IF($N827=0,0,IF(AND($F827&lt;=EOMONTH(DATE(PlanYear,5,1),0),IF(ISNUMBER($G827),$G827,$F827)&gt;=DATE(PlanYear,5,1)),1,0))</f>
        <v>0</v>
      </c>
      <c r="T827">
        <f>IF($N827=0,0,IF(AND($F827&lt;=EOMONTH(DATE(PlanYear,6,1),0),IF(ISNUMBER($G827),$G827,$F827)&gt;=DATE(PlanYear,6,1)),1,0))</f>
        <v>0</v>
      </c>
      <c r="U827">
        <f>IF($N827=0,0,IF(AND($F827&lt;=EOMONTH(DATE(PlanYear,7,1),0),IF(ISNUMBER($G827),$G827,$F827)&gt;=DATE(PlanYear,7,1)),1,0))</f>
        <v>0</v>
      </c>
      <c r="V827">
        <f>IF($N827=0,0,IF(AND($F827&lt;=EOMONTH(DATE(PlanYear,8,1),0),IF(ISNUMBER($G827),$G827,$F827)&gt;=DATE(PlanYear,8,1)),1,0))</f>
        <v>0</v>
      </c>
      <c r="W827">
        <f>IF($N827=0,0,IF(AND($F827&lt;=EOMONTH(DATE(PlanYear,9,1),0),IF(ISNUMBER($G827),$G827,$F827)&gt;=DATE(PlanYear,9,1)),1,0))</f>
        <v>0</v>
      </c>
      <c r="X827">
        <f>IF($N827=0,0,IF(AND($F827&lt;=EOMONTH(DATE(PlanYear,10,1),0),IF(ISNUMBER($G827),$G827,$F827)&gt;=DATE(PlanYear,10,1)),1,0))</f>
        <v>0</v>
      </c>
      <c r="Y827">
        <f>IF($N827=0,0,IF(AND($F827&lt;=EOMONTH(DATE(PlanYear,11,1),0),IF(ISNUMBER($G827),$G827,$F827)&gt;=DATE(PlanYear,11,1)),1,0))</f>
        <v>0</v>
      </c>
      <c r="Z827">
        <f>IF($N827=0,0,IF(AND($F827&lt;=EOMONTH(DATE(PlanYear,12,1),0),IF(ISNUMBER($G827),$G827,$F827)&gt;=DATE(PlanYear,12,1)),1,0))</f>
        <v>0</v>
      </c>
      <c r="AA827">
        <f>SUM($O827:$Z827)</f>
        <v>0</v>
      </c>
    </row>
    <row r="828" spans="1:27">
      <c r="A828" s="42">
        <f>IF($B828="","","ACT-"&amp;TEXT(ROW()-4,"000"))</f>
        <v>0</v>
      </c>
      <c r="M828" s="43">
        <f>IF(COUNTA($B828:$K828)=0,"",IF($B828="","Missing activity name",IF($C828="","Missing practice",IF(COUNTIF(PracticeNames,$C828)=0,"Practice not in Lists",IF($D828="","Missing motion",IF(NOT(ISNUMBER($F828)),"Missing or invalid start date",IF(AND(ISNUMBER($G828),$G828&lt;$F828),"End date before start",IF(AND($N828=1,$AA828=0),"Outside planning year","OK"))))))))</f>
        <v>0</v>
      </c>
      <c r="N828">
        <f>IF(AND($B828&lt;&gt;"",$C828&lt;&gt;"",$D828&lt;&gt;"",ISNUMBER($F828),COUNTIF(PracticeNames,$C828)&gt;0,COUNTIF(MotionNames,$D828)&gt;0,NOT(AND(ISNUMBER($G828),$G828&lt;$F828))),IF(StatusFilter="All (excl. Cancelled)",IF($H828="Cancelled",0,1),IF(StatusFilter="All",1,IF($H828=StatusFilter,1,0))),0)</f>
        <v>0</v>
      </c>
      <c r="O828">
        <f>IF($N828=0,0,IF(AND($F828&lt;=EOMONTH(DATE(PlanYear,1,1),0),IF(ISNUMBER($G828),$G828,$F828)&gt;=DATE(PlanYear,1,1)),1,0))</f>
        <v>0</v>
      </c>
      <c r="P828">
        <f>IF($N828=0,0,IF(AND($F828&lt;=EOMONTH(DATE(PlanYear,2,1),0),IF(ISNUMBER($G828),$G828,$F828)&gt;=DATE(PlanYear,2,1)),1,0))</f>
        <v>0</v>
      </c>
      <c r="Q828">
        <f>IF($N828=0,0,IF(AND($F828&lt;=EOMONTH(DATE(PlanYear,3,1),0),IF(ISNUMBER($G828),$G828,$F828)&gt;=DATE(PlanYear,3,1)),1,0))</f>
        <v>0</v>
      </c>
      <c r="R828">
        <f>IF($N828=0,0,IF(AND($F828&lt;=EOMONTH(DATE(PlanYear,4,1),0),IF(ISNUMBER($G828),$G828,$F828)&gt;=DATE(PlanYear,4,1)),1,0))</f>
        <v>0</v>
      </c>
      <c r="S828">
        <f>IF($N828=0,0,IF(AND($F828&lt;=EOMONTH(DATE(PlanYear,5,1),0),IF(ISNUMBER($G828),$G828,$F828)&gt;=DATE(PlanYear,5,1)),1,0))</f>
        <v>0</v>
      </c>
      <c r="T828">
        <f>IF($N828=0,0,IF(AND($F828&lt;=EOMONTH(DATE(PlanYear,6,1),0),IF(ISNUMBER($G828),$G828,$F828)&gt;=DATE(PlanYear,6,1)),1,0))</f>
        <v>0</v>
      </c>
      <c r="U828">
        <f>IF($N828=0,0,IF(AND($F828&lt;=EOMONTH(DATE(PlanYear,7,1),0),IF(ISNUMBER($G828),$G828,$F828)&gt;=DATE(PlanYear,7,1)),1,0))</f>
        <v>0</v>
      </c>
      <c r="V828">
        <f>IF($N828=0,0,IF(AND($F828&lt;=EOMONTH(DATE(PlanYear,8,1),0),IF(ISNUMBER($G828),$G828,$F828)&gt;=DATE(PlanYear,8,1)),1,0))</f>
        <v>0</v>
      </c>
      <c r="W828">
        <f>IF($N828=0,0,IF(AND($F828&lt;=EOMONTH(DATE(PlanYear,9,1),0),IF(ISNUMBER($G828),$G828,$F828)&gt;=DATE(PlanYear,9,1)),1,0))</f>
        <v>0</v>
      </c>
      <c r="X828">
        <f>IF($N828=0,0,IF(AND($F828&lt;=EOMONTH(DATE(PlanYear,10,1),0),IF(ISNUMBER($G828),$G828,$F828)&gt;=DATE(PlanYear,10,1)),1,0))</f>
        <v>0</v>
      </c>
      <c r="Y828">
        <f>IF($N828=0,0,IF(AND($F828&lt;=EOMONTH(DATE(PlanYear,11,1),0),IF(ISNUMBER($G828),$G828,$F828)&gt;=DATE(PlanYear,11,1)),1,0))</f>
        <v>0</v>
      </c>
      <c r="Z828">
        <f>IF($N828=0,0,IF(AND($F828&lt;=EOMONTH(DATE(PlanYear,12,1),0),IF(ISNUMBER($G828),$G828,$F828)&gt;=DATE(PlanYear,12,1)),1,0))</f>
        <v>0</v>
      </c>
      <c r="AA828">
        <f>SUM($O828:$Z828)</f>
        <v>0</v>
      </c>
    </row>
    <row r="829" spans="1:27">
      <c r="A829" s="42">
        <f>IF($B829="","","ACT-"&amp;TEXT(ROW()-4,"000"))</f>
        <v>0</v>
      </c>
      <c r="M829" s="43">
        <f>IF(COUNTA($B829:$K829)=0,"",IF($B829="","Missing activity name",IF($C829="","Missing practice",IF(COUNTIF(PracticeNames,$C829)=0,"Practice not in Lists",IF($D829="","Missing motion",IF(NOT(ISNUMBER($F829)),"Missing or invalid start date",IF(AND(ISNUMBER($G829),$G829&lt;$F829),"End date before start",IF(AND($N829=1,$AA829=0),"Outside planning year","OK"))))))))</f>
        <v>0</v>
      </c>
      <c r="N829">
        <f>IF(AND($B829&lt;&gt;"",$C829&lt;&gt;"",$D829&lt;&gt;"",ISNUMBER($F829),COUNTIF(PracticeNames,$C829)&gt;0,COUNTIF(MotionNames,$D829)&gt;0,NOT(AND(ISNUMBER($G829),$G829&lt;$F829))),IF(StatusFilter="All (excl. Cancelled)",IF($H829="Cancelled",0,1),IF(StatusFilter="All",1,IF($H829=StatusFilter,1,0))),0)</f>
        <v>0</v>
      </c>
      <c r="O829">
        <f>IF($N829=0,0,IF(AND($F829&lt;=EOMONTH(DATE(PlanYear,1,1),0),IF(ISNUMBER($G829),$G829,$F829)&gt;=DATE(PlanYear,1,1)),1,0))</f>
        <v>0</v>
      </c>
      <c r="P829">
        <f>IF($N829=0,0,IF(AND($F829&lt;=EOMONTH(DATE(PlanYear,2,1),0),IF(ISNUMBER($G829),$G829,$F829)&gt;=DATE(PlanYear,2,1)),1,0))</f>
        <v>0</v>
      </c>
      <c r="Q829">
        <f>IF($N829=0,0,IF(AND($F829&lt;=EOMONTH(DATE(PlanYear,3,1),0),IF(ISNUMBER($G829),$G829,$F829)&gt;=DATE(PlanYear,3,1)),1,0))</f>
        <v>0</v>
      </c>
      <c r="R829">
        <f>IF($N829=0,0,IF(AND($F829&lt;=EOMONTH(DATE(PlanYear,4,1),0),IF(ISNUMBER($G829),$G829,$F829)&gt;=DATE(PlanYear,4,1)),1,0))</f>
        <v>0</v>
      </c>
      <c r="S829">
        <f>IF($N829=0,0,IF(AND($F829&lt;=EOMONTH(DATE(PlanYear,5,1),0),IF(ISNUMBER($G829),$G829,$F829)&gt;=DATE(PlanYear,5,1)),1,0))</f>
        <v>0</v>
      </c>
      <c r="T829">
        <f>IF($N829=0,0,IF(AND($F829&lt;=EOMONTH(DATE(PlanYear,6,1),0),IF(ISNUMBER($G829),$G829,$F829)&gt;=DATE(PlanYear,6,1)),1,0))</f>
        <v>0</v>
      </c>
      <c r="U829">
        <f>IF($N829=0,0,IF(AND($F829&lt;=EOMONTH(DATE(PlanYear,7,1),0),IF(ISNUMBER($G829),$G829,$F829)&gt;=DATE(PlanYear,7,1)),1,0))</f>
        <v>0</v>
      </c>
      <c r="V829">
        <f>IF($N829=0,0,IF(AND($F829&lt;=EOMONTH(DATE(PlanYear,8,1),0),IF(ISNUMBER($G829),$G829,$F829)&gt;=DATE(PlanYear,8,1)),1,0))</f>
        <v>0</v>
      </c>
      <c r="W829">
        <f>IF($N829=0,0,IF(AND($F829&lt;=EOMONTH(DATE(PlanYear,9,1),0),IF(ISNUMBER($G829),$G829,$F829)&gt;=DATE(PlanYear,9,1)),1,0))</f>
        <v>0</v>
      </c>
      <c r="X829">
        <f>IF($N829=0,0,IF(AND($F829&lt;=EOMONTH(DATE(PlanYear,10,1),0),IF(ISNUMBER($G829),$G829,$F829)&gt;=DATE(PlanYear,10,1)),1,0))</f>
        <v>0</v>
      </c>
      <c r="Y829">
        <f>IF($N829=0,0,IF(AND($F829&lt;=EOMONTH(DATE(PlanYear,11,1),0),IF(ISNUMBER($G829),$G829,$F829)&gt;=DATE(PlanYear,11,1)),1,0))</f>
        <v>0</v>
      </c>
      <c r="Z829">
        <f>IF($N829=0,0,IF(AND($F829&lt;=EOMONTH(DATE(PlanYear,12,1),0),IF(ISNUMBER($G829),$G829,$F829)&gt;=DATE(PlanYear,12,1)),1,0))</f>
        <v>0</v>
      </c>
      <c r="AA829">
        <f>SUM($O829:$Z829)</f>
        <v>0</v>
      </c>
    </row>
    <row r="830" spans="1:27">
      <c r="A830" s="42">
        <f>IF($B830="","","ACT-"&amp;TEXT(ROW()-4,"000"))</f>
        <v>0</v>
      </c>
      <c r="M830" s="43">
        <f>IF(COUNTA($B830:$K830)=0,"",IF($B830="","Missing activity name",IF($C830="","Missing practice",IF(COUNTIF(PracticeNames,$C830)=0,"Practice not in Lists",IF($D830="","Missing motion",IF(NOT(ISNUMBER($F830)),"Missing or invalid start date",IF(AND(ISNUMBER($G830),$G830&lt;$F830),"End date before start",IF(AND($N830=1,$AA830=0),"Outside planning year","OK"))))))))</f>
        <v>0</v>
      </c>
      <c r="N830">
        <f>IF(AND($B830&lt;&gt;"",$C830&lt;&gt;"",$D830&lt;&gt;"",ISNUMBER($F830),COUNTIF(PracticeNames,$C830)&gt;0,COUNTIF(MotionNames,$D830)&gt;0,NOT(AND(ISNUMBER($G830),$G830&lt;$F830))),IF(StatusFilter="All (excl. Cancelled)",IF($H830="Cancelled",0,1),IF(StatusFilter="All",1,IF($H830=StatusFilter,1,0))),0)</f>
        <v>0</v>
      </c>
      <c r="O830">
        <f>IF($N830=0,0,IF(AND($F830&lt;=EOMONTH(DATE(PlanYear,1,1),0),IF(ISNUMBER($G830),$G830,$F830)&gt;=DATE(PlanYear,1,1)),1,0))</f>
        <v>0</v>
      </c>
      <c r="P830">
        <f>IF($N830=0,0,IF(AND($F830&lt;=EOMONTH(DATE(PlanYear,2,1),0),IF(ISNUMBER($G830),$G830,$F830)&gt;=DATE(PlanYear,2,1)),1,0))</f>
        <v>0</v>
      </c>
      <c r="Q830">
        <f>IF($N830=0,0,IF(AND($F830&lt;=EOMONTH(DATE(PlanYear,3,1),0),IF(ISNUMBER($G830),$G830,$F830)&gt;=DATE(PlanYear,3,1)),1,0))</f>
        <v>0</v>
      </c>
      <c r="R830">
        <f>IF($N830=0,0,IF(AND($F830&lt;=EOMONTH(DATE(PlanYear,4,1),0),IF(ISNUMBER($G830),$G830,$F830)&gt;=DATE(PlanYear,4,1)),1,0))</f>
        <v>0</v>
      </c>
      <c r="S830">
        <f>IF($N830=0,0,IF(AND($F830&lt;=EOMONTH(DATE(PlanYear,5,1),0),IF(ISNUMBER($G830),$G830,$F830)&gt;=DATE(PlanYear,5,1)),1,0))</f>
        <v>0</v>
      </c>
      <c r="T830">
        <f>IF($N830=0,0,IF(AND($F830&lt;=EOMONTH(DATE(PlanYear,6,1),0),IF(ISNUMBER($G830),$G830,$F830)&gt;=DATE(PlanYear,6,1)),1,0))</f>
        <v>0</v>
      </c>
      <c r="U830">
        <f>IF($N830=0,0,IF(AND($F830&lt;=EOMONTH(DATE(PlanYear,7,1),0),IF(ISNUMBER($G830),$G830,$F830)&gt;=DATE(PlanYear,7,1)),1,0))</f>
        <v>0</v>
      </c>
      <c r="V830">
        <f>IF($N830=0,0,IF(AND($F830&lt;=EOMONTH(DATE(PlanYear,8,1),0),IF(ISNUMBER($G830),$G830,$F830)&gt;=DATE(PlanYear,8,1)),1,0))</f>
        <v>0</v>
      </c>
      <c r="W830">
        <f>IF($N830=0,0,IF(AND($F830&lt;=EOMONTH(DATE(PlanYear,9,1),0),IF(ISNUMBER($G830),$G830,$F830)&gt;=DATE(PlanYear,9,1)),1,0))</f>
        <v>0</v>
      </c>
      <c r="X830">
        <f>IF($N830=0,0,IF(AND($F830&lt;=EOMONTH(DATE(PlanYear,10,1),0),IF(ISNUMBER($G830),$G830,$F830)&gt;=DATE(PlanYear,10,1)),1,0))</f>
        <v>0</v>
      </c>
      <c r="Y830">
        <f>IF($N830=0,0,IF(AND($F830&lt;=EOMONTH(DATE(PlanYear,11,1),0),IF(ISNUMBER($G830),$G830,$F830)&gt;=DATE(PlanYear,11,1)),1,0))</f>
        <v>0</v>
      </c>
      <c r="Z830">
        <f>IF($N830=0,0,IF(AND($F830&lt;=EOMONTH(DATE(PlanYear,12,1),0),IF(ISNUMBER($G830),$G830,$F830)&gt;=DATE(PlanYear,12,1)),1,0))</f>
        <v>0</v>
      </c>
      <c r="AA830">
        <f>SUM($O830:$Z830)</f>
        <v>0</v>
      </c>
    </row>
    <row r="831" spans="1:27">
      <c r="A831" s="42">
        <f>IF($B831="","","ACT-"&amp;TEXT(ROW()-4,"000"))</f>
        <v>0</v>
      </c>
      <c r="M831" s="43">
        <f>IF(COUNTA($B831:$K831)=0,"",IF($B831="","Missing activity name",IF($C831="","Missing practice",IF(COUNTIF(PracticeNames,$C831)=0,"Practice not in Lists",IF($D831="","Missing motion",IF(NOT(ISNUMBER($F831)),"Missing or invalid start date",IF(AND(ISNUMBER($G831),$G831&lt;$F831),"End date before start",IF(AND($N831=1,$AA831=0),"Outside planning year","OK"))))))))</f>
        <v>0</v>
      </c>
      <c r="N831">
        <f>IF(AND($B831&lt;&gt;"",$C831&lt;&gt;"",$D831&lt;&gt;"",ISNUMBER($F831),COUNTIF(PracticeNames,$C831)&gt;0,COUNTIF(MotionNames,$D831)&gt;0,NOT(AND(ISNUMBER($G831),$G831&lt;$F831))),IF(StatusFilter="All (excl. Cancelled)",IF($H831="Cancelled",0,1),IF(StatusFilter="All",1,IF($H831=StatusFilter,1,0))),0)</f>
        <v>0</v>
      </c>
      <c r="O831">
        <f>IF($N831=0,0,IF(AND($F831&lt;=EOMONTH(DATE(PlanYear,1,1),0),IF(ISNUMBER($G831),$G831,$F831)&gt;=DATE(PlanYear,1,1)),1,0))</f>
        <v>0</v>
      </c>
      <c r="P831">
        <f>IF($N831=0,0,IF(AND($F831&lt;=EOMONTH(DATE(PlanYear,2,1),0),IF(ISNUMBER($G831),$G831,$F831)&gt;=DATE(PlanYear,2,1)),1,0))</f>
        <v>0</v>
      </c>
      <c r="Q831">
        <f>IF($N831=0,0,IF(AND($F831&lt;=EOMONTH(DATE(PlanYear,3,1),0),IF(ISNUMBER($G831),$G831,$F831)&gt;=DATE(PlanYear,3,1)),1,0))</f>
        <v>0</v>
      </c>
      <c r="R831">
        <f>IF($N831=0,0,IF(AND($F831&lt;=EOMONTH(DATE(PlanYear,4,1),0),IF(ISNUMBER($G831),$G831,$F831)&gt;=DATE(PlanYear,4,1)),1,0))</f>
        <v>0</v>
      </c>
      <c r="S831">
        <f>IF($N831=0,0,IF(AND($F831&lt;=EOMONTH(DATE(PlanYear,5,1),0),IF(ISNUMBER($G831),$G831,$F831)&gt;=DATE(PlanYear,5,1)),1,0))</f>
        <v>0</v>
      </c>
      <c r="T831">
        <f>IF($N831=0,0,IF(AND($F831&lt;=EOMONTH(DATE(PlanYear,6,1),0),IF(ISNUMBER($G831),$G831,$F831)&gt;=DATE(PlanYear,6,1)),1,0))</f>
        <v>0</v>
      </c>
      <c r="U831">
        <f>IF($N831=0,0,IF(AND($F831&lt;=EOMONTH(DATE(PlanYear,7,1),0),IF(ISNUMBER($G831),$G831,$F831)&gt;=DATE(PlanYear,7,1)),1,0))</f>
        <v>0</v>
      </c>
      <c r="V831">
        <f>IF($N831=0,0,IF(AND($F831&lt;=EOMONTH(DATE(PlanYear,8,1),0),IF(ISNUMBER($G831),$G831,$F831)&gt;=DATE(PlanYear,8,1)),1,0))</f>
        <v>0</v>
      </c>
      <c r="W831">
        <f>IF($N831=0,0,IF(AND($F831&lt;=EOMONTH(DATE(PlanYear,9,1),0),IF(ISNUMBER($G831),$G831,$F831)&gt;=DATE(PlanYear,9,1)),1,0))</f>
        <v>0</v>
      </c>
      <c r="X831">
        <f>IF($N831=0,0,IF(AND($F831&lt;=EOMONTH(DATE(PlanYear,10,1),0),IF(ISNUMBER($G831),$G831,$F831)&gt;=DATE(PlanYear,10,1)),1,0))</f>
        <v>0</v>
      </c>
      <c r="Y831">
        <f>IF($N831=0,0,IF(AND($F831&lt;=EOMONTH(DATE(PlanYear,11,1),0),IF(ISNUMBER($G831),$G831,$F831)&gt;=DATE(PlanYear,11,1)),1,0))</f>
        <v>0</v>
      </c>
      <c r="Z831">
        <f>IF($N831=0,0,IF(AND($F831&lt;=EOMONTH(DATE(PlanYear,12,1),0),IF(ISNUMBER($G831),$G831,$F831)&gt;=DATE(PlanYear,12,1)),1,0))</f>
        <v>0</v>
      </c>
      <c r="AA831">
        <f>SUM($O831:$Z831)</f>
        <v>0</v>
      </c>
    </row>
    <row r="832" spans="1:27">
      <c r="A832" s="42">
        <f>IF($B832="","","ACT-"&amp;TEXT(ROW()-4,"000"))</f>
        <v>0</v>
      </c>
      <c r="M832" s="43">
        <f>IF(COUNTA($B832:$K832)=0,"",IF($B832="","Missing activity name",IF($C832="","Missing practice",IF(COUNTIF(PracticeNames,$C832)=0,"Practice not in Lists",IF($D832="","Missing motion",IF(NOT(ISNUMBER($F832)),"Missing or invalid start date",IF(AND(ISNUMBER($G832),$G832&lt;$F832),"End date before start",IF(AND($N832=1,$AA832=0),"Outside planning year","OK"))))))))</f>
        <v>0</v>
      </c>
      <c r="N832">
        <f>IF(AND($B832&lt;&gt;"",$C832&lt;&gt;"",$D832&lt;&gt;"",ISNUMBER($F832),COUNTIF(PracticeNames,$C832)&gt;0,COUNTIF(MotionNames,$D832)&gt;0,NOT(AND(ISNUMBER($G832),$G832&lt;$F832))),IF(StatusFilter="All (excl. Cancelled)",IF($H832="Cancelled",0,1),IF(StatusFilter="All",1,IF($H832=StatusFilter,1,0))),0)</f>
        <v>0</v>
      </c>
      <c r="O832">
        <f>IF($N832=0,0,IF(AND($F832&lt;=EOMONTH(DATE(PlanYear,1,1),0),IF(ISNUMBER($G832),$G832,$F832)&gt;=DATE(PlanYear,1,1)),1,0))</f>
        <v>0</v>
      </c>
      <c r="P832">
        <f>IF($N832=0,0,IF(AND($F832&lt;=EOMONTH(DATE(PlanYear,2,1),0),IF(ISNUMBER($G832),$G832,$F832)&gt;=DATE(PlanYear,2,1)),1,0))</f>
        <v>0</v>
      </c>
      <c r="Q832">
        <f>IF($N832=0,0,IF(AND($F832&lt;=EOMONTH(DATE(PlanYear,3,1),0),IF(ISNUMBER($G832),$G832,$F832)&gt;=DATE(PlanYear,3,1)),1,0))</f>
        <v>0</v>
      </c>
      <c r="R832">
        <f>IF($N832=0,0,IF(AND($F832&lt;=EOMONTH(DATE(PlanYear,4,1),0),IF(ISNUMBER($G832),$G832,$F832)&gt;=DATE(PlanYear,4,1)),1,0))</f>
        <v>0</v>
      </c>
      <c r="S832">
        <f>IF($N832=0,0,IF(AND($F832&lt;=EOMONTH(DATE(PlanYear,5,1),0),IF(ISNUMBER($G832),$G832,$F832)&gt;=DATE(PlanYear,5,1)),1,0))</f>
        <v>0</v>
      </c>
      <c r="T832">
        <f>IF($N832=0,0,IF(AND($F832&lt;=EOMONTH(DATE(PlanYear,6,1),0),IF(ISNUMBER($G832),$G832,$F832)&gt;=DATE(PlanYear,6,1)),1,0))</f>
        <v>0</v>
      </c>
      <c r="U832">
        <f>IF($N832=0,0,IF(AND($F832&lt;=EOMONTH(DATE(PlanYear,7,1),0),IF(ISNUMBER($G832),$G832,$F832)&gt;=DATE(PlanYear,7,1)),1,0))</f>
        <v>0</v>
      </c>
      <c r="V832">
        <f>IF($N832=0,0,IF(AND($F832&lt;=EOMONTH(DATE(PlanYear,8,1),0),IF(ISNUMBER($G832),$G832,$F832)&gt;=DATE(PlanYear,8,1)),1,0))</f>
        <v>0</v>
      </c>
      <c r="W832">
        <f>IF($N832=0,0,IF(AND($F832&lt;=EOMONTH(DATE(PlanYear,9,1),0),IF(ISNUMBER($G832),$G832,$F832)&gt;=DATE(PlanYear,9,1)),1,0))</f>
        <v>0</v>
      </c>
      <c r="X832">
        <f>IF($N832=0,0,IF(AND($F832&lt;=EOMONTH(DATE(PlanYear,10,1),0),IF(ISNUMBER($G832),$G832,$F832)&gt;=DATE(PlanYear,10,1)),1,0))</f>
        <v>0</v>
      </c>
      <c r="Y832">
        <f>IF($N832=0,0,IF(AND($F832&lt;=EOMONTH(DATE(PlanYear,11,1),0),IF(ISNUMBER($G832),$G832,$F832)&gt;=DATE(PlanYear,11,1)),1,0))</f>
        <v>0</v>
      </c>
      <c r="Z832">
        <f>IF($N832=0,0,IF(AND($F832&lt;=EOMONTH(DATE(PlanYear,12,1),0),IF(ISNUMBER($G832),$G832,$F832)&gt;=DATE(PlanYear,12,1)),1,0))</f>
        <v>0</v>
      </c>
      <c r="AA832">
        <f>SUM($O832:$Z832)</f>
        <v>0</v>
      </c>
    </row>
    <row r="833" spans="1:27">
      <c r="A833" s="42">
        <f>IF($B833="","","ACT-"&amp;TEXT(ROW()-4,"000"))</f>
        <v>0</v>
      </c>
      <c r="M833" s="43">
        <f>IF(COUNTA($B833:$K833)=0,"",IF($B833="","Missing activity name",IF($C833="","Missing practice",IF(COUNTIF(PracticeNames,$C833)=0,"Practice not in Lists",IF($D833="","Missing motion",IF(NOT(ISNUMBER($F833)),"Missing or invalid start date",IF(AND(ISNUMBER($G833),$G833&lt;$F833),"End date before start",IF(AND($N833=1,$AA833=0),"Outside planning year","OK"))))))))</f>
        <v>0</v>
      </c>
      <c r="N833">
        <f>IF(AND($B833&lt;&gt;"",$C833&lt;&gt;"",$D833&lt;&gt;"",ISNUMBER($F833),COUNTIF(PracticeNames,$C833)&gt;0,COUNTIF(MotionNames,$D833)&gt;0,NOT(AND(ISNUMBER($G833),$G833&lt;$F833))),IF(StatusFilter="All (excl. Cancelled)",IF($H833="Cancelled",0,1),IF(StatusFilter="All",1,IF($H833=StatusFilter,1,0))),0)</f>
        <v>0</v>
      </c>
      <c r="O833">
        <f>IF($N833=0,0,IF(AND($F833&lt;=EOMONTH(DATE(PlanYear,1,1),0),IF(ISNUMBER($G833),$G833,$F833)&gt;=DATE(PlanYear,1,1)),1,0))</f>
        <v>0</v>
      </c>
      <c r="P833">
        <f>IF($N833=0,0,IF(AND($F833&lt;=EOMONTH(DATE(PlanYear,2,1),0),IF(ISNUMBER($G833),$G833,$F833)&gt;=DATE(PlanYear,2,1)),1,0))</f>
        <v>0</v>
      </c>
      <c r="Q833">
        <f>IF($N833=0,0,IF(AND($F833&lt;=EOMONTH(DATE(PlanYear,3,1),0),IF(ISNUMBER($G833),$G833,$F833)&gt;=DATE(PlanYear,3,1)),1,0))</f>
        <v>0</v>
      </c>
      <c r="R833">
        <f>IF($N833=0,0,IF(AND($F833&lt;=EOMONTH(DATE(PlanYear,4,1),0),IF(ISNUMBER($G833),$G833,$F833)&gt;=DATE(PlanYear,4,1)),1,0))</f>
        <v>0</v>
      </c>
      <c r="S833">
        <f>IF($N833=0,0,IF(AND($F833&lt;=EOMONTH(DATE(PlanYear,5,1),0),IF(ISNUMBER($G833),$G833,$F833)&gt;=DATE(PlanYear,5,1)),1,0))</f>
        <v>0</v>
      </c>
      <c r="T833">
        <f>IF($N833=0,0,IF(AND($F833&lt;=EOMONTH(DATE(PlanYear,6,1),0),IF(ISNUMBER($G833),$G833,$F833)&gt;=DATE(PlanYear,6,1)),1,0))</f>
        <v>0</v>
      </c>
      <c r="U833">
        <f>IF($N833=0,0,IF(AND($F833&lt;=EOMONTH(DATE(PlanYear,7,1),0),IF(ISNUMBER($G833),$G833,$F833)&gt;=DATE(PlanYear,7,1)),1,0))</f>
        <v>0</v>
      </c>
      <c r="V833">
        <f>IF($N833=0,0,IF(AND($F833&lt;=EOMONTH(DATE(PlanYear,8,1),0),IF(ISNUMBER($G833),$G833,$F833)&gt;=DATE(PlanYear,8,1)),1,0))</f>
        <v>0</v>
      </c>
      <c r="W833">
        <f>IF($N833=0,0,IF(AND($F833&lt;=EOMONTH(DATE(PlanYear,9,1),0),IF(ISNUMBER($G833),$G833,$F833)&gt;=DATE(PlanYear,9,1)),1,0))</f>
        <v>0</v>
      </c>
      <c r="X833">
        <f>IF($N833=0,0,IF(AND($F833&lt;=EOMONTH(DATE(PlanYear,10,1),0),IF(ISNUMBER($G833),$G833,$F833)&gt;=DATE(PlanYear,10,1)),1,0))</f>
        <v>0</v>
      </c>
      <c r="Y833">
        <f>IF($N833=0,0,IF(AND($F833&lt;=EOMONTH(DATE(PlanYear,11,1),0),IF(ISNUMBER($G833),$G833,$F833)&gt;=DATE(PlanYear,11,1)),1,0))</f>
        <v>0</v>
      </c>
      <c r="Z833">
        <f>IF($N833=0,0,IF(AND($F833&lt;=EOMONTH(DATE(PlanYear,12,1),0),IF(ISNUMBER($G833),$G833,$F833)&gt;=DATE(PlanYear,12,1)),1,0))</f>
        <v>0</v>
      </c>
      <c r="AA833">
        <f>SUM($O833:$Z833)</f>
        <v>0</v>
      </c>
    </row>
    <row r="834" spans="1:27">
      <c r="A834" s="42">
        <f>IF($B834="","","ACT-"&amp;TEXT(ROW()-4,"000"))</f>
        <v>0</v>
      </c>
      <c r="M834" s="43">
        <f>IF(COUNTA($B834:$K834)=0,"",IF($B834="","Missing activity name",IF($C834="","Missing practice",IF(COUNTIF(PracticeNames,$C834)=0,"Practice not in Lists",IF($D834="","Missing motion",IF(NOT(ISNUMBER($F834)),"Missing or invalid start date",IF(AND(ISNUMBER($G834),$G834&lt;$F834),"End date before start",IF(AND($N834=1,$AA834=0),"Outside planning year","OK"))))))))</f>
        <v>0</v>
      </c>
      <c r="N834">
        <f>IF(AND($B834&lt;&gt;"",$C834&lt;&gt;"",$D834&lt;&gt;"",ISNUMBER($F834),COUNTIF(PracticeNames,$C834)&gt;0,COUNTIF(MotionNames,$D834)&gt;0,NOT(AND(ISNUMBER($G834),$G834&lt;$F834))),IF(StatusFilter="All (excl. Cancelled)",IF($H834="Cancelled",0,1),IF(StatusFilter="All",1,IF($H834=StatusFilter,1,0))),0)</f>
        <v>0</v>
      </c>
      <c r="O834">
        <f>IF($N834=0,0,IF(AND($F834&lt;=EOMONTH(DATE(PlanYear,1,1),0),IF(ISNUMBER($G834),$G834,$F834)&gt;=DATE(PlanYear,1,1)),1,0))</f>
        <v>0</v>
      </c>
      <c r="P834">
        <f>IF($N834=0,0,IF(AND($F834&lt;=EOMONTH(DATE(PlanYear,2,1),0),IF(ISNUMBER($G834),$G834,$F834)&gt;=DATE(PlanYear,2,1)),1,0))</f>
        <v>0</v>
      </c>
      <c r="Q834">
        <f>IF($N834=0,0,IF(AND($F834&lt;=EOMONTH(DATE(PlanYear,3,1),0),IF(ISNUMBER($G834),$G834,$F834)&gt;=DATE(PlanYear,3,1)),1,0))</f>
        <v>0</v>
      </c>
      <c r="R834">
        <f>IF($N834=0,0,IF(AND($F834&lt;=EOMONTH(DATE(PlanYear,4,1),0),IF(ISNUMBER($G834),$G834,$F834)&gt;=DATE(PlanYear,4,1)),1,0))</f>
        <v>0</v>
      </c>
      <c r="S834">
        <f>IF($N834=0,0,IF(AND($F834&lt;=EOMONTH(DATE(PlanYear,5,1),0),IF(ISNUMBER($G834),$G834,$F834)&gt;=DATE(PlanYear,5,1)),1,0))</f>
        <v>0</v>
      </c>
      <c r="T834">
        <f>IF($N834=0,0,IF(AND($F834&lt;=EOMONTH(DATE(PlanYear,6,1),0),IF(ISNUMBER($G834),$G834,$F834)&gt;=DATE(PlanYear,6,1)),1,0))</f>
        <v>0</v>
      </c>
      <c r="U834">
        <f>IF($N834=0,0,IF(AND($F834&lt;=EOMONTH(DATE(PlanYear,7,1),0),IF(ISNUMBER($G834),$G834,$F834)&gt;=DATE(PlanYear,7,1)),1,0))</f>
        <v>0</v>
      </c>
      <c r="V834">
        <f>IF($N834=0,0,IF(AND($F834&lt;=EOMONTH(DATE(PlanYear,8,1),0),IF(ISNUMBER($G834),$G834,$F834)&gt;=DATE(PlanYear,8,1)),1,0))</f>
        <v>0</v>
      </c>
      <c r="W834">
        <f>IF($N834=0,0,IF(AND($F834&lt;=EOMONTH(DATE(PlanYear,9,1),0),IF(ISNUMBER($G834),$G834,$F834)&gt;=DATE(PlanYear,9,1)),1,0))</f>
        <v>0</v>
      </c>
      <c r="X834">
        <f>IF($N834=0,0,IF(AND($F834&lt;=EOMONTH(DATE(PlanYear,10,1),0),IF(ISNUMBER($G834),$G834,$F834)&gt;=DATE(PlanYear,10,1)),1,0))</f>
        <v>0</v>
      </c>
      <c r="Y834">
        <f>IF($N834=0,0,IF(AND($F834&lt;=EOMONTH(DATE(PlanYear,11,1),0),IF(ISNUMBER($G834),$G834,$F834)&gt;=DATE(PlanYear,11,1)),1,0))</f>
        <v>0</v>
      </c>
      <c r="Z834">
        <f>IF($N834=0,0,IF(AND($F834&lt;=EOMONTH(DATE(PlanYear,12,1),0),IF(ISNUMBER($G834),$G834,$F834)&gt;=DATE(PlanYear,12,1)),1,0))</f>
        <v>0</v>
      </c>
      <c r="AA834">
        <f>SUM($O834:$Z834)</f>
        <v>0</v>
      </c>
    </row>
    <row r="835" spans="1:27">
      <c r="A835" s="42">
        <f>IF($B835="","","ACT-"&amp;TEXT(ROW()-4,"000"))</f>
        <v>0</v>
      </c>
      <c r="M835" s="43">
        <f>IF(COUNTA($B835:$K835)=0,"",IF($B835="","Missing activity name",IF($C835="","Missing practice",IF(COUNTIF(PracticeNames,$C835)=0,"Practice not in Lists",IF($D835="","Missing motion",IF(NOT(ISNUMBER($F835)),"Missing or invalid start date",IF(AND(ISNUMBER($G835),$G835&lt;$F835),"End date before start",IF(AND($N835=1,$AA835=0),"Outside planning year","OK"))))))))</f>
        <v>0</v>
      </c>
      <c r="N835">
        <f>IF(AND($B835&lt;&gt;"",$C835&lt;&gt;"",$D835&lt;&gt;"",ISNUMBER($F835),COUNTIF(PracticeNames,$C835)&gt;0,COUNTIF(MotionNames,$D835)&gt;0,NOT(AND(ISNUMBER($G835),$G835&lt;$F835))),IF(StatusFilter="All (excl. Cancelled)",IF($H835="Cancelled",0,1),IF(StatusFilter="All",1,IF($H835=StatusFilter,1,0))),0)</f>
        <v>0</v>
      </c>
      <c r="O835">
        <f>IF($N835=0,0,IF(AND($F835&lt;=EOMONTH(DATE(PlanYear,1,1),0),IF(ISNUMBER($G835),$G835,$F835)&gt;=DATE(PlanYear,1,1)),1,0))</f>
        <v>0</v>
      </c>
      <c r="P835">
        <f>IF($N835=0,0,IF(AND($F835&lt;=EOMONTH(DATE(PlanYear,2,1),0),IF(ISNUMBER($G835),$G835,$F835)&gt;=DATE(PlanYear,2,1)),1,0))</f>
        <v>0</v>
      </c>
      <c r="Q835">
        <f>IF($N835=0,0,IF(AND($F835&lt;=EOMONTH(DATE(PlanYear,3,1),0),IF(ISNUMBER($G835),$G835,$F835)&gt;=DATE(PlanYear,3,1)),1,0))</f>
        <v>0</v>
      </c>
      <c r="R835">
        <f>IF($N835=0,0,IF(AND($F835&lt;=EOMONTH(DATE(PlanYear,4,1),0),IF(ISNUMBER($G835),$G835,$F835)&gt;=DATE(PlanYear,4,1)),1,0))</f>
        <v>0</v>
      </c>
      <c r="S835">
        <f>IF($N835=0,0,IF(AND($F835&lt;=EOMONTH(DATE(PlanYear,5,1),0),IF(ISNUMBER($G835),$G835,$F835)&gt;=DATE(PlanYear,5,1)),1,0))</f>
        <v>0</v>
      </c>
      <c r="T835">
        <f>IF($N835=0,0,IF(AND($F835&lt;=EOMONTH(DATE(PlanYear,6,1),0),IF(ISNUMBER($G835),$G835,$F835)&gt;=DATE(PlanYear,6,1)),1,0))</f>
        <v>0</v>
      </c>
      <c r="U835">
        <f>IF($N835=0,0,IF(AND($F835&lt;=EOMONTH(DATE(PlanYear,7,1),0),IF(ISNUMBER($G835),$G835,$F835)&gt;=DATE(PlanYear,7,1)),1,0))</f>
        <v>0</v>
      </c>
      <c r="V835">
        <f>IF($N835=0,0,IF(AND($F835&lt;=EOMONTH(DATE(PlanYear,8,1),0),IF(ISNUMBER($G835),$G835,$F835)&gt;=DATE(PlanYear,8,1)),1,0))</f>
        <v>0</v>
      </c>
      <c r="W835">
        <f>IF($N835=0,0,IF(AND($F835&lt;=EOMONTH(DATE(PlanYear,9,1),0),IF(ISNUMBER($G835),$G835,$F835)&gt;=DATE(PlanYear,9,1)),1,0))</f>
        <v>0</v>
      </c>
      <c r="X835">
        <f>IF($N835=0,0,IF(AND($F835&lt;=EOMONTH(DATE(PlanYear,10,1),0),IF(ISNUMBER($G835),$G835,$F835)&gt;=DATE(PlanYear,10,1)),1,0))</f>
        <v>0</v>
      </c>
      <c r="Y835">
        <f>IF($N835=0,0,IF(AND($F835&lt;=EOMONTH(DATE(PlanYear,11,1),0),IF(ISNUMBER($G835),$G835,$F835)&gt;=DATE(PlanYear,11,1)),1,0))</f>
        <v>0</v>
      </c>
      <c r="Z835">
        <f>IF($N835=0,0,IF(AND($F835&lt;=EOMONTH(DATE(PlanYear,12,1),0),IF(ISNUMBER($G835),$G835,$F835)&gt;=DATE(PlanYear,12,1)),1,0))</f>
        <v>0</v>
      </c>
      <c r="AA835">
        <f>SUM($O835:$Z835)</f>
        <v>0</v>
      </c>
    </row>
    <row r="836" spans="1:27">
      <c r="A836" s="42">
        <f>IF($B836="","","ACT-"&amp;TEXT(ROW()-4,"000"))</f>
        <v>0</v>
      </c>
      <c r="M836" s="43">
        <f>IF(COUNTA($B836:$K836)=0,"",IF($B836="","Missing activity name",IF($C836="","Missing practice",IF(COUNTIF(PracticeNames,$C836)=0,"Practice not in Lists",IF($D836="","Missing motion",IF(NOT(ISNUMBER($F836)),"Missing or invalid start date",IF(AND(ISNUMBER($G836),$G836&lt;$F836),"End date before start",IF(AND($N836=1,$AA836=0),"Outside planning year","OK"))))))))</f>
        <v>0</v>
      </c>
      <c r="N836">
        <f>IF(AND($B836&lt;&gt;"",$C836&lt;&gt;"",$D836&lt;&gt;"",ISNUMBER($F836),COUNTIF(PracticeNames,$C836)&gt;0,COUNTIF(MotionNames,$D836)&gt;0,NOT(AND(ISNUMBER($G836),$G836&lt;$F836))),IF(StatusFilter="All (excl. Cancelled)",IF($H836="Cancelled",0,1),IF(StatusFilter="All",1,IF($H836=StatusFilter,1,0))),0)</f>
        <v>0</v>
      </c>
      <c r="O836">
        <f>IF($N836=0,0,IF(AND($F836&lt;=EOMONTH(DATE(PlanYear,1,1),0),IF(ISNUMBER($G836),$G836,$F836)&gt;=DATE(PlanYear,1,1)),1,0))</f>
        <v>0</v>
      </c>
      <c r="P836">
        <f>IF($N836=0,0,IF(AND($F836&lt;=EOMONTH(DATE(PlanYear,2,1),0),IF(ISNUMBER($G836),$G836,$F836)&gt;=DATE(PlanYear,2,1)),1,0))</f>
        <v>0</v>
      </c>
      <c r="Q836">
        <f>IF($N836=0,0,IF(AND($F836&lt;=EOMONTH(DATE(PlanYear,3,1),0),IF(ISNUMBER($G836),$G836,$F836)&gt;=DATE(PlanYear,3,1)),1,0))</f>
        <v>0</v>
      </c>
      <c r="R836">
        <f>IF($N836=0,0,IF(AND($F836&lt;=EOMONTH(DATE(PlanYear,4,1),0),IF(ISNUMBER($G836),$G836,$F836)&gt;=DATE(PlanYear,4,1)),1,0))</f>
        <v>0</v>
      </c>
      <c r="S836">
        <f>IF($N836=0,0,IF(AND($F836&lt;=EOMONTH(DATE(PlanYear,5,1),0),IF(ISNUMBER($G836),$G836,$F836)&gt;=DATE(PlanYear,5,1)),1,0))</f>
        <v>0</v>
      </c>
      <c r="T836">
        <f>IF($N836=0,0,IF(AND($F836&lt;=EOMONTH(DATE(PlanYear,6,1),0),IF(ISNUMBER($G836),$G836,$F836)&gt;=DATE(PlanYear,6,1)),1,0))</f>
        <v>0</v>
      </c>
      <c r="U836">
        <f>IF($N836=0,0,IF(AND($F836&lt;=EOMONTH(DATE(PlanYear,7,1),0),IF(ISNUMBER($G836),$G836,$F836)&gt;=DATE(PlanYear,7,1)),1,0))</f>
        <v>0</v>
      </c>
      <c r="V836">
        <f>IF($N836=0,0,IF(AND($F836&lt;=EOMONTH(DATE(PlanYear,8,1),0),IF(ISNUMBER($G836),$G836,$F836)&gt;=DATE(PlanYear,8,1)),1,0))</f>
        <v>0</v>
      </c>
      <c r="W836">
        <f>IF($N836=0,0,IF(AND($F836&lt;=EOMONTH(DATE(PlanYear,9,1),0),IF(ISNUMBER($G836),$G836,$F836)&gt;=DATE(PlanYear,9,1)),1,0))</f>
        <v>0</v>
      </c>
      <c r="X836">
        <f>IF($N836=0,0,IF(AND($F836&lt;=EOMONTH(DATE(PlanYear,10,1),0),IF(ISNUMBER($G836),$G836,$F836)&gt;=DATE(PlanYear,10,1)),1,0))</f>
        <v>0</v>
      </c>
      <c r="Y836">
        <f>IF($N836=0,0,IF(AND($F836&lt;=EOMONTH(DATE(PlanYear,11,1),0),IF(ISNUMBER($G836),$G836,$F836)&gt;=DATE(PlanYear,11,1)),1,0))</f>
        <v>0</v>
      </c>
      <c r="Z836">
        <f>IF($N836=0,0,IF(AND($F836&lt;=EOMONTH(DATE(PlanYear,12,1),0),IF(ISNUMBER($G836),$G836,$F836)&gt;=DATE(PlanYear,12,1)),1,0))</f>
        <v>0</v>
      </c>
      <c r="AA836">
        <f>SUM($O836:$Z836)</f>
        <v>0</v>
      </c>
    </row>
    <row r="837" spans="1:27">
      <c r="A837" s="42">
        <f>IF($B837="","","ACT-"&amp;TEXT(ROW()-4,"000"))</f>
        <v>0</v>
      </c>
      <c r="M837" s="43">
        <f>IF(COUNTA($B837:$K837)=0,"",IF($B837="","Missing activity name",IF($C837="","Missing practice",IF(COUNTIF(PracticeNames,$C837)=0,"Practice not in Lists",IF($D837="","Missing motion",IF(NOT(ISNUMBER($F837)),"Missing or invalid start date",IF(AND(ISNUMBER($G837),$G837&lt;$F837),"End date before start",IF(AND($N837=1,$AA837=0),"Outside planning year","OK"))))))))</f>
        <v>0</v>
      </c>
      <c r="N837">
        <f>IF(AND($B837&lt;&gt;"",$C837&lt;&gt;"",$D837&lt;&gt;"",ISNUMBER($F837),COUNTIF(PracticeNames,$C837)&gt;0,COUNTIF(MotionNames,$D837)&gt;0,NOT(AND(ISNUMBER($G837),$G837&lt;$F837))),IF(StatusFilter="All (excl. Cancelled)",IF($H837="Cancelled",0,1),IF(StatusFilter="All",1,IF($H837=StatusFilter,1,0))),0)</f>
        <v>0</v>
      </c>
      <c r="O837">
        <f>IF($N837=0,0,IF(AND($F837&lt;=EOMONTH(DATE(PlanYear,1,1),0),IF(ISNUMBER($G837),$G837,$F837)&gt;=DATE(PlanYear,1,1)),1,0))</f>
        <v>0</v>
      </c>
      <c r="P837">
        <f>IF($N837=0,0,IF(AND($F837&lt;=EOMONTH(DATE(PlanYear,2,1),0),IF(ISNUMBER($G837),$G837,$F837)&gt;=DATE(PlanYear,2,1)),1,0))</f>
        <v>0</v>
      </c>
      <c r="Q837">
        <f>IF($N837=0,0,IF(AND($F837&lt;=EOMONTH(DATE(PlanYear,3,1),0),IF(ISNUMBER($G837),$G837,$F837)&gt;=DATE(PlanYear,3,1)),1,0))</f>
        <v>0</v>
      </c>
      <c r="R837">
        <f>IF($N837=0,0,IF(AND($F837&lt;=EOMONTH(DATE(PlanYear,4,1),0),IF(ISNUMBER($G837),$G837,$F837)&gt;=DATE(PlanYear,4,1)),1,0))</f>
        <v>0</v>
      </c>
      <c r="S837">
        <f>IF($N837=0,0,IF(AND($F837&lt;=EOMONTH(DATE(PlanYear,5,1),0),IF(ISNUMBER($G837),$G837,$F837)&gt;=DATE(PlanYear,5,1)),1,0))</f>
        <v>0</v>
      </c>
      <c r="T837">
        <f>IF($N837=0,0,IF(AND($F837&lt;=EOMONTH(DATE(PlanYear,6,1),0),IF(ISNUMBER($G837),$G837,$F837)&gt;=DATE(PlanYear,6,1)),1,0))</f>
        <v>0</v>
      </c>
      <c r="U837">
        <f>IF($N837=0,0,IF(AND($F837&lt;=EOMONTH(DATE(PlanYear,7,1),0),IF(ISNUMBER($G837),$G837,$F837)&gt;=DATE(PlanYear,7,1)),1,0))</f>
        <v>0</v>
      </c>
      <c r="V837">
        <f>IF($N837=0,0,IF(AND($F837&lt;=EOMONTH(DATE(PlanYear,8,1),0),IF(ISNUMBER($G837),$G837,$F837)&gt;=DATE(PlanYear,8,1)),1,0))</f>
        <v>0</v>
      </c>
      <c r="W837">
        <f>IF($N837=0,0,IF(AND($F837&lt;=EOMONTH(DATE(PlanYear,9,1),0),IF(ISNUMBER($G837),$G837,$F837)&gt;=DATE(PlanYear,9,1)),1,0))</f>
        <v>0</v>
      </c>
      <c r="X837">
        <f>IF($N837=0,0,IF(AND($F837&lt;=EOMONTH(DATE(PlanYear,10,1),0),IF(ISNUMBER($G837),$G837,$F837)&gt;=DATE(PlanYear,10,1)),1,0))</f>
        <v>0</v>
      </c>
      <c r="Y837">
        <f>IF($N837=0,0,IF(AND($F837&lt;=EOMONTH(DATE(PlanYear,11,1),0),IF(ISNUMBER($G837),$G837,$F837)&gt;=DATE(PlanYear,11,1)),1,0))</f>
        <v>0</v>
      </c>
      <c r="Z837">
        <f>IF($N837=0,0,IF(AND($F837&lt;=EOMONTH(DATE(PlanYear,12,1),0),IF(ISNUMBER($G837),$G837,$F837)&gt;=DATE(PlanYear,12,1)),1,0))</f>
        <v>0</v>
      </c>
      <c r="AA837">
        <f>SUM($O837:$Z837)</f>
        <v>0</v>
      </c>
    </row>
    <row r="838" spans="1:27">
      <c r="A838" s="42">
        <f>IF($B838="","","ACT-"&amp;TEXT(ROW()-4,"000"))</f>
        <v>0</v>
      </c>
      <c r="M838" s="43">
        <f>IF(COUNTA($B838:$K838)=0,"",IF($B838="","Missing activity name",IF($C838="","Missing practice",IF(COUNTIF(PracticeNames,$C838)=0,"Practice not in Lists",IF($D838="","Missing motion",IF(NOT(ISNUMBER($F838)),"Missing or invalid start date",IF(AND(ISNUMBER($G838),$G838&lt;$F838),"End date before start",IF(AND($N838=1,$AA838=0),"Outside planning year","OK"))))))))</f>
        <v>0</v>
      </c>
      <c r="N838">
        <f>IF(AND($B838&lt;&gt;"",$C838&lt;&gt;"",$D838&lt;&gt;"",ISNUMBER($F838),COUNTIF(PracticeNames,$C838)&gt;0,COUNTIF(MotionNames,$D838)&gt;0,NOT(AND(ISNUMBER($G838),$G838&lt;$F838))),IF(StatusFilter="All (excl. Cancelled)",IF($H838="Cancelled",0,1),IF(StatusFilter="All",1,IF($H838=StatusFilter,1,0))),0)</f>
        <v>0</v>
      </c>
      <c r="O838">
        <f>IF($N838=0,0,IF(AND($F838&lt;=EOMONTH(DATE(PlanYear,1,1),0),IF(ISNUMBER($G838),$G838,$F838)&gt;=DATE(PlanYear,1,1)),1,0))</f>
        <v>0</v>
      </c>
      <c r="P838">
        <f>IF($N838=0,0,IF(AND($F838&lt;=EOMONTH(DATE(PlanYear,2,1),0),IF(ISNUMBER($G838),$G838,$F838)&gt;=DATE(PlanYear,2,1)),1,0))</f>
        <v>0</v>
      </c>
      <c r="Q838">
        <f>IF($N838=0,0,IF(AND($F838&lt;=EOMONTH(DATE(PlanYear,3,1),0),IF(ISNUMBER($G838),$G838,$F838)&gt;=DATE(PlanYear,3,1)),1,0))</f>
        <v>0</v>
      </c>
      <c r="R838">
        <f>IF($N838=0,0,IF(AND($F838&lt;=EOMONTH(DATE(PlanYear,4,1),0),IF(ISNUMBER($G838),$G838,$F838)&gt;=DATE(PlanYear,4,1)),1,0))</f>
        <v>0</v>
      </c>
      <c r="S838">
        <f>IF($N838=0,0,IF(AND($F838&lt;=EOMONTH(DATE(PlanYear,5,1),0),IF(ISNUMBER($G838),$G838,$F838)&gt;=DATE(PlanYear,5,1)),1,0))</f>
        <v>0</v>
      </c>
      <c r="T838">
        <f>IF($N838=0,0,IF(AND($F838&lt;=EOMONTH(DATE(PlanYear,6,1),0),IF(ISNUMBER($G838),$G838,$F838)&gt;=DATE(PlanYear,6,1)),1,0))</f>
        <v>0</v>
      </c>
      <c r="U838">
        <f>IF($N838=0,0,IF(AND($F838&lt;=EOMONTH(DATE(PlanYear,7,1),0),IF(ISNUMBER($G838),$G838,$F838)&gt;=DATE(PlanYear,7,1)),1,0))</f>
        <v>0</v>
      </c>
      <c r="V838">
        <f>IF($N838=0,0,IF(AND($F838&lt;=EOMONTH(DATE(PlanYear,8,1),0),IF(ISNUMBER($G838),$G838,$F838)&gt;=DATE(PlanYear,8,1)),1,0))</f>
        <v>0</v>
      </c>
      <c r="W838">
        <f>IF($N838=0,0,IF(AND($F838&lt;=EOMONTH(DATE(PlanYear,9,1),0),IF(ISNUMBER($G838),$G838,$F838)&gt;=DATE(PlanYear,9,1)),1,0))</f>
        <v>0</v>
      </c>
      <c r="X838">
        <f>IF($N838=0,0,IF(AND($F838&lt;=EOMONTH(DATE(PlanYear,10,1),0),IF(ISNUMBER($G838),$G838,$F838)&gt;=DATE(PlanYear,10,1)),1,0))</f>
        <v>0</v>
      </c>
      <c r="Y838">
        <f>IF($N838=0,0,IF(AND($F838&lt;=EOMONTH(DATE(PlanYear,11,1),0),IF(ISNUMBER($G838),$G838,$F838)&gt;=DATE(PlanYear,11,1)),1,0))</f>
        <v>0</v>
      </c>
      <c r="Z838">
        <f>IF($N838=0,0,IF(AND($F838&lt;=EOMONTH(DATE(PlanYear,12,1),0),IF(ISNUMBER($G838),$G838,$F838)&gt;=DATE(PlanYear,12,1)),1,0))</f>
        <v>0</v>
      </c>
      <c r="AA838">
        <f>SUM($O838:$Z838)</f>
        <v>0</v>
      </c>
    </row>
    <row r="839" spans="1:27">
      <c r="A839" s="42">
        <f>IF($B839="","","ACT-"&amp;TEXT(ROW()-4,"000"))</f>
        <v>0</v>
      </c>
      <c r="M839" s="43">
        <f>IF(COUNTA($B839:$K839)=0,"",IF($B839="","Missing activity name",IF($C839="","Missing practice",IF(COUNTIF(PracticeNames,$C839)=0,"Practice not in Lists",IF($D839="","Missing motion",IF(NOT(ISNUMBER($F839)),"Missing or invalid start date",IF(AND(ISNUMBER($G839),$G839&lt;$F839),"End date before start",IF(AND($N839=1,$AA839=0),"Outside planning year","OK"))))))))</f>
        <v>0</v>
      </c>
      <c r="N839">
        <f>IF(AND($B839&lt;&gt;"",$C839&lt;&gt;"",$D839&lt;&gt;"",ISNUMBER($F839),COUNTIF(PracticeNames,$C839)&gt;0,COUNTIF(MotionNames,$D839)&gt;0,NOT(AND(ISNUMBER($G839),$G839&lt;$F839))),IF(StatusFilter="All (excl. Cancelled)",IF($H839="Cancelled",0,1),IF(StatusFilter="All",1,IF($H839=StatusFilter,1,0))),0)</f>
        <v>0</v>
      </c>
      <c r="O839">
        <f>IF($N839=0,0,IF(AND($F839&lt;=EOMONTH(DATE(PlanYear,1,1),0),IF(ISNUMBER($G839),$G839,$F839)&gt;=DATE(PlanYear,1,1)),1,0))</f>
        <v>0</v>
      </c>
      <c r="P839">
        <f>IF($N839=0,0,IF(AND($F839&lt;=EOMONTH(DATE(PlanYear,2,1),0),IF(ISNUMBER($G839),$G839,$F839)&gt;=DATE(PlanYear,2,1)),1,0))</f>
        <v>0</v>
      </c>
      <c r="Q839">
        <f>IF($N839=0,0,IF(AND($F839&lt;=EOMONTH(DATE(PlanYear,3,1),0),IF(ISNUMBER($G839),$G839,$F839)&gt;=DATE(PlanYear,3,1)),1,0))</f>
        <v>0</v>
      </c>
      <c r="R839">
        <f>IF($N839=0,0,IF(AND($F839&lt;=EOMONTH(DATE(PlanYear,4,1),0),IF(ISNUMBER($G839),$G839,$F839)&gt;=DATE(PlanYear,4,1)),1,0))</f>
        <v>0</v>
      </c>
      <c r="S839">
        <f>IF($N839=0,0,IF(AND($F839&lt;=EOMONTH(DATE(PlanYear,5,1),0),IF(ISNUMBER($G839),$G839,$F839)&gt;=DATE(PlanYear,5,1)),1,0))</f>
        <v>0</v>
      </c>
      <c r="T839">
        <f>IF($N839=0,0,IF(AND($F839&lt;=EOMONTH(DATE(PlanYear,6,1),0),IF(ISNUMBER($G839),$G839,$F839)&gt;=DATE(PlanYear,6,1)),1,0))</f>
        <v>0</v>
      </c>
      <c r="U839">
        <f>IF($N839=0,0,IF(AND($F839&lt;=EOMONTH(DATE(PlanYear,7,1),0),IF(ISNUMBER($G839),$G839,$F839)&gt;=DATE(PlanYear,7,1)),1,0))</f>
        <v>0</v>
      </c>
      <c r="V839">
        <f>IF($N839=0,0,IF(AND($F839&lt;=EOMONTH(DATE(PlanYear,8,1),0),IF(ISNUMBER($G839),$G839,$F839)&gt;=DATE(PlanYear,8,1)),1,0))</f>
        <v>0</v>
      </c>
      <c r="W839">
        <f>IF($N839=0,0,IF(AND($F839&lt;=EOMONTH(DATE(PlanYear,9,1),0),IF(ISNUMBER($G839),$G839,$F839)&gt;=DATE(PlanYear,9,1)),1,0))</f>
        <v>0</v>
      </c>
      <c r="X839">
        <f>IF($N839=0,0,IF(AND($F839&lt;=EOMONTH(DATE(PlanYear,10,1),0),IF(ISNUMBER($G839),$G839,$F839)&gt;=DATE(PlanYear,10,1)),1,0))</f>
        <v>0</v>
      </c>
      <c r="Y839">
        <f>IF($N839=0,0,IF(AND($F839&lt;=EOMONTH(DATE(PlanYear,11,1),0),IF(ISNUMBER($G839),$G839,$F839)&gt;=DATE(PlanYear,11,1)),1,0))</f>
        <v>0</v>
      </c>
      <c r="Z839">
        <f>IF($N839=0,0,IF(AND($F839&lt;=EOMONTH(DATE(PlanYear,12,1),0),IF(ISNUMBER($G839),$G839,$F839)&gt;=DATE(PlanYear,12,1)),1,0))</f>
        <v>0</v>
      </c>
      <c r="AA839">
        <f>SUM($O839:$Z839)</f>
        <v>0</v>
      </c>
    </row>
    <row r="840" spans="1:27">
      <c r="A840" s="42">
        <f>IF($B840="","","ACT-"&amp;TEXT(ROW()-4,"000"))</f>
        <v>0</v>
      </c>
      <c r="M840" s="43">
        <f>IF(COUNTA($B840:$K840)=0,"",IF($B840="","Missing activity name",IF($C840="","Missing practice",IF(COUNTIF(PracticeNames,$C840)=0,"Practice not in Lists",IF($D840="","Missing motion",IF(NOT(ISNUMBER($F840)),"Missing or invalid start date",IF(AND(ISNUMBER($G840),$G840&lt;$F840),"End date before start",IF(AND($N840=1,$AA840=0),"Outside planning year","OK"))))))))</f>
        <v>0</v>
      </c>
      <c r="N840">
        <f>IF(AND($B840&lt;&gt;"",$C840&lt;&gt;"",$D840&lt;&gt;"",ISNUMBER($F840),COUNTIF(PracticeNames,$C840)&gt;0,COUNTIF(MotionNames,$D840)&gt;0,NOT(AND(ISNUMBER($G840),$G840&lt;$F840))),IF(StatusFilter="All (excl. Cancelled)",IF($H840="Cancelled",0,1),IF(StatusFilter="All",1,IF($H840=StatusFilter,1,0))),0)</f>
        <v>0</v>
      </c>
      <c r="O840">
        <f>IF($N840=0,0,IF(AND($F840&lt;=EOMONTH(DATE(PlanYear,1,1),0),IF(ISNUMBER($G840),$G840,$F840)&gt;=DATE(PlanYear,1,1)),1,0))</f>
        <v>0</v>
      </c>
      <c r="P840">
        <f>IF($N840=0,0,IF(AND($F840&lt;=EOMONTH(DATE(PlanYear,2,1),0),IF(ISNUMBER($G840),$G840,$F840)&gt;=DATE(PlanYear,2,1)),1,0))</f>
        <v>0</v>
      </c>
      <c r="Q840">
        <f>IF($N840=0,0,IF(AND($F840&lt;=EOMONTH(DATE(PlanYear,3,1),0),IF(ISNUMBER($G840),$G840,$F840)&gt;=DATE(PlanYear,3,1)),1,0))</f>
        <v>0</v>
      </c>
      <c r="R840">
        <f>IF($N840=0,0,IF(AND($F840&lt;=EOMONTH(DATE(PlanYear,4,1),0),IF(ISNUMBER($G840),$G840,$F840)&gt;=DATE(PlanYear,4,1)),1,0))</f>
        <v>0</v>
      </c>
      <c r="S840">
        <f>IF($N840=0,0,IF(AND($F840&lt;=EOMONTH(DATE(PlanYear,5,1),0),IF(ISNUMBER($G840),$G840,$F840)&gt;=DATE(PlanYear,5,1)),1,0))</f>
        <v>0</v>
      </c>
      <c r="T840">
        <f>IF($N840=0,0,IF(AND($F840&lt;=EOMONTH(DATE(PlanYear,6,1),0),IF(ISNUMBER($G840),$G840,$F840)&gt;=DATE(PlanYear,6,1)),1,0))</f>
        <v>0</v>
      </c>
      <c r="U840">
        <f>IF($N840=0,0,IF(AND($F840&lt;=EOMONTH(DATE(PlanYear,7,1),0),IF(ISNUMBER($G840),$G840,$F840)&gt;=DATE(PlanYear,7,1)),1,0))</f>
        <v>0</v>
      </c>
      <c r="V840">
        <f>IF($N840=0,0,IF(AND($F840&lt;=EOMONTH(DATE(PlanYear,8,1),0),IF(ISNUMBER($G840),$G840,$F840)&gt;=DATE(PlanYear,8,1)),1,0))</f>
        <v>0</v>
      </c>
      <c r="W840">
        <f>IF($N840=0,0,IF(AND($F840&lt;=EOMONTH(DATE(PlanYear,9,1),0),IF(ISNUMBER($G840),$G840,$F840)&gt;=DATE(PlanYear,9,1)),1,0))</f>
        <v>0</v>
      </c>
      <c r="X840">
        <f>IF($N840=0,0,IF(AND($F840&lt;=EOMONTH(DATE(PlanYear,10,1),0),IF(ISNUMBER($G840),$G840,$F840)&gt;=DATE(PlanYear,10,1)),1,0))</f>
        <v>0</v>
      </c>
      <c r="Y840">
        <f>IF($N840=0,0,IF(AND($F840&lt;=EOMONTH(DATE(PlanYear,11,1),0),IF(ISNUMBER($G840),$G840,$F840)&gt;=DATE(PlanYear,11,1)),1,0))</f>
        <v>0</v>
      </c>
      <c r="Z840">
        <f>IF($N840=0,0,IF(AND($F840&lt;=EOMONTH(DATE(PlanYear,12,1),0),IF(ISNUMBER($G840),$G840,$F840)&gt;=DATE(PlanYear,12,1)),1,0))</f>
        <v>0</v>
      </c>
      <c r="AA840">
        <f>SUM($O840:$Z840)</f>
        <v>0</v>
      </c>
    </row>
    <row r="841" spans="1:27">
      <c r="A841" s="42">
        <f>IF($B841="","","ACT-"&amp;TEXT(ROW()-4,"000"))</f>
        <v>0</v>
      </c>
      <c r="M841" s="43">
        <f>IF(COUNTA($B841:$K841)=0,"",IF($B841="","Missing activity name",IF($C841="","Missing practice",IF(COUNTIF(PracticeNames,$C841)=0,"Practice not in Lists",IF($D841="","Missing motion",IF(NOT(ISNUMBER($F841)),"Missing or invalid start date",IF(AND(ISNUMBER($G841),$G841&lt;$F841),"End date before start",IF(AND($N841=1,$AA841=0),"Outside planning year","OK"))))))))</f>
        <v>0</v>
      </c>
      <c r="N841">
        <f>IF(AND($B841&lt;&gt;"",$C841&lt;&gt;"",$D841&lt;&gt;"",ISNUMBER($F841),COUNTIF(PracticeNames,$C841)&gt;0,COUNTIF(MotionNames,$D841)&gt;0,NOT(AND(ISNUMBER($G841),$G841&lt;$F841))),IF(StatusFilter="All (excl. Cancelled)",IF($H841="Cancelled",0,1),IF(StatusFilter="All",1,IF($H841=StatusFilter,1,0))),0)</f>
        <v>0</v>
      </c>
      <c r="O841">
        <f>IF($N841=0,0,IF(AND($F841&lt;=EOMONTH(DATE(PlanYear,1,1),0),IF(ISNUMBER($G841),$G841,$F841)&gt;=DATE(PlanYear,1,1)),1,0))</f>
        <v>0</v>
      </c>
      <c r="P841">
        <f>IF($N841=0,0,IF(AND($F841&lt;=EOMONTH(DATE(PlanYear,2,1),0),IF(ISNUMBER($G841),$G841,$F841)&gt;=DATE(PlanYear,2,1)),1,0))</f>
        <v>0</v>
      </c>
      <c r="Q841">
        <f>IF($N841=0,0,IF(AND($F841&lt;=EOMONTH(DATE(PlanYear,3,1),0),IF(ISNUMBER($G841),$G841,$F841)&gt;=DATE(PlanYear,3,1)),1,0))</f>
        <v>0</v>
      </c>
      <c r="R841">
        <f>IF($N841=0,0,IF(AND($F841&lt;=EOMONTH(DATE(PlanYear,4,1),0),IF(ISNUMBER($G841),$G841,$F841)&gt;=DATE(PlanYear,4,1)),1,0))</f>
        <v>0</v>
      </c>
      <c r="S841">
        <f>IF($N841=0,0,IF(AND($F841&lt;=EOMONTH(DATE(PlanYear,5,1),0),IF(ISNUMBER($G841),$G841,$F841)&gt;=DATE(PlanYear,5,1)),1,0))</f>
        <v>0</v>
      </c>
      <c r="T841">
        <f>IF($N841=0,0,IF(AND($F841&lt;=EOMONTH(DATE(PlanYear,6,1),0),IF(ISNUMBER($G841),$G841,$F841)&gt;=DATE(PlanYear,6,1)),1,0))</f>
        <v>0</v>
      </c>
      <c r="U841">
        <f>IF($N841=0,0,IF(AND($F841&lt;=EOMONTH(DATE(PlanYear,7,1),0),IF(ISNUMBER($G841),$G841,$F841)&gt;=DATE(PlanYear,7,1)),1,0))</f>
        <v>0</v>
      </c>
      <c r="V841">
        <f>IF($N841=0,0,IF(AND($F841&lt;=EOMONTH(DATE(PlanYear,8,1),0),IF(ISNUMBER($G841),$G841,$F841)&gt;=DATE(PlanYear,8,1)),1,0))</f>
        <v>0</v>
      </c>
      <c r="W841">
        <f>IF($N841=0,0,IF(AND($F841&lt;=EOMONTH(DATE(PlanYear,9,1),0),IF(ISNUMBER($G841),$G841,$F841)&gt;=DATE(PlanYear,9,1)),1,0))</f>
        <v>0</v>
      </c>
      <c r="X841">
        <f>IF($N841=0,0,IF(AND($F841&lt;=EOMONTH(DATE(PlanYear,10,1),0),IF(ISNUMBER($G841),$G841,$F841)&gt;=DATE(PlanYear,10,1)),1,0))</f>
        <v>0</v>
      </c>
      <c r="Y841">
        <f>IF($N841=0,0,IF(AND($F841&lt;=EOMONTH(DATE(PlanYear,11,1),0),IF(ISNUMBER($G841),$G841,$F841)&gt;=DATE(PlanYear,11,1)),1,0))</f>
        <v>0</v>
      </c>
      <c r="Z841">
        <f>IF($N841=0,0,IF(AND($F841&lt;=EOMONTH(DATE(PlanYear,12,1),0),IF(ISNUMBER($G841),$G841,$F841)&gt;=DATE(PlanYear,12,1)),1,0))</f>
        <v>0</v>
      </c>
      <c r="AA841">
        <f>SUM($O841:$Z841)</f>
        <v>0</v>
      </c>
    </row>
    <row r="842" spans="1:27">
      <c r="A842" s="42">
        <f>IF($B842="","","ACT-"&amp;TEXT(ROW()-4,"000"))</f>
        <v>0</v>
      </c>
      <c r="M842" s="43">
        <f>IF(COUNTA($B842:$K842)=0,"",IF($B842="","Missing activity name",IF($C842="","Missing practice",IF(COUNTIF(PracticeNames,$C842)=0,"Practice not in Lists",IF($D842="","Missing motion",IF(NOT(ISNUMBER($F842)),"Missing or invalid start date",IF(AND(ISNUMBER($G842),$G842&lt;$F842),"End date before start",IF(AND($N842=1,$AA842=0),"Outside planning year","OK"))))))))</f>
        <v>0</v>
      </c>
      <c r="N842">
        <f>IF(AND($B842&lt;&gt;"",$C842&lt;&gt;"",$D842&lt;&gt;"",ISNUMBER($F842),COUNTIF(PracticeNames,$C842)&gt;0,COUNTIF(MotionNames,$D842)&gt;0,NOT(AND(ISNUMBER($G842),$G842&lt;$F842))),IF(StatusFilter="All (excl. Cancelled)",IF($H842="Cancelled",0,1),IF(StatusFilter="All",1,IF($H842=StatusFilter,1,0))),0)</f>
        <v>0</v>
      </c>
      <c r="O842">
        <f>IF($N842=0,0,IF(AND($F842&lt;=EOMONTH(DATE(PlanYear,1,1),0),IF(ISNUMBER($G842),$G842,$F842)&gt;=DATE(PlanYear,1,1)),1,0))</f>
        <v>0</v>
      </c>
      <c r="P842">
        <f>IF($N842=0,0,IF(AND($F842&lt;=EOMONTH(DATE(PlanYear,2,1),0),IF(ISNUMBER($G842),$G842,$F842)&gt;=DATE(PlanYear,2,1)),1,0))</f>
        <v>0</v>
      </c>
      <c r="Q842">
        <f>IF($N842=0,0,IF(AND($F842&lt;=EOMONTH(DATE(PlanYear,3,1),0),IF(ISNUMBER($G842),$G842,$F842)&gt;=DATE(PlanYear,3,1)),1,0))</f>
        <v>0</v>
      </c>
      <c r="R842">
        <f>IF($N842=0,0,IF(AND($F842&lt;=EOMONTH(DATE(PlanYear,4,1),0),IF(ISNUMBER($G842),$G842,$F842)&gt;=DATE(PlanYear,4,1)),1,0))</f>
        <v>0</v>
      </c>
      <c r="S842">
        <f>IF($N842=0,0,IF(AND($F842&lt;=EOMONTH(DATE(PlanYear,5,1),0),IF(ISNUMBER($G842),$G842,$F842)&gt;=DATE(PlanYear,5,1)),1,0))</f>
        <v>0</v>
      </c>
      <c r="T842">
        <f>IF($N842=0,0,IF(AND($F842&lt;=EOMONTH(DATE(PlanYear,6,1),0),IF(ISNUMBER($G842),$G842,$F842)&gt;=DATE(PlanYear,6,1)),1,0))</f>
        <v>0</v>
      </c>
      <c r="U842">
        <f>IF($N842=0,0,IF(AND($F842&lt;=EOMONTH(DATE(PlanYear,7,1),0),IF(ISNUMBER($G842),$G842,$F842)&gt;=DATE(PlanYear,7,1)),1,0))</f>
        <v>0</v>
      </c>
      <c r="V842">
        <f>IF($N842=0,0,IF(AND($F842&lt;=EOMONTH(DATE(PlanYear,8,1),0),IF(ISNUMBER($G842),$G842,$F842)&gt;=DATE(PlanYear,8,1)),1,0))</f>
        <v>0</v>
      </c>
      <c r="W842">
        <f>IF($N842=0,0,IF(AND($F842&lt;=EOMONTH(DATE(PlanYear,9,1),0),IF(ISNUMBER($G842),$G842,$F842)&gt;=DATE(PlanYear,9,1)),1,0))</f>
        <v>0</v>
      </c>
      <c r="X842">
        <f>IF($N842=0,0,IF(AND($F842&lt;=EOMONTH(DATE(PlanYear,10,1),0),IF(ISNUMBER($G842),$G842,$F842)&gt;=DATE(PlanYear,10,1)),1,0))</f>
        <v>0</v>
      </c>
      <c r="Y842">
        <f>IF($N842=0,0,IF(AND($F842&lt;=EOMONTH(DATE(PlanYear,11,1),0),IF(ISNUMBER($G842),$G842,$F842)&gt;=DATE(PlanYear,11,1)),1,0))</f>
        <v>0</v>
      </c>
      <c r="Z842">
        <f>IF($N842=0,0,IF(AND($F842&lt;=EOMONTH(DATE(PlanYear,12,1),0),IF(ISNUMBER($G842),$G842,$F842)&gt;=DATE(PlanYear,12,1)),1,0))</f>
        <v>0</v>
      </c>
      <c r="AA842">
        <f>SUM($O842:$Z842)</f>
        <v>0</v>
      </c>
    </row>
    <row r="843" spans="1:27">
      <c r="A843" s="42">
        <f>IF($B843="","","ACT-"&amp;TEXT(ROW()-4,"000"))</f>
        <v>0</v>
      </c>
      <c r="M843" s="43">
        <f>IF(COUNTA($B843:$K843)=0,"",IF($B843="","Missing activity name",IF($C843="","Missing practice",IF(COUNTIF(PracticeNames,$C843)=0,"Practice not in Lists",IF($D843="","Missing motion",IF(NOT(ISNUMBER($F843)),"Missing or invalid start date",IF(AND(ISNUMBER($G843),$G843&lt;$F843),"End date before start",IF(AND($N843=1,$AA843=0),"Outside planning year","OK"))))))))</f>
        <v>0</v>
      </c>
      <c r="N843">
        <f>IF(AND($B843&lt;&gt;"",$C843&lt;&gt;"",$D843&lt;&gt;"",ISNUMBER($F843),COUNTIF(PracticeNames,$C843)&gt;0,COUNTIF(MotionNames,$D843)&gt;0,NOT(AND(ISNUMBER($G843),$G843&lt;$F843))),IF(StatusFilter="All (excl. Cancelled)",IF($H843="Cancelled",0,1),IF(StatusFilter="All",1,IF($H843=StatusFilter,1,0))),0)</f>
        <v>0</v>
      </c>
      <c r="O843">
        <f>IF($N843=0,0,IF(AND($F843&lt;=EOMONTH(DATE(PlanYear,1,1),0),IF(ISNUMBER($G843),$G843,$F843)&gt;=DATE(PlanYear,1,1)),1,0))</f>
        <v>0</v>
      </c>
      <c r="P843">
        <f>IF($N843=0,0,IF(AND($F843&lt;=EOMONTH(DATE(PlanYear,2,1),0),IF(ISNUMBER($G843),$G843,$F843)&gt;=DATE(PlanYear,2,1)),1,0))</f>
        <v>0</v>
      </c>
      <c r="Q843">
        <f>IF($N843=0,0,IF(AND($F843&lt;=EOMONTH(DATE(PlanYear,3,1),0),IF(ISNUMBER($G843),$G843,$F843)&gt;=DATE(PlanYear,3,1)),1,0))</f>
        <v>0</v>
      </c>
      <c r="R843">
        <f>IF($N843=0,0,IF(AND($F843&lt;=EOMONTH(DATE(PlanYear,4,1),0),IF(ISNUMBER($G843),$G843,$F843)&gt;=DATE(PlanYear,4,1)),1,0))</f>
        <v>0</v>
      </c>
      <c r="S843">
        <f>IF($N843=0,0,IF(AND($F843&lt;=EOMONTH(DATE(PlanYear,5,1),0),IF(ISNUMBER($G843),$G843,$F843)&gt;=DATE(PlanYear,5,1)),1,0))</f>
        <v>0</v>
      </c>
      <c r="T843">
        <f>IF($N843=0,0,IF(AND($F843&lt;=EOMONTH(DATE(PlanYear,6,1),0),IF(ISNUMBER($G843),$G843,$F843)&gt;=DATE(PlanYear,6,1)),1,0))</f>
        <v>0</v>
      </c>
      <c r="U843">
        <f>IF($N843=0,0,IF(AND($F843&lt;=EOMONTH(DATE(PlanYear,7,1),0),IF(ISNUMBER($G843),$G843,$F843)&gt;=DATE(PlanYear,7,1)),1,0))</f>
        <v>0</v>
      </c>
      <c r="V843">
        <f>IF($N843=0,0,IF(AND($F843&lt;=EOMONTH(DATE(PlanYear,8,1),0),IF(ISNUMBER($G843),$G843,$F843)&gt;=DATE(PlanYear,8,1)),1,0))</f>
        <v>0</v>
      </c>
      <c r="W843">
        <f>IF($N843=0,0,IF(AND($F843&lt;=EOMONTH(DATE(PlanYear,9,1),0),IF(ISNUMBER($G843),$G843,$F843)&gt;=DATE(PlanYear,9,1)),1,0))</f>
        <v>0</v>
      </c>
      <c r="X843">
        <f>IF($N843=0,0,IF(AND($F843&lt;=EOMONTH(DATE(PlanYear,10,1),0),IF(ISNUMBER($G843),$G843,$F843)&gt;=DATE(PlanYear,10,1)),1,0))</f>
        <v>0</v>
      </c>
      <c r="Y843">
        <f>IF($N843=0,0,IF(AND($F843&lt;=EOMONTH(DATE(PlanYear,11,1),0),IF(ISNUMBER($G843),$G843,$F843)&gt;=DATE(PlanYear,11,1)),1,0))</f>
        <v>0</v>
      </c>
      <c r="Z843">
        <f>IF($N843=0,0,IF(AND($F843&lt;=EOMONTH(DATE(PlanYear,12,1),0),IF(ISNUMBER($G843),$G843,$F843)&gt;=DATE(PlanYear,12,1)),1,0))</f>
        <v>0</v>
      </c>
      <c r="AA843">
        <f>SUM($O843:$Z843)</f>
        <v>0</v>
      </c>
    </row>
    <row r="844" spans="1:27">
      <c r="A844" s="42">
        <f>IF($B844="","","ACT-"&amp;TEXT(ROW()-4,"000"))</f>
        <v>0</v>
      </c>
      <c r="M844" s="43">
        <f>IF(COUNTA($B844:$K844)=0,"",IF($B844="","Missing activity name",IF($C844="","Missing practice",IF(COUNTIF(PracticeNames,$C844)=0,"Practice not in Lists",IF($D844="","Missing motion",IF(NOT(ISNUMBER($F844)),"Missing or invalid start date",IF(AND(ISNUMBER($G844),$G844&lt;$F844),"End date before start",IF(AND($N844=1,$AA844=0),"Outside planning year","OK"))))))))</f>
        <v>0</v>
      </c>
      <c r="N844">
        <f>IF(AND($B844&lt;&gt;"",$C844&lt;&gt;"",$D844&lt;&gt;"",ISNUMBER($F844),COUNTIF(PracticeNames,$C844)&gt;0,COUNTIF(MotionNames,$D844)&gt;0,NOT(AND(ISNUMBER($G844),$G844&lt;$F844))),IF(StatusFilter="All (excl. Cancelled)",IF($H844="Cancelled",0,1),IF(StatusFilter="All",1,IF($H844=StatusFilter,1,0))),0)</f>
        <v>0</v>
      </c>
      <c r="O844">
        <f>IF($N844=0,0,IF(AND($F844&lt;=EOMONTH(DATE(PlanYear,1,1),0),IF(ISNUMBER($G844),$G844,$F844)&gt;=DATE(PlanYear,1,1)),1,0))</f>
        <v>0</v>
      </c>
      <c r="P844">
        <f>IF($N844=0,0,IF(AND($F844&lt;=EOMONTH(DATE(PlanYear,2,1),0),IF(ISNUMBER($G844),$G844,$F844)&gt;=DATE(PlanYear,2,1)),1,0))</f>
        <v>0</v>
      </c>
      <c r="Q844">
        <f>IF($N844=0,0,IF(AND($F844&lt;=EOMONTH(DATE(PlanYear,3,1),0),IF(ISNUMBER($G844),$G844,$F844)&gt;=DATE(PlanYear,3,1)),1,0))</f>
        <v>0</v>
      </c>
      <c r="R844">
        <f>IF($N844=0,0,IF(AND($F844&lt;=EOMONTH(DATE(PlanYear,4,1),0),IF(ISNUMBER($G844),$G844,$F844)&gt;=DATE(PlanYear,4,1)),1,0))</f>
        <v>0</v>
      </c>
      <c r="S844">
        <f>IF($N844=0,0,IF(AND($F844&lt;=EOMONTH(DATE(PlanYear,5,1),0),IF(ISNUMBER($G844),$G844,$F844)&gt;=DATE(PlanYear,5,1)),1,0))</f>
        <v>0</v>
      </c>
      <c r="T844">
        <f>IF($N844=0,0,IF(AND($F844&lt;=EOMONTH(DATE(PlanYear,6,1),0),IF(ISNUMBER($G844),$G844,$F844)&gt;=DATE(PlanYear,6,1)),1,0))</f>
        <v>0</v>
      </c>
      <c r="U844">
        <f>IF($N844=0,0,IF(AND($F844&lt;=EOMONTH(DATE(PlanYear,7,1),0),IF(ISNUMBER($G844),$G844,$F844)&gt;=DATE(PlanYear,7,1)),1,0))</f>
        <v>0</v>
      </c>
      <c r="V844">
        <f>IF($N844=0,0,IF(AND($F844&lt;=EOMONTH(DATE(PlanYear,8,1),0),IF(ISNUMBER($G844),$G844,$F844)&gt;=DATE(PlanYear,8,1)),1,0))</f>
        <v>0</v>
      </c>
      <c r="W844">
        <f>IF($N844=0,0,IF(AND($F844&lt;=EOMONTH(DATE(PlanYear,9,1),0),IF(ISNUMBER($G844),$G844,$F844)&gt;=DATE(PlanYear,9,1)),1,0))</f>
        <v>0</v>
      </c>
      <c r="X844">
        <f>IF($N844=0,0,IF(AND($F844&lt;=EOMONTH(DATE(PlanYear,10,1),0),IF(ISNUMBER($G844),$G844,$F844)&gt;=DATE(PlanYear,10,1)),1,0))</f>
        <v>0</v>
      </c>
      <c r="Y844">
        <f>IF($N844=0,0,IF(AND($F844&lt;=EOMONTH(DATE(PlanYear,11,1),0),IF(ISNUMBER($G844),$G844,$F844)&gt;=DATE(PlanYear,11,1)),1,0))</f>
        <v>0</v>
      </c>
      <c r="Z844">
        <f>IF($N844=0,0,IF(AND($F844&lt;=EOMONTH(DATE(PlanYear,12,1),0),IF(ISNUMBER($G844),$G844,$F844)&gt;=DATE(PlanYear,12,1)),1,0))</f>
        <v>0</v>
      </c>
      <c r="AA844">
        <f>SUM($O844:$Z844)</f>
        <v>0</v>
      </c>
    </row>
    <row r="845" spans="1:27">
      <c r="A845" s="42">
        <f>IF($B845="","","ACT-"&amp;TEXT(ROW()-4,"000"))</f>
        <v>0</v>
      </c>
      <c r="M845" s="43">
        <f>IF(COUNTA($B845:$K845)=0,"",IF($B845="","Missing activity name",IF($C845="","Missing practice",IF(COUNTIF(PracticeNames,$C845)=0,"Practice not in Lists",IF($D845="","Missing motion",IF(NOT(ISNUMBER($F845)),"Missing or invalid start date",IF(AND(ISNUMBER($G845),$G845&lt;$F845),"End date before start",IF(AND($N845=1,$AA845=0),"Outside planning year","OK"))))))))</f>
        <v>0</v>
      </c>
      <c r="N845">
        <f>IF(AND($B845&lt;&gt;"",$C845&lt;&gt;"",$D845&lt;&gt;"",ISNUMBER($F845),COUNTIF(PracticeNames,$C845)&gt;0,COUNTIF(MotionNames,$D845)&gt;0,NOT(AND(ISNUMBER($G845),$G845&lt;$F845))),IF(StatusFilter="All (excl. Cancelled)",IF($H845="Cancelled",0,1),IF(StatusFilter="All",1,IF($H845=StatusFilter,1,0))),0)</f>
        <v>0</v>
      </c>
      <c r="O845">
        <f>IF($N845=0,0,IF(AND($F845&lt;=EOMONTH(DATE(PlanYear,1,1),0),IF(ISNUMBER($G845),$G845,$F845)&gt;=DATE(PlanYear,1,1)),1,0))</f>
        <v>0</v>
      </c>
      <c r="P845">
        <f>IF($N845=0,0,IF(AND($F845&lt;=EOMONTH(DATE(PlanYear,2,1),0),IF(ISNUMBER($G845),$G845,$F845)&gt;=DATE(PlanYear,2,1)),1,0))</f>
        <v>0</v>
      </c>
      <c r="Q845">
        <f>IF($N845=0,0,IF(AND($F845&lt;=EOMONTH(DATE(PlanYear,3,1),0),IF(ISNUMBER($G845),$G845,$F845)&gt;=DATE(PlanYear,3,1)),1,0))</f>
        <v>0</v>
      </c>
      <c r="R845">
        <f>IF($N845=0,0,IF(AND($F845&lt;=EOMONTH(DATE(PlanYear,4,1),0),IF(ISNUMBER($G845),$G845,$F845)&gt;=DATE(PlanYear,4,1)),1,0))</f>
        <v>0</v>
      </c>
      <c r="S845">
        <f>IF($N845=0,0,IF(AND($F845&lt;=EOMONTH(DATE(PlanYear,5,1),0),IF(ISNUMBER($G845),$G845,$F845)&gt;=DATE(PlanYear,5,1)),1,0))</f>
        <v>0</v>
      </c>
      <c r="T845">
        <f>IF($N845=0,0,IF(AND($F845&lt;=EOMONTH(DATE(PlanYear,6,1),0),IF(ISNUMBER($G845),$G845,$F845)&gt;=DATE(PlanYear,6,1)),1,0))</f>
        <v>0</v>
      </c>
      <c r="U845">
        <f>IF($N845=0,0,IF(AND($F845&lt;=EOMONTH(DATE(PlanYear,7,1),0),IF(ISNUMBER($G845),$G845,$F845)&gt;=DATE(PlanYear,7,1)),1,0))</f>
        <v>0</v>
      </c>
      <c r="V845">
        <f>IF($N845=0,0,IF(AND($F845&lt;=EOMONTH(DATE(PlanYear,8,1),0),IF(ISNUMBER($G845),$G845,$F845)&gt;=DATE(PlanYear,8,1)),1,0))</f>
        <v>0</v>
      </c>
      <c r="W845">
        <f>IF($N845=0,0,IF(AND($F845&lt;=EOMONTH(DATE(PlanYear,9,1),0),IF(ISNUMBER($G845),$G845,$F845)&gt;=DATE(PlanYear,9,1)),1,0))</f>
        <v>0</v>
      </c>
      <c r="X845">
        <f>IF($N845=0,0,IF(AND($F845&lt;=EOMONTH(DATE(PlanYear,10,1),0),IF(ISNUMBER($G845),$G845,$F845)&gt;=DATE(PlanYear,10,1)),1,0))</f>
        <v>0</v>
      </c>
      <c r="Y845">
        <f>IF($N845=0,0,IF(AND($F845&lt;=EOMONTH(DATE(PlanYear,11,1),0),IF(ISNUMBER($G845),$G845,$F845)&gt;=DATE(PlanYear,11,1)),1,0))</f>
        <v>0</v>
      </c>
      <c r="Z845">
        <f>IF($N845=0,0,IF(AND($F845&lt;=EOMONTH(DATE(PlanYear,12,1),0),IF(ISNUMBER($G845),$G845,$F845)&gt;=DATE(PlanYear,12,1)),1,0))</f>
        <v>0</v>
      </c>
      <c r="AA845">
        <f>SUM($O845:$Z845)</f>
        <v>0</v>
      </c>
    </row>
    <row r="846" spans="1:27">
      <c r="A846" s="42">
        <f>IF($B846="","","ACT-"&amp;TEXT(ROW()-4,"000"))</f>
        <v>0</v>
      </c>
      <c r="M846" s="43">
        <f>IF(COUNTA($B846:$K846)=0,"",IF($B846="","Missing activity name",IF($C846="","Missing practice",IF(COUNTIF(PracticeNames,$C846)=0,"Practice not in Lists",IF($D846="","Missing motion",IF(NOT(ISNUMBER($F846)),"Missing or invalid start date",IF(AND(ISNUMBER($G846),$G846&lt;$F846),"End date before start",IF(AND($N846=1,$AA846=0),"Outside planning year","OK"))))))))</f>
        <v>0</v>
      </c>
      <c r="N846">
        <f>IF(AND($B846&lt;&gt;"",$C846&lt;&gt;"",$D846&lt;&gt;"",ISNUMBER($F846),COUNTIF(PracticeNames,$C846)&gt;0,COUNTIF(MotionNames,$D846)&gt;0,NOT(AND(ISNUMBER($G846),$G846&lt;$F846))),IF(StatusFilter="All (excl. Cancelled)",IF($H846="Cancelled",0,1),IF(StatusFilter="All",1,IF($H846=StatusFilter,1,0))),0)</f>
        <v>0</v>
      </c>
      <c r="O846">
        <f>IF($N846=0,0,IF(AND($F846&lt;=EOMONTH(DATE(PlanYear,1,1),0),IF(ISNUMBER($G846),$G846,$F846)&gt;=DATE(PlanYear,1,1)),1,0))</f>
        <v>0</v>
      </c>
      <c r="P846">
        <f>IF($N846=0,0,IF(AND($F846&lt;=EOMONTH(DATE(PlanYear,2,1),0),IF(ISNUMBER($G846),$G846,$F846)&gt;=DATE(PlanYear,2,1)),1,0))</f>
        <v>0</v>
      </c>
      <c r="Q846">
        <f>IF($N846=0,0,IF(AND($F846&lt;=EOMONTH(DATE(PlanYear,3,1),0),IF(ISNUMBER($G846),$G846,$F846)&gt;=DATE(PlanYear,3,1)),1,0))</f>
        <v>0</v>
      </c>
      <c r="R846">
        <f>IF($N846=0,0,IF(AND($F846&lt;=EOMONTH(DATE(PlanYear,4,1),0),IF(ISNUMBER($G846),$G846,$F846)&gt;=DATE(PlanYear,4,1)),1,0))</f>
        <v>0</v>
      </c>
      <c r="S846">
        <f>IF($N846=0,0,IF(AND($F846&lt;=EOMONTH(DATE(PlanYear,5,1),0),IF(ISNUMBER($G846),$G846,$F846)&gt;=DATE(PlanYear,5,1)),1,0))</f>
        <v>0</v>
      </c>
      <c r="T846">
        <f>IF($N846=0,0,IF(AND($F846&lt;=EOMONTH(DATE(PlanYear,6,1),0),IF(ISNUMBER($G846),$G846,$F846)&gt;=DATE(PlanYear,6,1)),1,0))</f>
        <v>0</v>
      </c>
      <c r="U846">
        <f>IF($N846=0,0,IF(AND($F846&lt;=EOMONTH(DATE(PlanYear,7,1),0),IF(ISNUMBER($G846),$G846,$F846)&gt;=DATE(PlanYear,7,1)),1,0))</f>
        <v>0</v>
      </c>
      <c r="V846">
        <f>IF($N846=0,0,IF(AND($F846&lt;=EOMONTH(DATE(PlanYear,8,1),0),IF(ISNUMBER($G846),$G846,$F846)&gt;=DATE(PlanYear,8,1)),1,0))</f>
        <v>0</v>
      </c>
      <c r="W846">
        <f>IF($N846=0,0,IF(AND($F846&lt;=EOMONTH(DATE(PlanYear,9,1),0),IF(ISNUMBER($G846),$G846,$F846)&gt;=DATE(PlanYear,9,1)),1,0))</f>
        <v>0</v>
      </c>
      <c r="X846">
        <f>IF($N846=0,0,IF(AND($F846&lt;=EOMONTH(DATE(PlanYear,10,1),0),IF(ISNUMBER($G846),$G846,$F846)&gt;=DATE(PlanYear,10,1)),1,0))</f>
        <v>0</v>
      </c>
      <c r="Y846">
        <f>IF($N846=0,0,IF(AND($F846&lt;=EOMONTH(DATE(PlanYear,11,1),0),IF(ISNUMBER($G846),$G846,$F846)&gt;=DATE(PlanYear,11,1)),1,0))</f>
        <v>0</v>
      </c>
      <c r="Z846">
        <f>IF($N846=0,0,IF(AND($F846&lt;=EOMONTH(DATE(PlanYear,12,1),0),IF(ISNUMBER($G846),$G846,$F846)&gt;=DATE(PlanYear,12,1)),1,0))</f>
        <v>0</v>
      </c>
      <c r="AA846">
        <f>SUM($O846:$Z846)</f>
        <v>0</v>
      </c>
    </row>
    <row r="847" spans="1:27">
      <c r="A847" s="42">
        <f>IF($B847="","","ACT-"&amp;TEXT(ROW()-4,"000"))</f>
        <v>0</v>
      </c>
      <c r="M847" s="43">
        <f>IF(COUNTA($B847:$K847)=0,"",IF($B847="","Missing activity name",IF($C847="","Missing practice",IF(COUNTIF(PracticeNames,$C847)=0,"Practice not in Lists",IF($D847="","Missing motion",IF(NOT(ISNUMBER($F847)),"Missing or invalid start date",IF(AND(ISNUMBER($G847),$G847&lt;$F847),"End date before start",IF(AND($N847=1,$AA847=0),"Outside planning year","OK"))))))))</f>
        <v>0</v>
      </c>
      <c r="N847">
        <f>IF(AND($B847&lt;&gt;"",$C847&lt;&gt;"",$D847&lt;&gt;"",ISNUMBER($F847),COUNTIF(PracticeNames,$C847)&gt;0,COUNTIF(MotionNames,$D847)&gt;0,NOT(AND(ISNUMBER($G847),$G847&lt;$F847))),IF(StatusFilter="All (excl. Cancelled)",IF($H847="Cancelled",0,1),IF(StatusFilter="All",1,IF($H847=StatusFilter,1,0))),0)</f>
        <v>0</v>
      </c>
      <c r="O847">
        <f>IF($N847=0,0,IF(AND($F847&lt;=EOMONTH(DATE(PlanYear,1,1),0),IF(ISNUMBER($G847),$G847,$F847)&gt;=DATE(PlanYear,1,1)),1,0))</f>
        <v>0</v>
      </c>
      <c r="P847">
        <f>IF($N847=0,0,IF(AND($F847&lt;=EOMONTH(DATE(PlanYear,2,1),0),IF(ISNUMBER($G847),$G847,$F847)&gt;=DATE(PlanYear,2,1)),1,0))</f>
        <v>0</v>
      </c>
      <c r="Q847">
        <f>IF($N847=0,0,IF(AND($F847&lt;=EOMONTH(DATE(PlanYear,3,1),0),IF(ISNUMBER($G847),$G847,$F847)&gt;=DATE(PlanYear,3,1)),1,0))</f>
        <v>0</v>
      </c>
      <c r="R847">
        <f>IF($N847=0,0,IF(AND($F847&lt;=EOMONTH(DATE(PlanYear,4,1),0),IF(ISNUMBER($G847),$G847,$F847)&gt;=DATE(PlanYear,4,1)),1,0))</f>
        <v>0</v>
      </c>
      <c r="S847">
        <f>IF($N847=0,0,IF(AND($F847&lt;=EOMONTH(DATE(PlanYear,5,1),0),IF(ISNUMBER($G847),$G847,$F847)&gt;=DATE(PlanYear,5,1)),1,0))</f>
        <v>0</v>
      </c>
      <c r="T847">
        <f>IF($N847=0,0,IF(AND($F847&lt;=EOMONTH(DATE(PlanYear,6,1),0),IF(ISNUMBER($G847),$G847,$F847)&gt;=DATE(PlanYear,6,1)),1,0))</f>
        <v>0</v>
      </c>
      <c r="U847">
        <f>IF($N847=0,0,IF(AND($F847&lt;=EOMONTH(DATE(PlanYear,7,1),0),IF(ISNUMBER($G847),$G847,$F847)&gt;=DATE(PlanYear,7,1)),1,0))</f>
        <v>0</v>
      </c>
      <c r="V847">
        <f>IF($N847=0,0,IF(AND($F847&lt;=EOMONTH(DATE(PlanYear,8,1),0),IF(ISNUMBER($G847),$G847,$F847)&gt;=DATE(PlanYear,8,1)),1,0))</f>
        <v>0</v>
      </c>
      <c r="W847">
        <f>IF($N847=0,0,IF(AND($F847&lt;=EOMONTH(DATE(PlanYear,9,1),0),IF(ISNUMBER($G847),$G847,$F847)&gt;=DATE(PlanYear,9,1)),1,0))</f>
        <v>0</v>
      </c>
      <c r="X847">
        <f>IF($N847=0,0,IF(AND($F847&lt;=EOMONTH(DATE(PlanYear,10,1),0),IF(ISNUMBER($G847),$G847,$F847)&gt;=DATE(PlanYear,10,1)),1,0))</f>
        <v>0</v>
      </c>
      <c r="Y847">
        <f>IF($N847=0,0,IF(AND($F847&lt;=EOMONTH(DATE(PlanYear,11,1),0),IF(ISNUMBER($G847),$G847,$F847)&gt;=DATE(PlanYear,11,1)),1,0))</f>
        <v>0</v>
      </c>
      <c r="Z847">
        <f>IF($N847=0,0,IF(AND($F847&lt;=EOMONTH(DATE(PlanYear,12,1),0),IF(ISNUMBER($G847),$G847,$F847)&gt;=DATE(PlanYear,12,1)),1,0))</f>
        <v>0</v>
      </c>
      <c r="AA847">
        <f>SUM($O847:$Z847)</f>
        <v>0</v>
      </c>
    </row>
    <row r="848" spans="1:27">
      <c r="A848" s="42">
        <f>IF($B848="","","ACT-"&amp;TEXT(ROW()-4,"000"))</f>
        <v>0</v>
      </c>
      <c r="M848" s="43">
        <f>IF(COUNTA($B848:$K848)=0,"",IF($B848="","Missing activity name",IF($C848="","Missing practice",IF(COUNTIF(PracticeNames,$C848)=0,"Practice not in Lists",IF($D848="","Missing motion",IF(NOT(ISNUMBER($F848)),"Missing or invalid start date",IF(AND(ISNUMBER($G848),$G848&lt;$F848),"End date before start",IF(AND($N848=1,$AA848=0),"Outside planning year","OK"))))))))</f>
        <v>0</v>
      </c>
      <c r="N848">
        <f>IF(AND($B848&lt;&gt;"",$C848&lt;&gt;"",$D848&lt;&gt;"",ISNUMBER($F848),COUNTIF(PracticeNames,$C848)&gt;0,COUNTIF(MotionNames,$D848)&gt;0,NOT(AND(ISNUMBER($G848),$G848&lt;$F848))),IF(StatusFilter="All (excl. Cancelled)",IF($H848="Cancelled",0,1),IF(StatusFilter="All",1,IF($H848=StatusFilter,1,0))),0)</f>
        <v>0</v>
      </c>
      <c r="O848">
        <f>IF($N848=0,0,IF(AND($F848&lt;=EOMONTH(DATE(PlanYear,1,1),0),IF(ISNUMBER($G848),$G848,$F848)&gt;=DATE(PlanYear,1,1)),1,0))</f>
        <v>0</v>
      </c>
      <c r="P848">
        <f>IF($N848=0,0,IF(AND($F848&lt;=EOMONTH(DATE(PlanYear,2,1),0),IF(ISNUMBER($G848),$G848,$F848)&gt;=DATE(PlanYear,2,1)),1,0))</f>
        <v>0</v>
      </c>
      <c r="Q848">
        <f>IF($N848=0,0,IF(AND($F848&lt;=EOMONTH(DATE(PlanYear,3,1),0),IF(ISNUMBER($G848),$G848,$F848)&gt;=DATE(PlanYear,3,1)),1,0))</f>
        <v>0</v>
      </c>
      <c r="R848">
        <f>IF($N848=0,0,IF(AND($F848&lt;=EOMONTH(DATE(PlanYear,4,1),0),IF(ISNUMBER($G848),$G848,$F848)&gt;=DATE(PlanYear,4,1)),1,0))</f>
        <v>0</v>
      </c>
      <c r="S848">
        <f>IF($N848=0,0,IF(AND($F848&lt;=EOMONTH(DATE(PlanYear,5,1),0),IF(ISNUMBER($G848),$G848,$F848)&gt;=DATE(PlanYear,5,1)),1,0))</f>
        <v>0</v>
      </c>
      <c r="T848">
        <f>IF($N848=0,0,IF(AND($F848&lt;=EOMONTH(DATE(PlanYear,6,1),0),IF(ISNUMBER($G848),$G848,$F848)&gt;=DATE(PlanYear,6,1)),1,0))</f>
        <v>0</v>
      </c>
      <c r="U848">
        <f>IF($N848=0,0,IF(AND($F848&lt;=EOMONTH(DATE(PlanYear,7,1),0),IF(ISNUMBER($G848),$G848,$F848)&gt;=DATE(PlanYear,7,1)),1,0))</f>
        <v>0</v>
      </c>
      <c r="V848">
        <f>IF($N848=0,0,IF(AND($F848&lt;=EOMONTH(DATE(PlanYear,8,1),0),IF(ISNUMBER($G848),$G848,$F848)&gt;=DATE(PlanYear,8,1)),1,0))</f>
        <v>0</v>
      </c>
      <c r="W848">
        <f>IF($N848=0,0,IF(AND($F848&lt;=EOMONTH(DATE(PlanYear,9,1),0),IF(ISNUMBER($G848),$G848,$F848)&gt;=DATE(PlanYear,9,1)),1,0))</f>
        <v>0</v>
      </c>
      <c r="X848">
        <f>IF($N848=0,0,IF(AND($F848&lt;=EOMONTH(DATE(PlanYear,10,1),0),IF(ISNUMBER($G848),$G848,$F848)&gt;=DATE(PlanYear,10,1)),1,0))</f>
        <v>0</v>
      </c>
      <c r="Y848">
        <f>IF($N848=0,0,IF(AND($F848&lt;=EOMONTH(DATE(PlanYear,11,1),0),IF(ISNUMBER($G848),$G848,$F848)&gt;=DATE(PlanYear,11,1)),1,0))</f>
        <v>0</v>
      </c>
      <c r="Z848">
        <f>IF($N848=0,0,IF(AND($F848&lt;=EOMONTH(DATE(PlanYear,12,1),0),IF(ISNUMBER($G848),$G848,$F848)&gt;=DATE(PlanYear,12,1)),1,0))</f>
        <v>0</v>
      </c>
      <c r="AA848">
        <f>SUM($O848:$Z848)</f>
        <v>0</v>
      </c>
    </row>
    <row r="849" spans="1:27">
      <c r="A849" s="42">
        <f>IF($B849="","","ACT-"&amp;TEXT(ROW()-4,"000"))</f>
        <v>0</v>
      </c>
      <c r="M849" s="43">
        <f>IF(COUNTA($B849:$K849)=0,"",IF($B849="","Missing activity name",IF($C849="","Missing practice",IF(COUNTIF(PracticeNames,$C849)=0,"Practice not in Lists",IF($D849="","Missing motion",IF(NOT(ISNUMBER($F849)),"Missing or invalid start date",IF(AND(ISNUMBER($G849),$G849&lt;$F849),"End date before start",IF(AND($N849=1,$AA849=0),"Outside planning year","OK"))))))))</f>
        <v>0</v>
      </c>
      <c r="N849">
        <f>IF(AND($B849&lt;&gt;"",$C849&lt;&gt;"",$D849&lt;&gt;"",ISNUMBER($F849),COUNTIF(PracticeNames,$C849)&gt;0,COUNTIF(MotionNames,$D849)&gt;0,NOT(AND(ISNUMBER($G849),$G849&lt;$F849))),IF(StatusFilter="All (excl. Cancelled)",IF($H849="Cancelled",0,1),IF(StatusFilter="All",1,IF($H849=StatusFilter,1,0))),0)</f>
        <v>0</v>
      </c>
      <c r="O849">
        <f>IF($N849=0,0,IF(AND($F849&lt;=EOMONTH(DATE(PlanYear,1,1),0),IF(ISNUMBER($G849),$G849,$F849)&gt;=DATE(PlanYear,1,1)),1,0))</f>
        <v>0</v>
      </c>
      <c r="P849">
        <f>IF($N849=0,0,IF(AND($F849&lt;=EOMONTH(DATE(PlanYear,2,1),0),IF(ISNUMBER($G849),$G849,$F849)&gt;=DATE(PlanYear,2,1)),1,0))</f>
        <v>0</v>
      </c>
      <c r="Q849">
        <f>IF($N849=0,0,IF(AND($F849&lt;=EOMONTH(DATE(PlanYear,3,1),0),IF(ISNUMBER($G849),$G849,$F849)&gt;=DATE(PlanYear,3,1)),1,0))</f>
        <v>0</v>
      </c>
      <c r="R849">
        <f>IF($N849=0,0,IF(AND($F849&lt;=EOMONTH(DATE(PlanYear,4,1),0),IF(ISNUMBER($G849),$G849,$F849)&gt;=DATE(PlanYear,4,1)),1,0))</f>
        <v>0</v>
      </c>
      <c r="S849">
        <f>IF($N849=0,0,IF(AND($F849&lt;=EOMONTH(DATE(PlanYear,5,1),0),IF(ISNUMBER($G849),$G849,$F849)&gt;=DATE(PlanYear,5,1)),1,0))</f>
        <v>0</v>
      </c>
      <c r="T849">
        <f>IF($N849=0,0,IF(AND($F849&lt;=EOMONTH(DATE(PlanYear,6,1),0),IF(ISNUMBER($G849),$G849,$F849)&gt;=DATE(PlanYear,6,1)),1,0))</f>
        <v>0</v>
      </c>
      <c r="U849">
        <f>IF($N849=0,0,IF(AND($F849&lt;=EOMONTH(DATE(PlanYear,7,1),0),IF(ISNUMBER($G849),$G849,$F849)&gt;=DATE(PlanYear,7,1)),1,0))</f>
        <v>0</v>
      </c>
      <c r="V849">
        <f>IF($N849=0,0,IF(AND($F849&lt;=EOMONTH(DATE(PlanYear,8,1),0),IF(ISNUMBER($G849),$G849,$F849)&gt;=DATE(PlanYear,8,1)),1,0))</f>
        <v>0</v>
      </c>
      <c r="W849">
        <f>IF($N849=0,0,IF(AND($F849&lt;=EOMONTH(DATE(PlanYear,9,1),0),IF(ISNUMBER($G849),$G849,$F849)&gt;=DATE(PlanYear,9,1)),1,0))</f>
        <v>0</v>
      </c>
      <c r="X849">
        <f>IF($N849=0,0,IF(AND($F849&lt;=EOMONTH(DATE(PlanYear,10,1),0),IF(ISNUMBER($G849),$G849,$F849)&gt;=DATE(PlanYear,10,1)),1,0))</f>
        <v>0</v>
      </c>
      <c r="Y849">
        <f>IF($N849=0,0,IF(AND($F849&lt;=EOMONTH(DATE(PlanYear,11,1),0),IF(ISNUMBER($G849),$G849,$F849)&gt;=DATE(PlanYear,11,1)),1,0))</f>
        <v>0</v>
      </c>
      <c r="Z849">
        <f>IF($N849=0,0,IF(AND($F849&lt;=EOMONTH(DATE(PlanYear,12,1),0),IF(ISNUMBER($G849),$G849,$F849)&gt;=DATE(PlanYear,12,1)),1,0))</f>
        <v>0</v>
      </c>
      <c r="AA849">
        <f>SUM($O849:$Z849)</f>
        <v>0</v>
      </c>
    </row>
    <row r="850" spans="1:27">
      <c r="A850" s="42">
        <f>IF($B850="","","ACT-"&amp;TEXT(ROW()-4,"000"))</f>
        <v>0</v>
      </c>
      <c r="M850" s="43">
        <f>IF(COUNTA($B850:$K850)=0,"",IF($B850="","Missing activity name",IF($C850="","Missing practice",IF(COUNTIF(PracticeNames,$C850)=0,"Practice not in Lists",IF($D850="","Missing motion",IF(NOT(ISNUMBER($F850)),"Missing or invalid start date",IF(AND(ISNUMBER($G850),$G850&lt;$F850),"End date before start",IF(AND($N850=1,$AA850=0),"Outside planning year","OK"))))))))</f>
        <v>0</v>
      </c>
      <c r="N850">
        <f>IF(AND($B850&lt;&gt;"",$C850&lt;&gt;"",$D850&lt;&gt;"",ISNUMBER($F850),COUNTIF(PracticeNames,$C850)&gt;0,COUNTIF(MotionNames,$D850)&gt;0,NOT(AND(ISNUMBER($G850),$G850&lt;$F850))),IF(StatusFilter="All (excl. Cancelled)",IF($H850="Cancelled",0,1),IF(StatusFilter="All",1,IF($H850=StatusFilter,1,0))),0)</f>
        <v>0</v>
      </c>
      <c r="O850">
        <f>IF($N850=0,0,IF(AND($F850&lt;=EOMONTH(DATE(PlanYear,1,1),0),IF(ISNUMBER($G850),$G850,$F850)&gt;=DATE(PlanYear,1,1)),1,0))</f>
        <v>0</v>
      </c>
      <c r="P850">
        <f>IF($N850=0,0,IF(AND($F850&lt;=EOMONTH(DATE(PlanYear,2,1),0),IF(ISNUMBER($G850),$G850,$F850)&gt;=DATE(PlanYear,2,1)),1,0))</f>
        <v>0</v>
      </c>
      <c r="Q850">
        <f>IF($N850=0,0,IF(AND($F850&lt;=EOMONTH(DATE(PlanYear,3,1),0),IF(ISNUMBER($G850),$G850,$F850)&gt;=DATE(PlanYear,3,1)),1,0))</f>
        <v>0</v>
      </c>
      <c r="R850">
        <f>IF($N850=0,0,IF(AND($F850&lt;=EOMONTH(DATE(PlanYear,4,1),0),IF(ISNUMBER($G850),$G850,$F850)&gt;=DATE(PlanYear,4,1)),1,0))</f>
        <v>0</v>
      </c>
      <c r="S850">
        <f>IF($N850=0,0,IF(AND($F850&lt;=EOMONTH(DATE(PlanYear,5,1),0),IF(ISNUMBER($G850),$G850,$F850)&gt;=DATE(PlanYear,5,1)),1,0))</f>
        <v>0</v>
      </c>
      <c r="T850">
        <f>IF($N850=0,0,IF(AND($F850&lt;=EOMONTH(DATE(PlanYear,6,1),0),IF(ISNUMBER($G850),$G850,$F850)&gt;=DATE(PlanYear,6,1)),1,0))</f>
        <v>0</v>
      </c>
      <c r="U850">
        <f>IF($N850=0,0,IF(AND($F850&lt;=EOMONTH(DATE(PlanYear,7,1),0),IF(ISNUMBER($G850),$G850,$F850)&gt;=DATE(PlanYear,7,1)),1,0))</f>
        <v>0</v>
      </c>
      <c r="V850">
        <f>IF($N850=0,0,IF(AND($F850&lt;=EOMONTH(DATE(PlanYear,8,1),0),IF(ISNUMBER($G850),$G850,$F850)&gt;=DATE(PlanYear,8,1)),1,0))</f>
        <v>0</v>
      </c>
      <c r="W850">
        <f>IF($N850=0,0,IF(AND($F850&lt;=EOMONTH(DATE(PlanYear,9,1),0),IF(ISNUMBER($G850),$G850,$F850)&gt;=DATE(PlanYear,9,1)),1,0))</f>
        <v>0</v>
      </c>
      <c r="X850">
        <f>IF($N850=0,0,IF(AND($F850&lt;=EOMONTH(DATE(PlanYear,10,1),0),IF(ISNUMBER($G850),$G850,$F850)&gt;=DATE(PlanYear,10,1)),1,0))</f>
        <v>0</v>
      </c>
      <c r="Y850">
        <f>IF($N850=0,0,IF(AND($F850&lt;=EOMONTH(DATE(PlanYear,11,1),0),IF(ISNUMBER($G850),$G850,$F850)&gt;=DATE(PlanYear,11,1)),1,0))</f>
        <v>0</v>
      </c>
      <c r="Z850">
        <f>IF($N850=0,0,IF(AND($F850&lt;=EOMONTH(DATE(PlanYear,12,1),0),IF(ISNUMBER($G850),$G850,$F850)&gt;=DATE(PlanYear,12,1)),1,0))</f>
        <v>0</v>
      </c>
      <c r="AA850">
        <f>SUM($O850:$Z850)</f>
        <v>0</v>
      </c>
    </row>
    <row r="851" spans="1:27">
      <c r="A851" s="42">
        <f>IF($B851="","","ACT-"&amp;TEXT(ROW()-4,"000"))</f>
        <v>0</v>
      </c>
      <c r="M851" s="43">
        <f>IF(COUNTA($B851:$K851)=0,"",IF($B851="","Missing activity name",IF($C851="","Missing practice",IF(COUNTIF(PracticeNames,$C851)=0,"Practice not in Lists",IF($D851="","Missing motion",IF(NOT(ISNUMBER($F851)),"Missing or invalid start date",IF(AND(ISNUMBER($G851),$G851&lt;$F851),"End date before start",IF(AND($N851=1,$AA851=0),"Outside planning year","OK"))))))))</f>
        <v>0</v>
      </c>
      <c r="N851">
        <f>IF(AND($B851&lt;&gt;"",$C851&lt;&gt;"",$D851&lt;&gt;"",ISNUMBER($F851),COUNTIF(PracticeNames,$C851)&gt;0,COUNTIF(MotionNames,$D851)&gt;0,NOT(AND(ISNUMBER($G851),$G851&lt;$F851))),IF(StatusFilter="All (excl. Cancelled)",IF($H851="Cancelled",0,1),IF(StatusFilter="All",1,IF($H851=StatusFilter,1,0))),0)</f>
        <v>0</v>
      </c>
      <c r="O851">
        <f>IF($N851=0,0,IF(AND($F851&lt;=EOMONTH(DATE(PlanYear,1,1),0),IF(ISNUMBER($G851),$G851,$F851)&gt;=DATE(PlanYear,1,1)),1,0))</f>
        <v>0</v>
      </c>
      <c r="P851">
        <f>IF($N851=0,0,IF(AND($F851&lt;=EOMONTH(DATE(PlanYear,2,1),0),IF(ISNUMBER($G851),$G851,$F851)&gt;=DATE(PlanYear,2,1)),1,0))</f>
        <v>0</v>
      </c>
      <c r="Q851">
        <f>IF($N851=0,0,IF(AND($F851&lt;=EOMONTH(DATE(PlanYear,3,1),0),IF(ISNUMBER($G851),$G851,$F851)&gt;=DATE(PlanYear,3,1)),1,0))</f>
        <v>0</v>
      </c>
      <c r="R851">
        <f>IF($N851=0,0,IF(AND($F851&lt;=EOMONTH(DATE(PlanYear,4,1),0),IF(ISNUMBER($G851),$G851,$F851)&gt;=DATE(PlanYear,4,1)),1,0))</f>
        <v>0</v>
      </c>
      <c r="S851">
        <f>IF($N851=0,0,IF(AND($F851&lt;=EOMONTH(DATE(PlanYear,5,1),0),IF(ISNUMBER($G851),$G851,$F851)&gt;=DATE(PlanYear,5,1)),1,0))</f>
        <v>0</v>
      </c>
      <c r="T851">
        <f>IF($N851=0,0,IF(AND($F851&lt;=EOMONTH(DATE(PlanYear,6,1),0),IF(ISNUMBER($G851),$G851,$F851)&gt;=DATE(PlanYear,6,1)),1,0))</f>
        <v>0</v>
      </c>
      <c r="U851">
        <f>IF($N851=0,0,IF(AND($F851&lt;=EOMONTH(DATE(PlanYear,7,1),0),IF(ISNUMBER($G851),$G851,$F851)&gt;=DATE(PlanYear,7,1)),1,0))</f>
        <v>0</v>
      </c>
      <c r="V851">
        <f>IF($N851=0,0,IF(AND($F851&lt;=EOMONTH(DATE(PlanYear,8,1),0),IF(ISNUMBER($G851),$G851,$F851)&gt;=DATE(PlanYear,8,1)),1,0))</f>
        <v>0</v>
      </c>
      <c r="W851">
        <f>IF($N851=0,0,IF(AND($F851&lt;=EOMONTH(DATE(PlanYear,9,1),0),IF(ISNUMBER($G851),$G851,$F851)&gt;=DATE(PlanYear,9,1)),1,0))</f>
        <v>0</v>
      </c>
      <c r="X851">
        <f>IF($N851=0,0,IF(AND($F851&lt;=EOMONTH(DATE(PlanYear,10,1),0),IF(ISNUMBER($G851),$G851,$F851)&gt;=DATE(PlanYear,10,1)),1,0))</f>
        <v>0</v>
      </c>
      <c r="Y851">
        <f>IF($N851=0,0,IF(AND($F851&lt;=EOMONTH(DATE(PlanYear,11,1),0),IF(ISNUMBER($G851),$G851,$F851)&gt;=DATE(PlanYear,11,1)),1,0))</f>
        <v>0</v>
      </c>
      <c r="Z851">
        <f>IF($N851=0,0,IF(AND($F851&lt;=EOMONTH(DATE(PlanYear,12,1),0),IF(ISNUMBER($G851),$G851,$F851)&gt;=DATE(PlanYear,12,1)),1,0))</f>
        <v>0</v>
      </c>
      <c r="AA851">
        <f>SUM($O851:$Z851)</f>
        <v>0</v>
      </c>
    </row>
    <row r="852" spans="1:27">
      <c r="A852" s="42">
        <f>IF($B852="","","ACT-"&amp;TEXT(ROW()-4,"000"))</f>
        <v>0</v>
      </c>
      <c r="M852" s="43">
        <f>IF(COUNTA($B852:$K852)=0,"",IF($B852="","Missing activity name",IF($C852="","Missing practice",IF(COUNTIF(PracticeNames,$C852)=0,"Practice not in Lists",IF($D852="","Missing motion",IF(NOT(ISNUMBER($F852)),"Missing or invalid start date",IF(AND(ISNUMBER($G852),$G852&lt;$F852),"End date before start",IF(AND($N852=1,$AA852=0),"Outside planning year","OK"))))))))</f>
        <v>0</v>
      </c>
      <c r="N852">
        <f>IF(AND($B852&lt;&gt;"",$C852&lt;&gt;"",$D852&lt;&gt;"",ISNUMBER($F852),COUNTIF(PracticeNames,$C852)&gt;0,COUNTIF(MotionNames,$D852)&gt;0,NOT(AND(ISNUMBER($G852),$G852&lt;$F852))),IF(StatusFilter="All (excl. Cancelled)",IF($H852="Cancelled",0,1),IF(StatusFilter="All",1,IF($H852=StatusFilter,1,0))),0)</f>
        <v>0</v>
      </c>
      <c r="O852">
        <f>IF($N852=0,0,IF(AND($F852&lt;=EOMONTH(DATE(PlanYear,1,1),0),IF(ISNUMBER($G852),$G852,$F852)&gt;=DATE(PlanYear,1,1)),1,0))</f>
        <v>0</v>
      </c>
      <c r="P852">
        <f>IF($N852=0,0,IF(AND($F852&lt;=EOMONTH(DATE(PlanYear,2,1),0),IF(ISNUMBER($G852),$G852,$F852)&gt;=DATE(PlanYear,2,1)),1,0))</f>
        <v>0</v>
      </c>
      <c r="Q852">
        <f>IF($N852=0,0,IF(AND($F852&lt;=EOMONTH(DATE(PlanYear,3,1),0),IF(ISNUMBER($G852),$G852,$F852)&gt;=DATE(PlanYear,3,1)),1,0))</f>
        <v>0</v>
      </c>
      <c r="R852">
        <f>IF($N852=0,0,IF(AND($F852&lt;=EOMONTH(DATE(PlanYear,4,1),0),IF(ISNUMBER($G852),$G852,$F852)&gt;=DATE(PlanYear,4,1)),1,0))</f>
        <v>0</v>
      </c>
      <c r="S852">
        <f>IF($N852=0,0,IF(AND($F852&lt;=EOMONTH(DATE(PlanYear,5,1),0),IF(ISNUMBER($G852),$G852,$F852)&gt;=DATE(PlanYear,5,1)),1,0))</f>
        <v>0</v>
      </c>
      <c r="T852">
        <f>IF($N852=0,0,IF(AND($F852&lt;=EOMONTH(DATE(PlanYear,6,1),0),IF(ISNUMBER($G852),$G852,$F852)&gt;=DATE(PlanYear,6,1)),1,0))</f>
        <v>0</v>
      </c>
      <c r="U852">
        <f>IF($N852=0,0,IF(AND($F852&lt;=EOMONTH(DATE(PlanYear,7,1),0),IF(ISNUMBER($G852),$G852,$F852)&gt;=DATE(PlanYear,7,1)),1,0))</f>
        <v>0</v>
      </c>
      <c r="V852">
        <f>IF($N852=0,0,IF(AND($F852&lt;=EOMONTH(DATE(PlanYear,8,1),0),IF(ISNUMBER($G852),$G852,$F852)&gt;=DATE(PlanYear,8,1)),1,0))</f>
        <v>0</v>
      </c>
      <c r="W852">
        <f>IF($N852=0,0,IF(AND($F852&lt;=EOMONTH(DATE(PlanYear,9,1),0),IF(ISNUMBER($G852),$G852,$F852)&gt;=DATE(PlanYear,9,1)),1,0))</f>
        <v>0</v>
      </c>
      <c r="X852">
        <f>IF($N852=0,0,IF(AND($F852&lt;=EOMONTH(DATE(PlanYear,10,1),0),IF(ISNUMBER($G852),$G852,$F852)&gt;=DATE(PlanYear,10,1)),1,0))</f>
        <v>0</v>
      </c>
      <c r="Y852">
        <f>IF($N852=0,0,IF(AND($F852&lt;=EOMONTH(DATE(PlanYear,11,1),0),IF(ISNUMBER($G852),$G852,$F852)&gt;=DATE(PlanYear,11,1)),1,0))</f>
        <v>0</v>
      </c>
      <c r="Z852">
        <f>IF($N852=0,0,IF(AND($F852&lt;=EOMONTH(DATE(PlanYear,12,1),0),IF(ISNUMBER($G852),$G852,$F852)&gt;=DATE(PlanYear,12,1)),1,0))</f>
        <v>0</v>
      </c>
      <c r="AA852">
        <f>SUM($O852:$Z852)</f>
        <v>0</v>
      </c>
    </row>
    <row r="853" spans="1:27">
      <c r="A853" s="42">
        <f>IF($B853="","","ACT-"&amp;TEXT(ROW()-4,"000"))</f>
        <v>0</v>
      </c>
      <c r="M853" s="43">
        <f>IF(COUNTA($B853:$K853)=0,"",IF($B853="","Missing activity name",IF($C853="","Missing practice",IF(COUNTIF(PracticeNames,$C853)=0,"Practice not in Lists",IF($D853="","Missing motion",IF(NOT(ISNUMBER($F853)),"Missing or invalid start date",IF(AND(ISNUMBER($G853),$G853&lt;$F853),"End date before start",IF(AND($N853=1,$AA853=0),"Outside planning year","OK"))))))))</f>
        <v>0</v>
      </c>
      <c r="N853">
        <f>IF(AND($B853&lt;&gt;"",$C853&lt;&gt;"",$D853&lt;&gt;"",ISNUMBER($F853),COUNTIF(PracticeNames,$C853)&gt;0,COUNTIF(MotionNames,$D853)&gt;0,NOT(AND(ISNUMBER($G853),$G853&lt;$F853))),IF(StatusFilter="All (excl. Cancelled)",IF($H853="Cancelled",0,1),IF(StatusFilter="All",1,IF($H853=StatusFilter,1,0))),0)</f>
        <v>0</v>
      </c>
      <c r="O853">
        <f>IF($N853=0,0,IF(AND($F853&lt;=EOMONTH(DATE(PlanYear,1,1),0),IF(ISNUMBER($G853),$G853,$F853)&gt;=DATE(PlanYear,1,1)),1,0))</f>
        <v>0</v>
      </c>
      <c r="P853">
        <f>IF($N853=0,0,IF(AND($F853&lt;=EOMONTH(DATE(PlanYear,2,1),0),IF(ISNUMBER($G853),$G853,$F853)&gt;=DATE(PlanYear,2,1)),1,0))</f>
        <v>0</v>
      </c>
      <c r="Q853">
        <f>IF($N853=0,0,IF(AND($F853&lt;=EOMONTH(DATE(PlanYear,3,1),0),IF(ISNUMBER($G853),$G853,$F853)&gt;=DATE(PlanYear,3,1)),1,0))</f>
        <v>0</v>
      </c>
      <c r="R853">
        <f>IF($N853=0,0,IF(AND($F853&lt;=EOMONTH(DATE(PlanYear,4,1),0),IF(ISNUMBER($G853),$G853,$F853)&gt;=DATE(PlanYear,4,1)),1,0))</f>
        <v>0</v>
      </c>
      <c r="S853">
        <f>IF($N853=0,0,IF(AND($F853&lt;=EOMONTH(DATE(PlanYear,5,1),0),IF(ISNUMBER($G853),$G853,$F853)&gt;=DATE(PlanYear,5,1)),1,0))</f>
        <v>0</v>
      </c>
      <c r="T853">
        <f>IF($N853=0,0,IF(AND($F853&lt;=EOMONTH(DATE(PlanYear,6,1),0),IF(ISNUMBER($G853),$G853,$F853)&gt;=DATE(PlanYear,6,1)),1,0))</f>
        <v>0</v>
      </c>
      <c r="U853">
        <f>IF($N853=0,0,IF(AND($F853&lt;=EOMONTH(DATE(PlanYear,7,1),0),IF(ISNUMBER($G853),$G853,$F853)&gt;=DATE(PlanYear,7,1)),1,0))</f>
        <v>0</v>
      </c>
      <c r="V853">
        <f>IF($N853=0,0,IF(AND($F853&lt;=EOMONTH(DATE(PlanYear,8,1),0),IF(ISNUMBER($G853),$G853,$F853)&gt;=DATE(PlanYear,8,1)),1,0))</f>
        <v>0</v>
      </c>
      <c r="W853">
        <f>IF($N853=0,0,IF(AND($F853&lt;=EOMONTH(DATE(PlanYear,9,1),0),IF(ISNUMBER($G853),$G853,$F853)&gt;=DATE(PlanYear,9,1)),1,0))</f>
        <v>0</v>
      </c>
      <c r="X853">
        <f>IF($N853=0,0,IF(AND($F853&lt;=EOMONTH(DATE(PlanYear,10,1),0),IF(ISNUMBER($G853),$G853,$F853)&gt;=DATE(PlanYear,10,1)),1,0))</f>
        <v>0</v>
      </c>
      <c r="Y853">
        <f>IF($N853=0,0,IF(AND($F853&lt;=EOMONTH(DATE(PlanYear,11,1),0),IF(ISNUMBER($G853),$G853,$F853)&gt;=DATE(PlanYear,11,1)),1,0))</f>
        <v>0</v>
      </c>
      <c r="Z853">
        <f>IF($N853=0,0,IF(AND($F853&lt;=EOMONTH(DATE(PlanYear,12,1),0),IF(ISNUMBER($G853),$G853,$F853)&gt;=DATE(PlanYear,12,1)),1,0))</f>
        <v>0</v>
      </c>
      <c r="AA853">
        <f>SUM($O853:$Z853)</f>
        <v>0</v>
      </c>
    </row>
    <row r="854" spans="1:27">
      <c r="A854" s="42">
        <f>IF($B854="","","ACT-"&amp;TEXT(ROW()-4,"000"))</f>
        <v>0</v>
      </c>
      <c r="M854" s="43">
        <f>IF(COUNTA($B854:$K854)=0,"",IF($B854="","Missing activity name",IF($C854="","Missing practice",IF(COUNTIF(PracticeNames,$C854)=0,"Practice not in Lists",IF($D854="","Missing motion",IF(NOT(ISNUMBER($F854)),"Missing or invalid start date",IF(AND(ISNUMBER($G854),$G854&lt;$F854),"End date before start",IF(AND($N854=1,$AA854=0),"Outside planning year","OK"))))))))</f>
        <v>0</v>
      </c>
      <c r="N854">
        <f>IF(AND($B854&lt;&gt;"",$C854&lt;&gt;"",$D854&lt;&gt;"",ISNUMBER($F854),COUNTIF(PracticeNames,$C854)&gt;0,COUNTIF(MotionNames,$D854)&gt;0,NOT(AND(ISNUMBER($G854),$G854&lt;$F854))),IF(StatusFilter="All (excl. Cancelled)",IF($H854="Cancelled",0,1),IF(StatusFilter="All",1,IF($H854=StatusFilter,1,0))),0)</f>
        <v>0</v>
      </c>
      <c r="O854">
        <f>IF($N854=0,0,IF(AND($F854&lt;=EOMONTH(DATE(PlanYear,1,1),0),IF(ISNUMBER($G854),$G854,$F854)&gt;=DATE(PlanYear,1,1)),1,0))</f>
        <v>0</v>
      </c>
      <c r="P854">
        <f>IF($N854=0,0,IF(AND($F854&lt;=EOMONTH(DATE(PlanYear,2,1),0),IF(ISNUMBER($G854),$G854,$F854)&gt;=DATE(PlanYear,2,1)),1,0))</f>
        <v>0</v>
      </c>
      <c r="Q854">
        <f>IF($N854=0,0,IF(AND($F854&lt;=EOMONTH(DATE(PlanYear,3,1),0),IF(ISNUMBER($G854),$G854,$F854)&gt;=DATE(PlanYear,3,1)),1,0))</f>
        <v>0</v>
      </c>
      <c r="R854">
        <f>IF($N854=0,0,IF(AND($F854&lt;=EOMONTH(DATE(PlanYear,4,1),0),IF(ISNUMBER($G854),$G854,$F854)&gt;=DATE(PlanYear,4,1)),1,0))</f>
        <v>0</v>
      </c>
      <c r="S854">
        <f>IF($N854=0,0,IF(AND($F854&lt;=EOMONTH(DATE(PlanYear,5,1),0),IF(ISNUMBER($G854),$G854,$F854)&gt;=DATE(PlanYear,5,1)),1,0))</f>
        <v>0</v>
      </c>
      <c r="T854">
        <f>IF($N854=0,0,IF(AND($F854&lt;=EOMONTH(DATE(PlanYear,6,1),0),IF(ISNUMBER($G854),$G854,$F854)&gt;=DATE(PlanYear,6,1)),1,0))</f>
        <v>0</v>
      </c>
      <c r="U854">
        <f>IF($N854=0,0,IF(AND($F854&lt;=EOMONTH(DATE(PlanYear,7,1),0),IF(ISNUMBER($G854),$G854,$F854)&gt;=DATE(PlanYear,7,1)),1,0))</f>
        <v>0</v>
      </c>
      <c r="V854">
        <f>IF($N854=0,0,IF(AND($F854&lt;=EOMONTH(DATE(PlanYear,8,1),0),IF(ISNUMBER($G854),$G854,$F854)&gt;=DATE(PlanYear,8,1)),1,0))</f>
        <v>0</v>
      </c>
      <c r="W854">
        <f>IF($N854=0,0,IF(AND($F854&lt;=EOMONTH(DATE(PlanYear,9,1),0),IF(ISNUMBER($G854),$G854,$F854)&gt;=DATE(PlanYear,9,1)),1,0))</f>
        <v>0</v>
      </c>
      <c r="X854">
        <f>IF($N854=0,0,IF(AND($F854&lt;=EOMONTH(DATE(PlanYear,10,1),0),IF(ISNUMBER($G854),$G854,$F854)&gt;=DATE(PlanYear,10,1)),1,0))</f>
        <v>0</v>
      </c>
      <c r="Y854">
        <f>IF($N854=0,0,IF(AND($F854&lt;=EOMONTH(DATE(PlanYear,11,1),0),IF(ISNUMBER($G854),$G854,$F854)&gt;=DATE(PlanYear,11,1)),1,0))</f>
        <v>0</v>
      </c>
      <c r="Z854">
        <f>IF($N854=0,0,IF(AND($F854&lt;=EOMONTH(DATE(PlanYear,12,1),0),IF(ISNUMBER($G854),$G854,$F854)&gt;=DATE(PlanYear,12,1)),1,0))</f>
        <v>0</v>
      </c>
      <c r="AA854">
        <f>SUM($O854:$Z854)</f>
        <v>0</v>
      </c>
    </row>
    <row r="855" spans="1:27">
      <c r="A855" s="42">
        <f>IF($B855="","","ACT-"&amp;TEXT(ROW()-4,"000"))</f>
        <v>0</v>
      </c>
      <c r="M855" s="43">
        <f>IF(COUNTA($B855:$K855)=0,"",IF($B855="","Missing activity name",IF($C855="","Missing practice",IF(COUNTIF(PracticeNames,$C855)=0,"Practice not in Lists",IF($D855="","Missing motion",IF(NOT(ISNUMBER($F855)),"Missing or invalid start date",IF(AND(ISNUMBER($G855),$G855&lt;$F855),"End date before start",IF(AND($N855=1,$AA855=0),"Outside planning year","OK"))))))))</f>
        <v>0</v>
      </c>
      <c r="N855">
        <f>IF(AND($B855&lt;&gt;"",$C855&lt;&gt;"",$D855&lt;&gt;"",ISNUMBER($F855),COUNTIF(PracticeNames,$C855)&gt;0,COUNTIF(MotionNames,$D855)&gt;0,NOT(AND(ISNUMBER($G855),$G855&lt;$F855))),IF(StatusFilter="All (excl. Cancelled)",IF($H855="Cancelled",0,1),IF(StatusFilter="All",1,IF($H855=StatusFilter,1,0))),0)</f>
        <v>0</v>
      </c>
      <c r="O855">
        <f>IF($N855=0,0,IF(AND($F855&lt;=EOMONTH(DATE(PlanYear,1,1),0),IF(ISNUMBER($G855),$G855,$F855)&gt;=DATE(PlanYear,1,1)),1,0))</f>
        <v>0</v>
      </c>
      <c r="P855">
        <f>IF($N855=0,0,IF(AND($F855&lt;=EOMONTH(DATE(PlanYear,2,1),0),IF(ISNUMBER($G855),$G855,$F855)&gt;=DATE(PlanYear,2,1)),1,0))</f>
        <v>0</v>
      </c>
      <c r="Q855">
        <f>IF($N855=0,0,IF(AND($F855&lt;=EOMONTH(DATE(PlanYear,3,1),0),IF(ISNUMBER($G855),$G855,$F855)&gt;=DATE(PlanYear,3,1)),1,0))</f>
        <v>0</v>
      </c>
      <c r="R855">
        <f>IF($N855=0,0,IF(AND($F855&lt;=EOMONTH(DATE(PlanYear,4,1),0),IF(ISNUMBER($G855),$G855,$F855)&gt;=DATE(PlanYear,4,1)),1,0))</f>
        <v>0</v>
      </c>
      <c r="S855">
        <f>IF($N855=0,0,IF(AND($F855&lt;=EOMONTH(DATE(PlanYear,5,1),0),IF(ISNUMBER($G855),$G855,$F855)&gt;=DATE(PlanYear,5,1)),1,0))</f>
        <v>0</v>
      </c>
      <c r="T855">
        <f>IF($N855=0,0,IF(AND($F855&lt;=EOMONTH(DATE(PlanYear,6,1),0),IF(ISNUMBER($G855),$G855,$F855)&gt;=DATE(PlanYear,6,1)),1,0))</f>
        <v>0</v>
      </c>
      <c r="U855">
        <f>IF($N855=0,0,IF(AND($F855&lt;=EOMONTH(DATE(PlanYear,7,1),0),IF(ISNUMBER($G855),$G855,$F855)&gt;=DATE(PlanYear,7,1)),1,0))</f>
        <v>0</v>
      </c>
      <c r="V855">
        <f>IF($N855=0,0,IF(AND($F855&lt;=EOMONTH(DATE(PlanYear,8,1),0),IF(ISNUMBER($G855),$G855,$F855)&gt;=DATE(PlanYear,8,1)),1,0))</f>
        <v>0</v>
      </c>
      <c r="W855">
        <f>IF($N855=0,0,IF(AND($F855&lt;=EOMONTH(DATE(PlanYear,9,1),0),IF(ISNUMBER($G855),$G855,$F855)&gt;=DATE(PlanYear,9,1)),1,0))</f>
        <v>0</v>
      </c>
      <c r="X855">
        <f>IF($N855=0,0,IF(AND($F855&lt;=EOMONTH(DATE(PlanYear,10,1),0),IF(ISNUMBER($G855),$G855,$F855)&gt;=DATE(PlanYear,10,1)),1,0))</f>
        <v>0</v>
      </c>
      <c r="Y855">
        <f>IF($N855=0,0,IF(AND($F855&lt;=EOMONTH(DATE(PlanYear,11,1),0),IF(ISNUMBER($G855),$G855,$F855)&gt;=DATE(PlanYear,11,1)),1,0))</f>
        <v>0</v>
      </c>
      <c r="Z855">
        <f>IF($N855=0,0,IF(AND($F855&lt;=EOMONTH(DATE(PlanYear,12,1),0),IF(ISNUMBER($G855),$G855,$F855)&gt;=DATE(PlanYear,12,1)),1,0))</f>
        <v>0</v>
      </c>
      <c r="AA855">
        <f>SUM($O855:$Z855)</f>
        <v>0</v>
      </c>
    </row>
    <row r="856" spans="1:27">
      <c r="A856" s="42">
        <f>IF($B856="","","ACT-"&amp;TEXT(ROW()-4,"000"))</f>
        <v>0</v>
      </c>
      <c r="M856" s="43">
        <f>IF(COUNTA($B856:$K856)=0,"",IF($B856="","Missing activity name",IF($C856="","Missing practice",IF(COUNTIF(PracticeNames,$C856)=0,"Practice not in Lists",IF($D856="","Missing motion",IF(NOT(ISNUMBER($F856)),"Missing or invalid start date",IF(AND(ISNUMBER($G856),$G856&lt;$F856),"End date before start",IF(AND($N856=1,$AA856=0),"Outside planning year","OK"))))))))</f>
        <v>0</v>
      </c>
      <c r="N856">
        <f>IF(AND($B856&lt;&gt;"",$C856&lt;&gt;"",$D856&lt;&gt;"",ISNUMBER($F856),COUNTIF(PracticeNames,$C856)&gt;0,COUNTIF(MotionNames,$D856)&gt;0,NOT(AND(ISNUMBER($G856),$G856&lt;$F856))),IF(StatusFilter="All (excl. Cancelled)",IF($H856="Cancelled",0,1),IF(StatusFilter="All",1,IF($H856=StatusFilter,1,0))),0)</f>
        <v>0</v>
      </c>
      <c r="O856">
        <f>IF($N856=0,0,IF(AND($F856&lt;=EOMONTH(DATE(PlanYear,1,1),0),IF(ISNUMBER($G856),$G856,$F856)&gt;=DATE(PlanYear,1,1)),1,0))</f>
        <v>0</v>
      </c>
      <c r="P856">
        <f>IF($N856=0,0,IF(AND($F856&lt;=EOMONTH(DATE(PlanYear,2,1),0),IF(ISNUMBER($G856),$G856,$F856)&gt;=DATE(PlanYear,2,1)),1,0))</f>
        <v>0</v>
      </c>
      <c r="Q856">
        <f>IF($N856=0,0,IF(AND($F856&lt;=EOMONTH(DATE(PlanYear,3,1),0),IF(ISNUMBER($G856),$G856,$F856)&gt;=DATE(PlanYear,3,1)),1,0))</f>
        <v>0</v>
      </c>
      <c r="R856">
        <f>IF($N856=0,0,IF(AND($F856&lt;=EOMONTH(DATE(PlanYear,4,1),0),IF(ISNUMBER($G856),$G856,$F856)&gt;=DATE(PlanYear,4,1)),1,0))</f>
        <v>0</v>
      </c>
      <c r="S856">
        <f>IF($N856=0,0,IF(AND($F856&lt;=EOMONTH(DATE(PlanYear,5,1),0),IF(ISNUMBER($G856),$G856,$F856)&gt;=DATE(PlanYear,5,1)),1,0))</f>
        <v>0</v>
      </c>
      <c r="T856">
        <f>IF($N856=0,0,IF(AND($F856&lt;=EOMONTH(DATE(PlanYear,6,1),0),IF(ISNUMBER($G856),$G856,$F856)&gt;=DATE(PlanYear,6,1)),1,0))</f>
        <v>0</v>
      </c>
      <c r="U856">
        <f>IF($N856=0,0,IF(AND($F856&lt;=EOMONTH(DATE(PlanYear,7,1),0),IF(ISNUMBER($G856),$G856,$F856)&gt;=DATE(PlanYear,7,1)),1,0))</f>
        <v>0</v>
      </c>
      <c r="V856">
        <f>IF($N856=0,0,IF(AND($F856&lt;=EOMONTH(DATE(PlanYear,8,1),0),IF(ISNUMBER($G856),$G856,$F856)&gt;=DATE(PlanYear,8,1)),1,0))</f>
        <v>0</v>
      </c>
      <c r="W856">
        <f>IF($N856=0,0,IF(AND($F856&lt;=EOMONTH(DATE(PlanYear,9,1),0),IF(ISNUMBER($G856),$G856,$F856)&gt;=DATE(PlanYear,9,1)),1,0))</f>
        <v>0</v>
      </c>
      <c r="X856">
        <f>IF($N856=0,0,IF(AND($F856&lt;=EOMONTH(DATE(PlanYear,10,1),0),IF(ISNUMBER($G856),$G856,$F856)&gt;=DATE(PlanYear,10,1)),1,0))</f>
        <v>0</v>
      </c>
      <c r="Y856">
        <f>IF($N856=0,0,IF(AND($F856&lt;=EOMONTH(DATE(PlanYear,11,1),0),IF(ISNUMBER($G856),$G856,$F856)&gt;=DATE(PlanYear,11,1)),1,0))</f>
        <v>0</v>
      </c>
      <c r="Z856">
        <f>IF($N856=0,0,IF(AND($F856&lt;=EOMONTH(DATE(PlanYear,12,1),0),IF(ISNUMBER($G856),$G856,$F856)&gt;=DATE(PlanYear,12,1)),1,0))</f>
        <v>0</v>
      </c>
      <c r="AA856">
        <f>SUM($O856:$Z856)</f>
        <v>0</v>
      </c>
    </row>
    <row r="857" spans="1:27">
      <c r="A857" s="42">
        <f>IF($B857="","","ACT-"&amp;TEXT(ROW()-4,"000"))</f>
        <v>0</v>
      </c>
      <c r="M857" s="43">
        <f>IF(COUNTA($B857:$K857)=0,"",IF($B857="","Missing activity name",IF($C857="","Missing practice",IF(COUNTIF(PracticeNames,$C857)=0,"Practice not in Lists",IF($D857="","Missing motion",IF(NOT(ISNUMBER($F857)),"Missing or invalid start date",IF(AND(ISNUMBER($G857),$G857&lt;$F857),"End date before start",IF(AND($N857=1,$AA857=0),"Outside planning year","OK"))))))))</f>
        <v>0</v>
      </c>
      <c r="N857">
        <f>IF(AND($B857&lt;&gt;"",$C857&lt;&gt;"",$D857&lt;&gt;"",ISNUMBER($F857),COUNTIF(PracticeNames,$C857)&gt;0,COUNTIF(MotionNames,$D857)&gt;0,NOT(AND(ISNUMBER($G857),$G857&lt;$F857))),IF(StatusFilter="All (excl. Cancelled)",IF($H857="Cancelled",0,1),IF(StatusFilter="All",1,IF($H857=StatusFilter,1,0))),0)</f>
        <v>0</v>
      </c>
      <c r="O857">
        <f>IF($N857=0,0,IF(AND($F857&lt;=EOMONTH(DATE(PlanYear,1,1),0),IF(ISNUMBER($G857),$G857,$F857)&gt;=DATE(PlanYear,1,1)),1,0))</f>
        <v>0</v>
      </c>
      <c r="P857">
        <f>IF($N857=0,0,IF(AND($F857&lt;=EOMONTH(DATE(PlanYear,2,1),0),IF(ISNUMBER($G857),$G857,$F857)&gt;=DATE(PlanYear,2,1)),1,0))</f>
        <v>0</v>
      </c>
      <c r="Q857">
        <f>IF($N857=0,0,IF(AND($F857&lt;=EOMONTH(DATE(PlanYear,3,1),0),IF(ISNUMBER($G857),$G857,$F857)&gt;=DATE(PlanYear,3,1)),1,0))</f>
        <v>0</v>
      </c>
      <c r="R857">
        <f>IF($N857=0,0,IF(AND($F857&lt;=EOMONTH(DATE(PlanYear,4,1),0),IF(ISNUMBER($G857),$G857,$F857)&gt;=DATE(PlanYear,4,1)),1,0))</f>
        <v>0</v>
      </c>
      <c r="S857">
        <f>IF($N857=0,0,IF(AND($F857&lt;=EOMONTH(DATE(PlanYear,5,1),0),IF(ISNUMBER($G857),$G857,$F857)&gt;=DATE(PlanYear,5,1)),1,0))</f>
        <v>0</v>
      </c>
      <c r="T857">
        <f>IF($N857=0,0,IF(AND($F857&lt;=EOMONTH(DATE(PlanYear,6,1),0),IF(ISNUMBER($G857),$G857,$F857)&gt;=DATE(PlanYear,6,1)),1,0))</f>
        <v>0</v>
      </c>
      <c r="U857">
        <f>IF($N857=0,0,IF(AND($F857&lt;=EOMONTH(DATE(PlanYear,7,1),0),IF(ISNUMBER($G857),$G857,$F857)&gt;=DATE(PlanYear,7,1)),1,0))</f>
        <v>0</v>
      </c>
      <c r="V857">
        <f>IF($N857=0,0,IF(AND($F857&lt;=EOMONTH(DATE(PlanYear,8,1),0),IF(ISNUMBER($G857),$G857,$F857)&gt;=DATE(PlanYear,8,1)),1,0))</f>
        <v>0</v>
      </c>
      <c r="W857">
        <f>IF($N857=0,0,IF(AND($F857&lt;=EOMONTH(DATE(PlanYear,9,1),0),IF(ISNUMBER($G857),$G857,$F857)&gt;=DATE(PlanYear,9,1)),1,0))</f>
        <v>0</v>
      </c>
      <c r="X857">
        <f>IF($N857=0,0,IF(AND($F857&lt;=EOMONTH(DATE(PlanYear,10,1),0),IF(ISNUMBER($G857),$G857,$F857)&gt;=DATE(PlanYear,10,1)),1,0))</f>
        <v>0</v>
      </c>
      <c r="Y857">
        <f>IF($N857=0,0,IF(AND($F857&lt;=EOMONTH(DATE(PlanYear,11,1),0),IF(ISNUMBER($G857),$G857,$F857)&gt;=DATE(PlanYear,11,1)),1,0))</f>
        <v>0</v>
      </c>
      <c r="Z857">
        <f>IF($N857=0,0,IF(AND($F857&lt;=EOMONTH(DATE(PlanYear,12,1),0),IF(ISNUMBER($G857),$G857,$F857)&gt;=DATE(PlanYear,12,1)),1,0))</f>
        <v>0</v>
      </c>
      <c r="AA857">
        <f>SUM($O857:$Z857)</f>
        <v>0</v>
      </c>
    </row>
    <row r="858" spans="1:27">
      <c r="A858" s="42">
        <f>IF($B858="","","ACT-"&amp;TEXT(ROW()-4,"000"))</f>
        <v>0</v>
      </c>
      <c r="M858" s="43">
        <f>IF(COUNTA($B858:$K858)=0,"",IF($B858="","Missing activity name",IF($C858="","Missing practice",IF(COUNTIF(PracticeNames,$C858)=0,"Practice not in Lists",IF($D858="","Missing motion",IF(NOT(ISNUMBER($F858)),"Missing or invalid start date",IF(AND(ISNUMBER($G858),$G858&lt;$F858),"End date before start",IF(AND($N858=1,$AA858=0),"Outside planning year","OK"))))))))</f>
        <v>0</v>
      </c>
      <c r="N858">
        <f>IF(AND($B858&lt;&gt;"",$C858&lt;&gt;"",$D858&lt;&gt;"",ISNUMBER($F858),COUNTIF(PracticeNames,$C858)&gt;0,COUNTIF(MotionNames,$D858)&gt;0,NOT(AND(ISNUMBER($G858),$G858&lt;$F858))),IF(StatusFilter="All (excl. Cancelled)",IF($H858="Cancelled",0,1),IF(StatusFilter="All",1,IF($H858=StatusFilter,1,0))),0)</f>
        <v>0</v>
      </c>
      <c r="O858">
        <f>IF($N858=0,0,IF(AND($F858&lt;=EOMONTH(DATE(PlanYear,1,1),0),IF(ISNUMBER($G858),$G858,$F858)&gt;=DATE(PlanYear,1,1)),1,0))</f>
        <v>0</v>
      </c>
      <c r="P858">
        <f>IF($N858=0,0,IF(AND($F858&lt;=EOMONTH(DATE(PlanYear,2,1),0),IF(ISNUMBER($G858),$G858,$F858)&gt;=DATE(PlanYear,2,1)),1,0))</f>
        <v>0</v>
      </c>
      <c r="Q858">
        <f>IF($N858=0,0,IF(AND($F858&lt;=EOMONTH(DATE(PlanYear,3,1),0),IF(ISNUMBER($G858),$G858,$F858)&gt;=DATE(PlanYear,3,1)),1,0))</f>
        <v>0</v>
      </c>
      <c r="R858">
        <f>IF($N858=0,0,IF(AND($F858&lt;=EOMONTH(DATE(PlanYear,4,1),0),IF(ISNUMBER($G858),$G858,$F858)&gt;=DATE(PlanYear,4,1)),1,0))</f>
        <v>0</v>
      </c>
      <c r="S858">
        <f>IF($N858=0,0,IF(AND($F858&lt;=EOMONTH(DATE(PlanYear,5,1),0),IF(ISNUMBER($G858),$G858,$F858)&gt;=DATE(PlanYear,5,1)),1,0))</f>
        <v>0</v>
      </c>
      <c r="T858">
        <f>IF($N858=0,0,IF(AND($F858&lt;=EOMONTH(DATE(PlanYear,6,1),0),IF(ISNUMBER($G858),$G858,$F858)&gt;=DATE(PlanYear,6,1)),1,0))</f>
        <v>0</v>
      </c>
      <c r="U858">
        <f>IF($N858=0,0,IF(AND($F858&lt;=EOMONTH(DATE(PlanYear,7,1),0),IF(ISNUMBER($G858),$G858,$F858)&gt;=DATE(PlanYear,7,1)),1,0))</f>
        <v>0</v>
      </c>
      <c r="V858">
        <f>IF($N858=0,0,IF(AND($F858&lt;=EOMONTH(DATE(PlanYear,8,1),0),IF(ISNUMBER($G858),$G858,$F858)&gt;=DATE(PlanYear,8,1)),1,0))</f>
        <v>0</v>
      </c>
      <c r="W858">
        <f>IF($N858=0,0,IF(AND($F858&lt;=EOMONTH(DATE(PlanYear,9,1),0),IF(ISNUMBER($G858),$G858,$F858)&gt;=DATE(PlanYear,9,1)),1,0))</f>
        <v>0</v>
      </c>
      <c r="X858">
        <f>IF($N858=0,0,IF(AND($F858&lt;=EOMONTH(DATE(PlanYear,10,1),0),IF(ISNUMBER($G858),$G858,$F858)&gt;=DATE(PlanYear,10,1)),1,0))</f>
        <v>0</v>
      </c>
      <c r="Y858">
        <f>IF($N858=0,0,IF(AND($F858&lt;=EOMONTH(DATE(PlanYear,11,1),0),IF(ISNUMBER($G858),$G858,$F858)&gt;=DATE(PlanYear,11,1)),1,0))</f>
        <v>0</v>
      </c>
      <c r="Z858">
        <f>IF($N858=0,0,IF(AND($F858&lt;=EOMONTH(DATE(PlanYear,12,1),0),IF(ISNUMBER($G858),$G858,$F858)&gt;=DATE(PlanYear,12,1)),1,0))</f>
        <v>0</v>
      </c>
      <c r="AA858">
        <f>SUM($O858:$Z858)</f>
        <v>0</v>
      </c>
    </row>
    <row r="859" spans="1:27">
      <c r="A859" s="42">
        <f>IF($B859="","","ACT-"&amp;TEXT(ROW()-4,"000"))</f>
        <v>0</v>
      </c>
      <c r="M859" s="43">
        <f>IF(COUNTA($B859:$K859)=0,"",IF($B859="","Missing activity name",IF($C859="","Missing practice",IF(COUNTIF(PracticeNames,$C859)=0,"Practice not in Lists",IF($D859="","Missing motion",IF(NOT(ISNUMBER($F859)),"Missing or invalid start date",IF(AND(ISNUMBER($G859),$G859&lt;$F859),"End date before start",IF(AND($N859=1,$AA859=0),"Outside planning year","OK"))))))))</f>
        <v>0</v>
      </c>
      <c r="N859">
        <f>IF(AND($B859&lt;&gt;"",$C859&lt;&gt;"",$D859&lt;&gt;"",ISNUMBER($F859),COUNTIF(PracticeNames,$C859)&gt;0,COUNTIF(MotionNames,$D859)&gt;0,NOT(AND(ISNUMBER($G859),$G859&lt;$F859))),IF(StatusFilter="All (excl. Cancelled)",IF($H859="Cancelled",0,1),IF(StatusFilter="All",1,IF($H859=StatusFilter,1,0))),0)</f>
        <v>0</v>
      </c>
      <c r="O859">
        <f>IF($N859=0,0,IF(AND($F859&lt;=EOMONTH(DATE(PlanYear,1,1),0),IF(ISNUMBER($G859),$G859,$F859)&gt;=DATE(PlanYear,1,1)),1,0))</f>
        <v>0</v>
      </c>
      <c r="P859">
        <f>IF($N859=0,0,IF(AND($F859&lt;=EOMONTH(DATE(PlanYear,2,1),0),IF(ISNUMBER($G859),$G859,$F859)&gt;=DATE(PlanYear,2,1)),1,0))</f>
        <v>0</v>
      </c>
      <c r="Q859">
        <f>IF($N859=0,0,IF(AND($F859&lt;=EOMONTH(DATE(PlanYear,3,1),0),IF(ISNUMBER($G859),$G859,$F859)&gt;=DATE(PlanYear,3,1)),1,0))</f>
        <v>0</v>
      </c>
      <c r="R859">
        <f>IF($N859=0,0,IF(AND($F859&lt;=EOMONTH(DATE(PlanYear,4,1),0),IF(ISNUMBER($G859),$G859,$F859)&gt;=DATE(PlanYear,4,1)),1,0))</f>
        <v>0</v>
      </c>
      <c r="S859">
        <f>IF($N859=0,0,IF(AND($F859&lt;=EOMONTH(DATE(PlanYear,5,1),0),IF(ISNUMBER($G859),$G859,$F859)&gt;=DATE(PlanYear,5,1)),1,0))</f>
        <v>0</v>
      </c>
      <c r="T859">
        <f>IF($N859=0,0,IF(AND($F859&lt;=EOMONTH(DATE(PlanYear,6,1),0),IF(ISNUMBER($G859),$G859,$F859)&gt;=DATE(PlanYear,6,1)),1,0))</f>
        <v>0</v>
      </c>
      <c r="U859">
        <f>IF($N859=0,0,IF(AND($F859&lt;=EOMONTH(DATE(PlanYear,7,1),0),IF(ISNUMBER($G859),$G859,$F859)&gt;=DATE(PlanYear,7,1)),1,0))</f>
        <v>0</v>
      </c>
      <c r="V859">
        <f>IF($N859=0,0,IF(AND($F859&lt;=EOMONTH(DATE(PlanYear,8,1),0),IF(ISNUMBER($G859),$G859,$F859)&gt;=DATE(PlanYear,8,1)),1,0))</f>
        <v>0</v>
      </c>
      <c r="W859">
        <f>IF($N859=0,0,IF(AND($F859&lt;=EOMONTH(DATE(PlanYear,9,1),0),IF(ISNUMBER($G859),$G859,$F859)&gt;=DATE(PlanYear,9,1)),1,0))</f>
        <v>0</v>
      </c>
      <c r="X859">
        <f>IF($N859=0,0,IF(AND($F859&lt;=EOMONTH(DATE(PlanYear,10,1),0),IF(ISNUMBER($G859),$G859,$F859)&gt;=DATE(PlanYear,10,1)),1,0))</f>
        <v>0</v>
      </c>
      <c r="Y859">
        <f>IF($N859=0,0,IF(AND($F859&lt;=EOMONTH(DATE(PlanYear,11,1),0),IF(ISNUMBER($G859),$G859,$F859)&gt;=DATE(PlanYear,11,1)),1,0))</f>
        <v>0</v>
      </c>
      <c r="Z859">
        <f>IF($N859=0,0,IF(AND($F859&lt;=EOMONTH(DATE(PlanYear,12,1),0),IF(ISNUMBER($G859),$G859,$F859)&gt;=DATE(PlanYear,12,1)),1,0))</f>
        <v>0</v>
      </c>
      <c r="AA859">
        <f>SUM($O859:$Z859)</f>
        <v>0</v>
      </c>
    </row>
    <row r="860" spans="1:27">
      <c r="A860" s="42">
        <f>IF($B860="","","ACT-"&amp;TEXT(ROW()-4,"000"))</f>
        <v>0</v>
      </c>
      <c r="M860" s="43">
        <f>IF(COUNTA($B860:$K860)=0,"",IF($B860="","Missing activity name",IF($C860="","Missing practice",IF(COUNTIF(PracticeNames,$C860)=0,"Practice not in Lists",IF($D860="","Missing motion",IF(NOT(ISNUMBER($F860)),"Missing or invalid start date",IF(AND(ISNUMBER($G860),$G860&lt;$F860),"End date before start",IF(AND($N860=1,$AA860=0),"Outside planning year","OK"))))))))</f>
        <v>0</v>
      </c>
      <c r="N860">
        <f>IF(AND($B860&lt;&gt;"",$C860&lt;&gt;"",$D860&lt;&gt;"",ISNUMBER($F860),COUNTIF(PracticeNames,$C860)&gt;0,COUNTIF(MotionNames,$D860)&gt;0,NOT(AND(ISNUMBER($G860),$G860&lt;$F860))),IF(StatusFilter="All (excl. Cancelled)",IF($H860="Cancelled",0,1),IF(StatusFilter="All",1,IF($H860=StatusFilter,1,0))),0)</f>
        <v>0</v>
      </c>
      <c r="O860">
        <f>IF($N860=0,0,IF(AND($F860&lt;=EOMONTH(DATE(PlanYear,1,1),0),IF(ISNUMBER($G860),$G860,$F860)&gt;=DATE(PlanYear,1,1)),1,0))</f>
        <v>0</v>
      </c>
      <c r="P860">
        <f>IF($N860=0,0,IF(AND($F860&lt;=EOMONTH(DATE(PlanYear,2,1),0),IF(ISNUMBER($G860),$G860,$F860)&gt;=DATE(PlanYear,2,1)),1,0))</f>
        <v>0</v>
      </c>
      <c r="Q860">
        <f>IF($N860=0,0,IF(AND($F860&lt;=EOMONTH(DATE(PlanYear,3,1),0),IF(ISNUMBER($G860),$G860,$F860)&gt;=DATE(PlanYear,3,1)),1,0))</f>
        <v>0</v>
      </c>
      <c r="R860">
        <f>IF($N860=0,0,IF(AND($F860&lt;=EOMONTH(DATE(PlanYear,4,1),0),IF(ISNUMBER($G860),$G860,$F860)&gt;=DATE(PlanYear,4,1)),1,0))</f>
        <v>0</v>
      </c>
      <c r="S860">
        <f>IF($N860=0,0,IF(AND($F860&lt;=EOMONTH(DATE(PlanYear,5,1),0),IF(ISNUMBER($G860),$G860,$F860)&gt;=DATE(PlanYear,5,1)),1,0))</f>
        <v>0</v>
      </c>
      <c r="T860">
        <f>IF($N860=0,0,IF(AND($F860&lt;=EOMONTH(DATE(PlanYear,6,1),0),IF(ISNUMBER($G860),$G860,$F860)&gt;=DATE(PlanYear,6,1)),1,0))</f>
        <v>0</v>
      </c>
      <c r="U860">
        <f>IF($N860=0,0,IF(AND($F860&lt;=EOMONTH(DATE(PlanYear,7,1),0),IF(ISNUMBER($G860),$G860,$F860)&gt;=DATE(PlanYear,7,1)),1,0))</f>
        <v>0</v>
      </c>
      <c r="V860">
        <f>IF($N860=0,0,IF(AND($F860&lt;=EOMONTH(DATE(PlanYear,8,1),0),IF(ISNUMBER($G860),$G860,$F860)&gt;=DATE(PlanYear,8,1)),1,0))</f>
        <v>0</v>
      </c>
      <c r="W860">
        <f>IF($N860=0,0,IF(AND($F860&lt;=EOMONTH(DATE(PlanYear,9,1),0),IF(ISNUMBER($G860),$G860,$F860)&gt;=DATE(PlanYear,9,1)),1,0))</f>
        <v>0</v>
      </c>
      <c r="X860">
        <f>IF($N860=0,0,IF(AND($F860&lt;=EOMONTH(DATE(PlanYear,10,1),0),IF(ISNUMBER($G860),$G860,$F860)&gt;=DATE(PlanYear,10,1)),1,0))</f>
        <v>0</v>
      </c>
      <c r="Y860">
        <f>IF($N860=0,0,IF(AND($F860&lt;=EOMONTH(DATE(PlanYear,11,1),0),IF(ISNUMBER($G860),$G860,$F860)&gt;=DATE(PlanYear,11,1)),1,0))</f>
        <v>0</v>
      </c>
      <c r="Z860">
        <f>IF($N860=0,0,IF(AND($F860&lt;=EOMONTH(DATE(PlanYear,12,1),0),IF(ISNUMBER($G860),$G860,$F860)&gt;=DATE(PlanYear,12,1)),1,0))</f>
        <v>0</v>
      </c>
      <c r="AA860">
        <f>SUM($O860:$Z860)</f>
        <v>0</v>
      </c>
    </row>
    <row r="861" spans="1:27">
      <c r="A861" s="42">
        <f>IF($B861="","","ACT-"&amp;TEXT(ROW()-4,"000"))</f>
        <v>0</v>
      </c>
      <c r="M861" s="43">
        <f>IF(COUNTA($B861:$K861)=0,"",IF($B861="","Missing activity name",IF($C861="","Missing practice",IF(COUNTIF(PracticeNames,$C861)=0,"Practice not in Lists",IF($D861="","Missing motion",IF(NOT(ISNUMBER($F861)),"Missing or invalid start date",IF(AND(ISNUMBER($G861),$G861&lt;$F861),"End date before start",IF(AND($N861=1,$AA861=0),"Outside planning year","OK"))))))))</f>
        <v>0</v>
      </c>
      <c r="N861">
        <f>IF(AND($B861&lt;&gt;"",$C861&lt;&gt;"",$D861&lt;&gt;"",ISNUMBER($F861),COUNTIF(PracticeNames,$C861)&gt;0,COUNTIF(MotionNames,$D861)&gt;0,NOT(AND(ISNUMBER($G861),$G861&lt;$F861))),IF(StatusFilter="All (excl. Cancelled)",IF($H861="Cancelled",0,1),IF(StatusFilter="All",1,IF($H861=StatusFilter,1,0))),0)</f>
        <v>0</v>
      </c>
      <c r="O861">
        <f>IF($N861=0,0,IF(AND($F861&lt;=EOMONTH(DATE(PlanYear,1,1),0),IF(ISNUMBER($G861),$G861,$F861)&gt;=DATE(PlanYear,1,1)),1,0))</f>
        <v>0</v>
      </c>
      <c r="P861">
        <f>IF($N861=0,0,IF(AND($F861&lt;=EOMONTH(DATE(PlanYear,2,1),0),IF(ISNUMBER($G861),$G861,$F861)&gt;=DATE(PlanYear,2,1)),1,0))</f>
        <v>0</v>
      </c>
      <c r="Q861">
        <f>IF($N861=0,0,IF(AND($F861&lt;=EOMONTH(DATE(PlanYear,3,1),0),IF(ISNUMBER($G861),$G861,$F861)&gt;=DATE(PlanYear,3,1)),1,0))</f>
        <v>0</v>
      </c>
      <c r="R861">
        <f>IF($N861=0,0,IF(AND($F861&lt;=EOMONTH(DATE(PlanYear,4,1),0),IF(ISNUMBER($G861),$G861,$F861)&gt;=DATE(PlanYear,4,1)),1,0))</f>
        <v>0</v>
      </c>
      <c r="S861">
        <f>IF($N861=0,0,IF(AND($F861&lt;=EOMONTH(DATE(PlanYear,5,1),0),IF(ISNUMBER($G861),$G861,$F861)&gt;=DATE(PlanYear,5,1)),1,0))</f>
        <v>0</v>
      </c>
      <c r="T861">
        <f>IF($N861=0,0,IF(AND($F861&lt;=EOMONTH(DATE(PlanYear,6,1),0),IF(ISNUMBER($G861),$G861,$F861)&gt;=DATE(PlanYear,6,1)),1,0))</f>
        <v>0</v>
      </c>
      <c r="U861">
        <f>IF($N861=0,0,IF(AND($F861&lt;=EOMONTH(DATE(PlanYear,7,1),0),IF(ISNUMBER($G861),$G861,$F861)&gt;=DATE(PlanYear,7,1)),1,0))</f>
        <v>0</v>
      </c>
      <c r="V861">
        <f>IF($N861=0,0,IF(AND($F861&lt;=EOMONTH(DATE(PlanYear,8,1),0),IF(ISNUMBER($G861),$G861,$F861)&gt;=DATE(PlanYear,8,1)),1,0))</f>
        <v>0</v>
      </c>
      <c r="W861">
        <f>IF($N861=0,0,IF(AND($F861&lt;=EOMONTH(DATE(PlanYear,9,1),0),IF(ISNUMBER($G861),$G861,$F861)&gt;=DATE(PlanYear,9,1)),1,0))</f>
        <v>0</v>
      </c>
      <c r="X861">
        <f>IF($N861=0,0,IF(AND($F861&lt;=EOMONTH(DATE(PlanYear,10,1),0),IF(ISNUMBER($G861),$G861,$F861)&gt;=DATE(PlanYear,10,1)),1,0))</f>
        <v>0</v>
      </c>
      <c r="Y861">
        <f>IF($N861=0,0,IF(AND($F861&lt;=EOMONTH(DATE(PlanYear,11,1),0),IF(ISNUMBER($G861),$G861,$F861)&gt;=DATE(PlanYear,11,1)),1,0))</f>
        <v>0</v>
      </c>
      <c r="Z861">
        <f>IF($N861=0,0,IF(AND($F861&lt;=EOMONTH(DATE(PlanYear,12,1),0),IF(ISNUMBER($G861),$G861,$F861)&gt;=DATE(PlanYear,12,1)),1,0))</f>
        <v>0</v>
      </c>
      <c r="AA861">
        <f>SUM($O861:$Z861)</f>
        <v>0</v>
      </c>
    </row>
    <row r="862" spans="1:27">
      <c r="A862" s="42">
        <f>IF($B862="","","ACT-"&amp;TEXT(ROW()-4,"000"))</f>
        <v>0</v>
      </c>
      <c r="M862" s="43">
        <f>IF(COUNTA($B862:$K862)=0,"",IF($B862="","Missing activity name",IF($C862="","Missing practice",IF(COUNTIF(PracticeNames,$C862)=0,"Practice not in Lists",IF($D862="","Missing motion",IF(NOT(ISNUMBER($F862)),"Missing or invalid start date",IF(AND(ISNUMBER($G862),$G862&lt;$F862),"End date before start",IF(AND($N862=1,$AA862=0),"Outside planning year","OK"))))))))</f>
        <v>0</v>
      </c>
      <c r="N862">
        <f>IF(AND($B862&lt;&gt;"",$C862&lt;&gt;"",$D862&lt;&gt;"",ISNUMBER($F862),COUNTIF(PracticeNames,$C862)&gt;0,COUNTIF(MotionNames,$D862)&gt;0,NOT(AND(ISNUMBER($G862),$G862&lt;$F862))),IF(StatusFilter="All (excl. Cancelled)",IF($H862="Cancelled",0,1),IF(StatusFilter="All",1,IF($H862=StatusFilter,1,0))),0)</f>
        <v>0</v>
      </c>
      <c r="O862">
        <f>IF($N862=0,0,IF(AND($F862&lt;=EOMONTH(DATE(PlanYear,1,1),0),IF(ISNUMBER($G862),$G862,$F862)&gt;=DATE(PlanYear,1,1)),1,0))</f>
        <v>0</v>
      </c>
      <c r="P862">
        <f>IF($N862=0,0,IF(AND($F862&lt;=EOMONTH(DATE(PlanYear,2,1),0),IF(ISNUMBER($G862),$G862,$F862)&gt;=DATE(PlanYear,2,1)),1,0))</f>
        <v>0</v>
      </c>
      <c r="Q862">
        <f>IF($N862=0,0,IF(AND($F862&lt;=EOMONTH(DATE(PlanYear,3,1),0),IF(ISNUMBER($G862),$G862,$F862)&gt;=DATE(PlanYear,3,1)),1,0))</f>
        <v>0</v>
      </c>
      <c r="R862">
        <f>IF($N862=0,0,IF(AND($F862&lt;=EOMONTH(DATE(PlanYear,4,1),0),IF(ISNUMBER($G862),$G862,$F862)&gt;=DATE(PlanYear,4,1)),1,0))</f>
        <v>0</v>
      </c>
      <c r="S862">
        <f>IF($N862=0,0,IF(AND($F862&lt;=EOMONTH(DATE(PlanYear,5,1),0),IF(ISNUMBER($G862),$G862,$F862)&gt;=DATE(PlanYear,5,1)),1,0))</f>
        <v>0</v>
      </c>
      <c r="T862">
        <f>IF($N862=0,0,IF(AND($F862&lt;=EOMONTH(DATE(PlanYear,6,1),0),IF(ISNUMBER($G862),$G862,$F862)&gt;=DATE(PlanYear,6,1)),1,0))</f>
        <v>0</v>
      </c>
      <c r="U862">
        <f>IF($N862=0,0,IF(AND($F862&lt;=EOMONTH(DATE(PlanYear,7,1),0),IF(ISNUMBER($G862),$G862,$F862)&gt;=DATE(PlanYear,7,1)),1,0))</f>
        <v>0</v>
      </c>
      <c r="V862">
        <f>IF($N862=0,0,IF(AND($F862&lt;=EOMONTH(DATE(PlanYear,8,1),0),IF(ISNUMBER($G862),$G862,$F862)&gt;=DATE(PlanYear,8,1)),1,0))</f>
        <v>0</v>
      </c>
      <c r="W862">
        <f>IF($N862=0,0,IF(AND($F862&lt;=EOMONTH(DATE(PlanYear,9,1),0),IF(ISNUMBER($G862),$G862,$F862)&gt;=DATE(PlanYear,9,1)),1,0))</f>
        <v>0</v>
      </c>
      <c r="X862">
        <f>IF($N862=0,0,IF(AND($F862&lt;=EOMONTH(DATE(PlanYear,10,1),0),IF(ISNUMBER($G862),$G862,$F862)&gt;=DATE(PlanYear,10,1)),1,0))</f>
        <v>0</v>
      </c>
      <c r="Y862">
        <f>IF($N862=0,0,IF(AND($F862&lt;=EOMONTH(DATE(PlanYear,11,1),0),IF(ISNUMBER($G862),$G862,$F862)&gt;=DATE(PlanYear,11,1)),1,0))</f>
        <v>0</v>
      </c>
      <c r="Z862">
        <f>IF($N862=0,0,IF(AND($F862&lt;=EOMONTH(DATE(PlanYear,12,1),0),IF(ISNUMBER($G862),$G862,$F862)&gt;=DATE(PlanYear,12,1)),1,0))</f>
        <v>0</v>
      </c>
      <c r="AA862">
        <f>SUM($O862:$Z862)</f>
        <v>0</v>
      </c>
    </row>
    <row r="863" spans="1:27">
      <c r="A863" s="42">
        <f>IF($B863="","","ACT-"&amp;TEXT(ROW()-4,"000"))</f>
        <v>0</v>
      </c>
      <c r="M863" s="43">
        <f>IF(COUNTA($B863:$K863)=0,"",IF($B863="","Missing activity name",IF($C863="","Missing practice",IF(COUNTIF(PracticeNames,$C863)=0,"Practice not in Lists",IF($D863="","Missing motion",IF(NOT(ISNUMBER($F863)),"Missing or invalid start date",IF(AND(ISNUMBER($G863),$G863&lt;$F863),"End date before start",IF(AND($N863=1,$AA863=0),"Outside planning year","OK"))))))))</f>
        <v>0</v>
      </c>
      <c r="N863">
        <f>IF(AND($B863&lt;&gt;"",$C863&lt;&gt;"",$D863&lt;&gt;"",ISNUMBER($F863),COUNTIF(PracticeNames,$C863)&gt;0,COUNTIF(MotionNames,$D863)&gt;0,NOT(AND(ISNUMBER($G863),$G863&lt;$F863))),IF(StatusFilter="All (excl. Cancelled)",IF($H863="Cancelled",0,1),IF(StatusFilter="All",1,IF($H863=StatusFilter,1,0))),0)</f>
        <v>0</v>
      </c>
      <c r="O863">
        <f>IF($N863=0,0,IF(AND($F863&lt;=EOMONTH(DATE(PlanYear,1,1),0),IF(ISNUMBER($G863),$G863,$F863)&gt;=DATE(PlanYear,1,1)),1,0))</f>
        <v>0</v>
      </c>
      <c r="P863">
        <f>IF($N863=0,0,IF(AND($F863&lt;=EOMONTH(DATE(PlanYear,2,1),0),IF(ISNUMBER($G863),$G863,$F863)&gt;=DATE(PlanYear,2,1)),1,0))</f>
        <v>0</v>
      </c>
      <c r="Q863">
        <f>IF($N863=0,0,IF(AND($F863&lt;=EOMONTH(DATE(PlanYear,3,1),0),IF(ISNUMBER($G863),$G863,$F863)&gt;=DATE(PlanYear,3,1)),1,0))</f>
        <v>0</v>
      </c>
      <c r="R863">
        <f>IF($N863=0,0,IF(AND($F863&lt;=EOMONTH(DATE(PlanYear,4,1),0),IF(ISNUMBER($G863),$G863,$F863)&gt;=DATE(PlanYear,4,1)),1,0))</f>
        <v>0</v>
      </c>
      <c r="S863">
        <f>IF($N863=0,0,IF(AND($F863&lt;=EOMONTH(DATE(PlanYear,5,1),0),IF(ISNUMBER($G863),$G863,$F863)&gt;=DATE(PlanYear,5,1)),1,0))</f>
        <v>0</v>
      </c>
      <c r="T863">
        <f>IF($N863=0,0,IF(AND($F863&lt;=EOMONTH(DATE(PlanYear,6,1),0),IF(ISNUMBER($G863),$G863,$F863)&gt;=DATE(PlanYear,6,1)),1,0))</f>
        <v>0</v>
      </c>
      <c r="U863">
        <f>IF($N863=0,0,IF(AND($F863&lt;=EOMONTH(DATE(PlanYear,7,1),0),IF(ISNUMBER($G863),$G863,$F863)&gt;=DATE(PlanYear,7,1)),1,0))</f>
        <v>0</v>
      </c>
      <c r="V863">
        <f>IF($N863=0,0,IF(AND($F863&lt;=EOMONTH(DATE(PlanYear,8,1),0),IF(ISNUMBER($G863),$G863,$F863)&gt;=DATE(PlanYear,8,1)),1,0))</f>
        <v>0</v>
      </c>
      <c r="W863">
        <f>IF($N863=0,0,IF(AND($F863&lt;=EOMONTH(DATE(PlanYear,9,1),0),IF(ISNUMBER($G863),$G863,$F863)&gt;=DATE(PlanYear,9,1)),1,0))</f>
        <v>0</v>
      </c>
      <c r="X863">
        <f>IF($N863=0,0,IF(AND($F863&lt;=EOMONTH(DATE(PlanYear,10,1),0),IF(ISNUMBER($G863),$G863,$F863)&gt;=DATE(PlanYear,10,1)),1,0))</f>
        <v>0</v>
      </c>
      <c r="Y863">
        <f>IF($N863=0,0,IF(AND($F863&lt;=EOMONTH(DATE(PlanYear,11,1),0),IF(ISNUMBER($G863),$G863,$F863)&gt;=DATE(PlanYear,11,1)),1,0))</f>
        <v>0</v>
      </c>
      <c r="Z863">
        <f>IF($N863=0,0,IF(AND($F863&lt;=EOMONTH(DATE(PlanYear,12,1),0),IF(ISNUMBER($G863),$G863,$F863)&gt;=DATE(PlanYear,12,1)),1,0))</f>
        <v>0</v>
      </c>
      <c r="AA863">
        <f>SUM($O863:$Z863)</f>
        <v>0</v>
      </c>
    </row>
    <row r="864" spans="1:27">
      <c r="A864" s="42">
        <f>IF($B864="","","ACT-"&amp;TEXT(ROW()-4,"000"))</f>
        <v>0</v>
      </c>
      <c r="M864" s="43">
        <f>IF(COUNTA($B864:$K864)=0,"",IF($B864="","Missing activity name",IF($C864="","Missing practice",IF(COUNTIF(PracticeNames,$C864)=0,"Practice not in Lists",IF($D864="","Missing motion",IF(NOT(ISNUMBER($F864)),"Missing or invalid start date",IF(AND(ISNUMBER($G864),$G864&lt;$F864),"End date before start",IF(AND($N864=1,$AA864=0),"Outside planning year","OK"))))))))</f>
        <v>0</v>
      </c>
      <c r="N864">
        <f>IF(AND($B864&lt;&gt;"",$C864&lt;&gt;"",$D864&lt;&gt;"",ISNUMBER($F864),COUNTIF(PracticeNames,$C864)&gt;0,COUNTIF(MotionNames,$D864)&gt;0,NOT(AND(ISNUMBER($G864),$G864&lt;$F864))),IF(StatusFilter="All (excl. Cancelled)",IF($H864="Cancelled",0,1),IF(StatusFilter="All",1,IF($H864=StatusFilter,1,0))),0)</f>
        <v>0</v>
      </c>
      <c r="O864">
        <f>IF($N864=0,0,IF(AND($F864&lt;=EOMONTH(DATE(PlanYear,1,1),0),IF(ISNUMBER($G864),$G864,$F864)&gt;=DATE(PlanYear,1,1)),1,0))</f>
        <v>0</v>
      </c>
      <c r="P864">
        <f>IF($N864=0,0,IF(AND($F864&lt;=EOMONTH(DATE(PlanYear,2,1),0),IF(ISNUMBER($G864),$G864,$F864)&gt;=DATE(PlanYear,2,1)),1,0))</f>
        <v>0</v>
      </c>
      <c r="Q864">
        <f>IF($N864=0,0,IF(AND($F864&lt;=EOMONTH(DATE(PlanYear,3,1),0),IF(ISNUMBER($G864),$G864,$F864)&gt;=DATE(PlanYear,3,1)),1,0))</f>
        <v>0</v>
      </c>
      <c r="R864">
        <f>IF($N864=0,0,IF(AND($F864&lt;=EOMONTH(DATE(PlanYear,4,1),0),IF(ISNUMBER($G864),$G864,$F864)&gt;=DATE(PlanYear,4,1)),1,0))</f>
        <v>0</v>
      </c>
      <c r="S864">
        <f>IF($N864=0,0,IF(AND($F864&lt;=EOMONTH(DATE(PlanYear,5,1),0),IF(ISNUMBER($G864),$G864,$F864)&gt;=DATE(PlanYear,5,1)),1,0))</f>
        <v>0</v>
      </c>
      <c r="T864">
        <f>IF($N864=0,0,IF(AND($F864&lt;=EOMONTH(DATE(PlanYear,6,1),0),IF(ISNUMBER($G864),$G864,$F864)&gt;=DATE(PlanYear,6,1)),1,0))</f>
        <v>0</v>
      </c>
      <c r="U864">
        <f>IF($N864=0,0,IF(AND($F864&lt;=EOMONTH(DATE(PlanYear,7,1),0),IF(ISNUMBER($G864),$G864,$F864)&gt;=DATE(PlanYear,7,1)),1,0))</f>
        <v>0</v>
      </c>
      <c r="V864">
        <f>IF($N864=0,0,IF(AND($F864&lt;=EOMONTH(DATE(PlanYear,8,1),0),IF(ISNUMBER($G864),$G864,$F864)&gt;=DATE(PlanYear,8,1)),1,0))</f>
        <v>0</v>
      </c>
      <c r="W864">
        <f>IF($N864=0,0,IF(AND($F864&lt;=EOMONTH(DATE(PlanYear,9,1),0),IF(ISNUMBER($G864),$G864,$F864)&gt;=DATE(PlanYear,9,1)),1,0))</f>
        <v>0</v>
      </c>
      <c r="X864">
        <f>IF($N864=0,0,IF(AND($F864&lt;=EOMONTH(DATE(PlanYear,10,1),0),IF(ISNUMBER($G864),$G864,$F864)&gt;=DATE(PlanYear,10,1)),1,0))</f>
        <v>0</v>
      </c>
      <c r="Y864">
        <f>IF($N864=0,0,IF(AND($F864&lt;=EOMONTH(DATE(PlanYear,11,1),0),IF(ISNUMBER($G864),$G864,$F864)&gt;=DATE(PlanYear,11,1)),1,0))</f>
        <v>0</v>
      </c>
      <c r="Z864">
        <f>IF($N864=0,0,IF(AND($F864&lt;=EOMONTH(DATE(PlanYear,12,1),0),IF(ISNUMBER($G864),$G864,$F864)&gt;=DATE(PlanYear,12,1)),1,0))</f>
        <v>0</v>
      </c>
      <c r="AA864">
        <f>SUM($O864:$Z864)</f>
        <v>0</v>
      </c>
    </row>
    <row r="865" spans="1:27">
      <c r="A865" s="42">
        <f>IF($B865="","","ACT-"&amp;TEXT(ROW()-4,"000"))</f>
        <v>0</v>
      </c>
      <c r="M865" s="43">
        <f>IF(COUNTA($B865:$K865)=0,"",IF($B865="","Missing activity name",IF($C865="","Missing practice",IF(COUNTIF(PracticeNames,$C865)=0,"Practice not in Lists",IF($D865="","Missing motion",IF(NOT(ISNUMBER($F865)),"Missing or invalid start date",IF(AND(ISNUMBER($G865),$G865&lt;$F865),"End date before start",IF(AND($N865=1,$AA865=0),"Outside planning year","OK"))))))))</f>
        <v>0</v>
      </c>
      <c r="N865">
        <f>IF(AND($B865&lt;&gt;"",$C865&lt;&gt;"",$D865&lt;&gt;"",ISNUMBER($F865),COUNTIF(PracticeNames,$C865)&gt;0,COUNTIF(MotionNames,$D865)&gt;0,NOT(AND(ISNUMBER($G865),$G865&lt;$F865))),IF(StatusFilter="All (excl. Cancelled)",IF($H865="Cancelled",0,1),IF(StatusFilter="All",1,IF($H865=StatusFilter,1,0))),0)</f>
        <v>0</v>
      </c>
      <c r="O865">
        <f>IF($N865=0,0,IF(AND($F865&lt;=EOMONTH(DATE(PlanYear,1,1),0),IF(ISNUMBER($G865),$G865,$F865)&gt;=DATE(PlanYear,1,1)),1,0))</f>
        <v>0</v>
      </c>
      <c r="P865">
        <f>IF($N865=0,0,IF(AND($F865&lt;=EOMONTH(DATE(PlanYear,2,1),0),IF(ISNUMBER($G865),$G865,$F865)&gt;=DATE(PlanYear,2,1)),1,0))</f>
        <v>0</v>
      </c>
      <c r="Q865">
        <f>IF($N865=0,0,IF(AND($F865&lt;=EOMONTH(DATE(PlanYear,3,1),0),IF(ISNUMBER($G865),$G865,$F865)&gt;=DATE(PlanYear,3,1)),1,0))</f>
        <v>0</v>
      </c>
      <c r="R865">
        <f>IF($N865=0,0,IF(AND($F865&lt;=EOMONTH(DATE(PlanYear,4,1),0),IF(ISNUMBER($G865),$G865,$F865)&gt;=DATE(PlanYear,4,1)),1,0))</f>
        <v>0</v>
      </c>
      <c r="S865">
        <f>IF($N865=0,0,IF(AND($F865&lt;=EOMONTH(DATE(PlanYear,5,1),0),IF(ISNUMBER($G865),$G865,$F865)&gt;=DATE(PlanYear,5,1)),1,0))</f>
        <v>0</v>
      </c>
      <c r="T865">
        <f>IF($N865=0,0,IF(AND($F865&lt;=EOMONTH(DATE(PlanYear,6,1),0),IF(ISNUMBER($G865),$G865,$F865)&gt;=DATE(PlanYear,6,1)),1,0))</f>
        <v>0</v>
      </c>
      <c r="U865">
        <f>IF($N865=0,0,IF(AND($F865&lt;=EOMONTH(DATE(PlanYear,7,1),0),IF(ISNUMBER($G865),$G865,$F865)&gt;=DATE(PlanYear,7,1)),1,0))</f>
        <v>0</v>
      </c>
      <c r="V865">
        <f>IF($N865=0,0,IF(AND($F865&lt;=EOMONTH(DATE(PlanYear,8,1),0),IF(ISNUMBER($G865),$G865,$F865)&gt;=DATE(PlanYear,8,1)),1,0))</f>
        <v>0</v>
      </c>
      <c r="W865">
        <f>IF($N865=0,0,IF(AND($F865&lt;=EOMONTH(DATE(PlanYear,9,1),0),IF(ISNUMBER($G865),$G865,$F865)&gt;=DATE(PlanYear,9,1)),1,0))</f>
        <v>0</v>
      </c>
      <c r="X865">
        <f>IF($N865=0,0,IF(AND($F865&lt;=EOMONTH(DATE(PlanYear,10,1),0),IF(ISNUMBER($G865),$G865,$F865)&gt;=DATE(PlanYear,10,1)),1,0))</f>
        <v>0</v>
      </c>
      <c r="Y865">
        <f>IF($N865=0,0,IF(AND($F865&lt;=EOMONTH(DATE(PlanYear,11,1),0),IF(ISNUMBER($G865),$G865,$F865)&gt;=DATE(PlanYear,11,1)),1,0))</f>
        <v>0</v>
      </c>
      <c r="Z865">
        <f>IF($N865=0,0,IF(AND($F865&lt;=EOMONTH(DATE(PlanYear,12,1),0),IF(ISNUMBER($G865),$G865,$F865)&gt;=DATE(PlanYear,12,1)),1,0))</f>
        <v>0</v>
      </c>
      <c r="AA865">
        <f>SUM($O865:$Z865)</f>
        <v>0</v>
      </c>
    </row>
    <row r="866" spans="1:27">
      <c r="A866" s="42">
        <f>IF($B866="","","ACT-"&amp;TEXT(ROW()-4,"000"))</f>
        <v>0</v>
      </c>
      <c r="M866" s="43">
        <f>IF(COUNTA($B866:$K866)=0,"",IF($B866="","Missing activity name",IF($C866="","Missing practice",IF(COUNTIF(PracticeNames,$C866)=0,"Practice not in Lists",IF($D866="","Missing motion",IF(NOT(ISNUMBER($F866)),"Missing or invalid start date",IF(AND(ISNUMBER($G866),$G866&lt;$F866),"End date before start",IF(AND($N866=1,$AA866=0),"Outside planning year","OK"))))))))</f>
        <v>0</v>
      </c>
      <c r="N866">
        <f>IF(AND($B866&lt;&gt;"",$C866&lt;&gt;"",$D866&lt;&gt;"",ISNUMBER($F866),COUNTIF(PracticeNames,$C866)&gt;0,COUNTIF(MotionNames,$D866)&gt;0,NOT(AND(ISNUMBER($G866),$G866&lt;$F866))),IF(StatusFilter="All (excl. Cancelled)",IF($H866="Cancelled",0,1),IF(StatusFilter="All",1,IF($H866=StatusFilter,1,0))),0)</f>
        <v>0</v>
      </c>
      <c r="O866">
        <f>IF($N866=0,0,IF(AND($F866&lt;=EOMONTH(DATE(PlanYear,1,1),0),IF(ISNUMBER($G866),$G866,$F866)&gt;=DATE(PlanYear,1,1)),1,0))</f>
        <v>0</v>
      </c>
      <c r="P866">
        <f>IF($N866=0,0,IF(AND($F866&lt;=EOMONTH(DATE(PlanYear,2,1),0),IF(ISNUMBER($G866),$G866,$F866)&gt;=DATE(PlanYear,2,1)),1,0))</f>
        <v>0</v>
      </c>
      <c r="Q866">
        <f>IF($N866=0,0,IF(AND($F866&lt;=EOMONTH(DATE(PlanYear,3,1),0),IF(ISNUMBER($G866),$G866,$F866)&gt;=DATE(PlanYear,3,1)),1,0))</f>
        <v>0</v>
      </c>
      <c r="R866">
        <f>IF($N866=0,0,IF(AND($F866&lt;=EOMONTH(DATE(PlanYear,4,1),0),IF(ISNUMBER($G866),$G866,$F866)&gt;=DATE(PlanYear,4,1)),1,0))</f>
        <v>0</v>
      </c>
      <c r="S866">
        <f>IF($N866=0,0,IF(AND($F866&lt;=EOMONTH(DATE(PlanYear,5,1),0),IF(ISNUMBER($G866),$G866,$F866)&gt;=DATE(PlanYear,5,1)),1,0))</f>
        <v>0</v>
      </c>
      <c r="T866">
        <f>IF($N866=0,0,IF(AND($F866&lt;=EOMONTH(DATE(PlanYear,6,1),0),IF(ISNUMBER($G866),$G866,$F866)&gt;=DATE(PlanYear,6,1)),1,0))</f>
        <v>0</v>
      </c>
      <c r="U866">
        <f>IF($N866=0,0,IF(AND($F866&lt;=EOMONTH(DATE(PlanYear,7,1),0),IF(ISNUMBER($G866),$G866,$F866)&gt;=DATE(PlanYear,7,1)),1,0))</f>
        <v>0</v>
      </c>
      <c r="V866">
        <f>IF($N866=0,0,IF(AND($F866&lt;=EOMONTH(DATE(PlanYear,8,1),0),IF(ISNUMBER($G866),$G866,$F866)&gt;=DATE(PlanYear,8,1)),1,0))</f>
        <v>0</v>
      </c>
      <c r="W866">
        <f>IF($N866=0,0,IF(AND($F866&lt;=EOMONTH(DATE(PlanYear,9,1),0),IF(ISNUMBER($G866),$G866,$F866)&gt;=DATE(PlanYear,9,1)),1,0))</f>
        <v>0</v>
      </c>
      <c r="X866">
        <f>IF($N866=0,0,IF(AND($F866&lt;=EOMONTH(DATE(PlanYear,10,1),0),IF(ISNUMBER($G866),$G866,$F866)&gt;=DATE(PlanYear,10,1)),1,0))</f>
        <v>0</v>
      </c>
      <c r="Y866">
        <f>IF($N866=0,0,IF(AND($F866&lt;=EOMONTH(DATE(PlanYear,11,1),0),IF(ISNUMBER($G866),$G866,$F866)&gt;=DATE(PlanYear,11,1)),1,0))</f>
        <v>0</v>
      </c>
      <c r="Z866">
        <f>IF($N866=0,0,IF(AND($F866&lt;=EOMONTH(DATE(PlanYear,12,1),0),IF(ISNUMBER($G866),$G866,$F866)&gt;=DATE(PlanYear,12,1)),1,0))</f>
        <v>0</v>
      </c>
      <c r="AA866">
        <f>SUM($O866:$Z866)</f>
        <v>0</v>
      </c>
    </row>
    <row r="867" spans="1:27">
      <c r="A867" s="42">
        <f>IF($B867="","","ACT-"&amp;TEXT(ROW()-4,"000"))</f>
        <v>0</v>
      </c>
      <c r="M867" s="43">
        <f>IF(COUNTA($B867:$K867)=0,"",IF($B867="","Missing activity name",IF($C867="","Missing practice",IF(COUNTIF(PracticeNames,$C867)=0,"Practice not in Lists",IF($D867="","Missing motion",IF(NOT(ISNUMBER($F867)),"Missing or invalid start date",IF(AND(ISNUMBER($G867),$G867&lt;$F867),"End date before start",IF(AND($N867=1,$AA867=0),"Outside planning year","OK"))))))))</f>
        <v>0</v>
      </c>
      <c r="N867">
        <f>IF(AND($B867&lt;&gt;"",$C867&lt;&gt;"",$D867&lt;&gt;"",ISNUMBER($F867),COUNTIF(PracticeNames,$C867)&gt;0,COUNTIF(MotionNames,$D867)&gt;0,NOT(AND(ISNUMBER($G867),$G867&lt;$F867))),IF(StatusFilter="All (excl. Cancelled)",IF($H867="Cancelled",0,1),IF(StatusFilter="All",1,IF($H867=StatusFilter,1,0))),0)</f>
        <v>0</v>
      </c>
      <c r="O867">
        <f>IF($N867=0,0,IF(AND($F867&lt;=EOMONTH(DATE(PlanYear,1,1),0),IF(ISNUMBER($G867),$G867,$F867)&gt;=DATE(PlanYear,1,1)),1,0))</f>
        <v>0</v>
      </c>
      <c r="P867">
        <f>IF($N867=0,0,IF(AND($F867&lt;=EOMONTH(DATE(PlanYear,2,1),0),IF(ISNUMBER($G867),$G867,$F867)&gt;=DATE(PlanYear,2,1)),1,0))</f>
        <v>0</v>
      </c>
      <c r="Q867">
        <f>IF($N867=0,0,IF(AND($F867&lt;=EOMONTH(DATE(PlanYear,3,1),0),IF(ISNUMBER($G867),$G867,$F867)&gt;=DATE(PlanYear,3,1)),1,0))</f>
        <v>0</v>
      </c>
      <c r="R867">
        <f>IF($N867=0,0,IF(AND($F867&lt;=EOMONTH(DATE(PlanYear,4,1),0),IF(ISNUMBER($G867),$G867,$F867)&gt;=DATE(PlanYear,4,1)),1,0))</f>
        <v>0</v>
      </c>
      <c r="S867">
        <f>IF($N867=0,0,IF(AND($F867&lt;=EOMONTH(DATE(PlanYear,5,1),0),IF(ISNUMBER($G867),$G867,$F867)&gt;=DATE(PlanYear,5,1)),1,0))</f>
        <v>0</v>
      </c>
      <c r="T867">
        <f>IF($N867=0,0,IF(AND($F867&lt;=EOMONTH(DATE(PlanYear,6,1),0),IF(ISNUMBER($G867),$G867,$F867)&gt;=DATE(PlanYear,6,1)),1,0))</f>
        <v>0</v>
      </c>
      <c r="U867">
        <f>IF($N867=0,0,IF(AND($F867&lt;=EOMONTH(DATE(PlanYear,7,1),0),IF(ISNUMBER($G867),$G867,$F867)&gt;=DATE(PlanYear,7,1)),1,0))</f>
        <v>0</v>
      </c>
      <c r="V867">
        <f>IF($N867=0,0,IF(AND($F867&lt;=EOMONTH(DATE(PlanYear,8,1),0),IF(ISNUMBER($G867),$G867,$F867)&gt;=DATE(PlanYear,8,1)),1,0))</f>
        <v>0</v>
      </c>
      <c r="W867">
        <f>IF($N867=0,0,IF(AND($F867&lt;=EOMONTH(DATE(PlanYear,9,1),0),IF(ISNUMBER($G867),$G867,$F867)&gt;=DATE(PlanYear,9,1)),1,0))</f>
        <v>0</v>
      </c>
      <c r="X867">
        <f>IF($N867=0,0,IF(AND($F867&lt;=EOMONTH(DATE(PlanYear,10,1),0),IF(ISNUMBER($G867),$G867,$F867)&gt;=DATE(PlanYear,10,1)),1,0))</f>
        <v>0</v>
      </c>
      <c r="Y867">
        <f>IF($N867=0,0,IF(AND($F867&lt;=EOMONTH(DATE(PlanYear,11,1),0),IF(ISNUMBER($G867),$G867,$F867)&gt;=DATE(PlanYear,11,1)),1,0))</f>
        <v>0</v>
      </c>
      <c r="Z867">
        <f>IF($N867=0,0,IF(AND($F867&lt;=EOMONTH(DATE(PlanYear,12,1),0),IF(ISNUMBER($G867),$G867,$F867)&gt;=DATE(PlanYear,12,1)),1,0))</f>
        <v>0</v>
      </c>
      <c r="AA867">
        <f>SUM($O867:$Z867)</f>
        <v>0</v>
      </c>
    </row>
    <row r="868" spans="1:27">
      <c r="A868" s="42">
        <f>IF($B868="","","ACT-"&amp;TEXT(ROW()-4,"000"))</f>
        <v>0</v>
      </c>
      <c r="M868" s="43">
        <f>IF(COUNTA($B868:$K868)=0,"",IF($B868="","Missing activity name",IF($C868="","Missing practice",IF(COUNTIF(PracticeNames,$C868)=0,"Practice not in Lists",IF($D868="","Missing motion",IF(NOT(ISNUMBER($F868)),"Missing or invalid start date",IF(AND(ISNUMBER($G868),$G868&lt;$F868),"End date before start",IF(AND($N868=1,$AA868=0),"Outside planning year","OK"))))))))</f>
        <v>0</v>
      </c>
      <c r="N868">
        <f>IF(AND($B868&lt;&gt;"",$C868&lt;&gt;"",$D868&lt;&gt;"",ISNUMBER($F868),COUNTIF(PracticeNames,$C868)&gt;0,COUNTIF(MotionNames,$D868)&gt;0,NOT(AND(ISNUMBER($G868),$G868&lt;$F868))),IF(StatusFilter="All (excl. Cancelled)",IF($H868="Cancelled",0,1),IF(StatusFilter="All",1,IF($H868=StatusFilter,1,0))),0)</f>
        <v>0</v>
      </c>
      <c r="O868">
        <f>IF($N868=0,0,IF(AND($F868&lt;=EOMONTH(DATE(PlanYear,1,1),0),IF(ISNUMBER($G868),$G868,$F868)&gt;=DATE(PlanYear,1,1)),1,0))</f>
        <v>0</v>
      </c>
      <c r="P868">
        <f>IF($N868=0,0,IF(AND($F868&lt;=EOMONTH(DATE(PlanYear,2,1),0),IF(ISNUMBER($G868),$G868,$F868)&gt;=DATE(PlanYear,2,1)),1,0))</f>
        <v>0</v>
      </c>
      <c r="Q868">
        <f>IF($N868=0,0,IF(AND($F868&lt;=EOMONTH(DATE(PlanYear,3,1),0),IF(ISNUMBER($G868),$G868,$F868)&gt;=DATE(PlanYear,3,1)),1,0))</f>
        <v>0</v>
      </c>
      <c r="R868">
        <f>IF($N868=0,0,IF(AND($F868&lt;=EOMONTH(DATE(PlanYear,4,1),0),IF(ISNUMBER($G868),$G868,$F868)&gt;=DATE(PlanYear,4,1)),1,0))</f>
        <v>0</v>
      </c>
      <c r="S868">
        <f>IF($N868=0,0,IF(AND($F868&lt;=EOMONTH(DATE(PlanYear,5,1),0),IF(ISNUMBER($G868),$G868,$F868)&gt;=DATE(PlanYear,5,1)),1,0))</f>
        <v>0</v>
      </c>
      <c r="T868">
        <f>IF($N868=0,0,IF(AND($F868&lt;=EOMONTH(DATE(PlanYear,6,1),0),IF(ISNUMBER($G868),$G868,$F868)&gt;=DATE(PlanYear,6,1)),1,0))</f>
        <v>0</v>
      </c>
      <c r="U868">
        <f>IF($N868=0,0,IF(AND($F868&lt;=EOMONTH(DATE(PlanYear,7,1),0),IF(ISNUMBER($G868),$G868,$F868)&gt;=DATE(PlanYear,7,1)),1,0))</f>
        <v>0</v>
      </c>
      <c r="V868">
        <f>IF($N868=0,0,IF(AND($F868&lt;=EOMONTH(DATE(PlanYear,8,1),0),IF(ISNUMBER($G868),$G868,$F868)&gt;=DATE(PlanYear,8,1)),1,0))</f>
        <v>0</v>
      </c>
      <c r="W868">
        <f>IF($N868=0,0,IF(AND($F868&lt;=EOMONTH(DATE(PlanYear,9,1),0),IF(ISNUMBER($G868),$G868,$F868)&gt;=DATE(PlanYear,9,1)),1,0))</f>
        <v>0</v>
      </c>
      <c r="X868">
        <f>IF($N868=0,0,IF(AND($F868&lt;=EOMONTH(DATE(PlanYear,10,1),0),IF(ISNUMBER($G868),$G868,$F868)&gt;=DATE(PlanYear,10,1)),1,0))</f>
        <v>0</v>
      </c>
      <c r="Y868">
        <f>IF($N868=0,0,IF(AND($F868&lt;=EOMONTH(DATE(PlanYear,11,1),0),IF(ISNUMBER($G868),$G868,$F868)&gt;=DATE(PlanYear,11,1)),1,0))</f>
        <v>0</v>
      </c>
      <c r="Z868">
        <f>IF($N868=0,0,IF(AND($F868&lt;=EOMONTH(DATE(PlanYear,12,1),0),IF(ISNUMBER($G868),$G868,$F868)&gt;=DATE(PlanYear,12,1)),1,0))</f>
        <v>0</v>
      </c>
      <c r="AA868">
        <f>SUM($O868:$Z868)</f>
        <v>0</v>
      </c>
    </row>
    <row r="869" spans="1:27">
      <c r="A869" s="42">
        <f>IF($B869="","","ACT-"&amp;TEXT(ROW()-4,"000"))</f>
        <v>0</v>
      </c>
      <c r="M869" s="43">
        <f>IF(COUNTA($B869:$K869)=0,"",IF($B869="","Missing activity name",IF($C869="","Missing practice",IF(COUNTIF(PracticeNames,$C869)=0,"Practice not in Lists",IF($D869="","Missing motion",IF(NOT(ISNUMBER($F869)),"Missing or invalid start date",IF(AND(ISNUMBER($G869),$G869&lt;$F869),"End date before start",IF(AND($N869=1,$AA869=0),"Outside planning year","OK"))))))))</f>
        <v>0</v>
      </c>
      <c r="N869">
        <f>IF(AND($B869&lt;&gt;"",$C869&lt;&gt;"",$D869&lt;&gt;"",ISNUMBER($F869),COUNTIF(PracticeNames,$C869)&gt;0,COUNTIF(MotionNames,$D869)&gt;0,NOT(AND(ISNUMBER($G869),$G869&lt;$F869))),IF(StatusFilter="All (excl. Cancelled)",IF($H869="Cancelled",0,1),IF(StatusFilter="All",1,IF($H869=StatusFilter,1,0))),0)</f>
        <v>0</v>
      </c>
      <c r="O869">
        <f>IF($N869=0,0,IF(AND($F869&lt;=EOMONTH(DATE(PlanYear,1,1),0),IF(ISNUMBER($G869),$G869,$F869)&gt;=DATE(PlanYear,1,1)),1,0))</f>
        <v>0</v>
      </c>
      <c r="P869">
        <f>IF($N869=0,0,IF(AND($F869&lt;=EOMONTH(DATE(PlanYear,2,1),0),IF(ISNUMBER($G869),$G869,$F869)&gt;=DATE(PlanYear,2,1)),1,0))</f>
        <v>0</v>
      </c>
      <c r="Q869">
        <f>IF($N869=0,0,IF(AND($F869&lt;=EOMONTH(DATE(PlanYear,3,1),0),IF(ISNUMBER($G869),$G869,$F869)&gt;=DATE(PlanYear,3,1)),1,0))</f>
        <v>0</v>
      </c>
      <c r="R869">
        <f>IF($N869=0,0,IF(AND($F869&lt;=EOMONTH(DATE(PlanYear,4,1),0),IF(ISNUMBER($G869),$G869,$F869)&gt;=DATE(PlanYear,4,1)),1,0))</f>
        <v>0</v>
      </c>
      <c r="S869">
        <f>IF($N869=0,0,IF(AND($F869&lt;=EOMONTH(DATE(PlanYear,5,1),0),IF(ISNUMBER($G869),$G869,$F869)&gt;=DATE(PlanYear,5,1)),1,0))</f>
        <v>0</v>
      </c>
      <c r="T869">
        <f>IF($N869=0,0,IF(AND($F869&lt;=EOMONTH(DATE(PlanYear,6,1),0),IF(ISNUMBER($G869),$G869,$F869)&gt;=DATE(PlanYear,6,1)),1,0))</f>
        <v>0</v>
      </c>
      <c r="U869">
        <f>IF($N869=0,0,IF(AND($F869&lt;=EOMONTH(DATE(PlanYear,7,1),0),IF(ISNUMBER($G869),$G869,$F869)&gt;=DATE(PlanYear,7,1)),1,0))</f>
        <v>0</v>
      </c>
      <c r="V869">
        <f>IF($N869=0,0,IF(AND($F869&lt;=EOMONTH(DATE(PlanYear,8,1),0),IF(ISNUMBER($G869),$G869,$F869)&gt;=DATE(PlanYear,8,1)),1,0))</f>
        <v>0</v>
      </c>
      <c r="W869">
        <f>IF($N869=0,0,IF(AND($F869&lt;=EOMONTH(DATE(PlanYear,9,1),0),IF(ISNUMBER($G869),$G869,$F869)&gt;=DATE(PlanYear,9,1)),1,0))</f>
        <v>0</v>
      </c>
      <c r="X869">
        <f>IF($N869=0,0,IF(AND($F869&lt;=EOMONTH(DATE(PlanYear,10,1),0),IF(ISNUMBER($G869),$G869,$F869)&gt;=DATE(PlanYear,10,1)),1,0))</f>
        <v>0</v>
      </c>
      <c r="Y869">
        <f>IF($N869=0,0,IF(AND($F869&lt;=EOMONTH(DATE(PlanYear,11,1),0),IF(ISNUMBER($G869),$G869,$F869)&gt;=DATE(PlanYear,11,1)),1,0))</f>
        <v>0</v>
      </c>
      <c r="Z869">
        <f>IF($N869=0,0,IF(AND($F869&lt;=EOMONTH(DATE(PlanYear,12,1),0),IF(ISNUMBER($G869),$G869,$F869)&gt;=DATE(PlanYear,12,1)),1,0))</f>
        <v>0</v>
      </c>
      <c r="AA869">
        <f>SUM($O869:$Z869)</f>
        <v>0</v>
      </c>
    </row>
    <row r="870" spans="1:27">
      <c r="A870" s="42">
        <f>IF($B870="","","ACT-"&amp;TEXT(ROW()-4,"000"))</f>
        <v>0</v>
      </c>
      <c r="M870" s="43">
        <f>IF(COUNTA($B870:$K870)=0,"",IF($B870="","Missing activity name",IF($C870="","Missing practice",IF(COUNTIF(PracticeNames,$C870)=0,"Practice not in Lists",IF($D870="","Missing motion",IF(NOT(ISNUMBER($F870)),"Missing or invalid start date",IF(AND(ISNUMBER($G870),$G870&lt;$F870),"End date before start",IF(AND($N870=1,$AA870=0),"Outside planning year","OK"))))))))</f>
        <v>0</v>
      </c>
      <c r="N870">
        <f>IF(AND($B870&lt;&gt;"",$C870&lt;&gt;"",$D870&lt;&gt;"",ISNUMBER($F870),COUNTIF(PracticeNames,$C870)&gt;0,COUNTIF(MotionNames,$D870)&gt;0,NOT(AND(ISNUMBER($G870),$G870&lt;$F870))),IF(StatusFilter="All (excl. Cancelled)",IF($H870="Cancelled",0,1),IF(StatusFilter="All",1,IF($H870=StatusFilter,1,0))),0)</f>
        <v>0</v>
      </c>
      <c r="O870">
        <f>IF($N870=0,0,IF(AND($F870&lt;=EOMONTH(DATE(PlanYear,1,1),0),IF(ISNUMBER($G870),$G870,$F870)&gt;=DATE(PlanYear,1,1)),1,0))</f>
        <v>0</v>
      </c>
      <c r="P870">
        <f>IF($N870=0,0,IF(AND($F870&lt;=EOMONTH(DATE(PlanYear,2,1),0),IF(ISNUMBER($G870),$G870,$F870)&gt;=DATE(PlanYear,2,1)),1,0))</f>
        <v>0</v>
      </c>
      <c r="Q870">
        <f>IF($N870=0,0,IF(AND($F870&lt;=EOMONTH(DATE(PlanYear,3,1),0),IF(ISNUMBER($G870),$G870,$F870)&gt;=DATE(PlanYear,3,1)),1,0))</f>
        <v>0</v>
      </c>
      <c r="R870">
        <f>IF($N870=0,0,IF(AND($F870&lt;=EOMONTH(DATE(PlanYear,4,1),0),IF(ISNUMBER($G870),$G870,$F870)&gt;=DATE(PlanYear,4,1)),1,0))</f>
        <v>0</v>
      </c>
      <c r="S870">
        <f>IF($N870=0,0,IF(AND($F870&lt;=EOMONTH(DATE(PlanYear,5,1),0),IF(ISNUMBER($G870),$G870,$F870)&gt;=DATE(PlanYear,5,1)),1,0))</f>
        <v>0</v>
      </c>
      <c r="T870">
        <f>IF($N870=0,0,IF(AND($F870&lt;=EOMONTH(DATE(PlanYear,6,1),0),IF(ISNUMBER($G870),$G870,$F870)&gt;=DATE(PlanYear,6,1)),1,0))</f>
        <v>0</v>
      </c>
      <c r="U870">
        <f>IF($N870=0,0,IF(AND($F870&lt;=EOMONTH(DATE(PlanYear,7,1),0),IF(ISNUMBER($G870),$G870,$F870)&gt;=DATE(PlanYear,7,1)),1,0))</f>
        <v>0</v>
      </c>
      <c r="V870">
        <f>IF($N870=0,0,IF(AND($F870&lt;=EOMONTH(DATE(PlanYear,8,1),0),IF(ISNUMBER($G870),$G870,$F870)&gt;=DATE(PlanYear,8,1)),1,0))</f>
        <v>0</v>
      </c>
      <c r="W870">
        <f>IF($N870=0,0,IF(AND($F870&lt;=EOMONTH(DATE(PlanYear,9,1),0),IF(ISNUMBER($G870),$G870,$F870)&gt;=DATE(PlanYear,9,1)),1,0))</f>
        <v>0</v>
      </c>
      <c r="X870">
        <f>IF($N870=0,0,IF(AND($F870&lt;=EOMONTH(DATE(PlanYear,10,1),0),IF(ISNUMBER($G870),$G870,$F870)&gt;=DATE(PlanYear,10,1)),1,0))</f>
        <v>0</v>
      </c>
      <c r="Y870">
        <f>IF($N870=0,0,IF(AND($F870&lt;=EOMONTH(DATE(PlanYear,11,1),0),IF(ISNUMBER($G870),$G870,$F870)&gt;=DATE(PlanYear,11,1)),1,0))</f>
        <v>0</v>
      </c>
      <c r="Z870">
        <f>IF($N870=0,0,IF(AND($F870&lt;=EOMONTH(DATE(PlanYear,12,1),0),IF(ISNUMBER($G870),$G870,$F870)&gt;=DATE(PlanYear,12,1)),1,0))</f>
        <v>0</v>
      </c>
      <c r="AA870">
        <f>SUM($O870:$Z870)</f>
        <v>0</v>
      </c>
    </row>
    <row r="871" spans="1:27">
      <c r="A871" s="42">
        <f>IF($B871="","","ACT-"&amp;TEXT(ROW()-4,"000"))</f>
        <v>0</v>
      </c>
      <c r="M871" s="43">
        <f>IF(COUNTA($B871:$K871)=0,"",IF($B871="","Missing activity name",IF($C871="","Missing practice",IF(COUNTIF(PracticeNames,$C871)=0,"Practice not in Lists",IF($D871="","Missing motion",IF(NOT(ISNUMBER($F871)),"Missing or invalid start date",IF(AND(ISNUMBER($G871),$G871&lt;$F871),"End date before start",IF(AND($N871=1,$AA871=0),"Outside planning year","OK"))))))))</f>
        <v>0</v>
      </c>
      <c r="N871">
        <f>IF(AND($B871&lt;&gt;"",$C871&lt;&gt;"",$D871&lt;&gt;"",ISNUMBER($F871),COUNTIF(PracticeNames,$C871)&gt;0,COUNTIF(MotionNames,$D871)&gt;0,NOT(AND(ISNUMBER($G871),$G871&lt;$F871))),IF(StatusFilter="All (excl. Cancelled)",IF($H871="Cancelled",0,1),IF(StatusFilter="All",1,IF($H871=StatusFilter,1,0))),0)</f>
        <v>0</v>
      </c>
      <c r="O871">
        <f>IF($N871=0,0,IF(AND($F871&lt;=EOMONTH(DATE(PlanYear,1,1),0),IF(ISNUMBER($G871),$G871,$F871)&gt;=DATE(PlanYear,1,1)),1,0))</f>
        <v>0</v>
      </c>
      <c r="P871">
        <f>IF($N871=0,0,IF(AND($F871&lt;=EOMONTH(DATE(PlanYear,2,1),0),IF(ISNUMBER($G871),$G871,$F871)&gt;=DATE(PlanYear,2,1)),1,0))</f>
        <v>0</v>
      </c>
      <c r="Q871">
        <f>IF($N871=0,0,IF(AND($F871&lt;=EOMONTH(DATE(PlanYear,3,1),0),IF(ISNUMBER($G871),$G871,$F871)&gt;=DATE(PlanYear,3,1)),1,0))</f>
        <v>0</v>
      </c>
      <c r="R871">
        <f>IF($N871=0,0,IF(AND($F871&lt;=EOMONTH(DATE(PlanYear,4,1),0),IF(ISNUMBER($G871),$G871,$F871)&gt;=DATE(PlanYear,4,1)),1,0))</f>
        <v>0</v>
      </c>
      <c r="S871">
        <f>IF($N871=0,0,IF(AND($F871&lt;=EOMONTH(DATE(PlanYear,5,1),0),IF(ISNUMBER($G871),$G871,$F871)&gt;=DATE(PlanYear,5,1)),1,0))</f>
        <v>0</v>
      </c>
      <c r="T871">
        <f>IF($N871=0,0,IF(AND($F871&lt;=EOMONTH(DATE(PlanYear,6,1),0),IF(ISNUMBER($G871),$G871,$F871)&gt;=DATE(PlanYear,6,1)),1,0))</f>
        <v>0</v>
      </c>
      <c r="U871">
        <f>IF($N871=0,0,IF(AND($F871&lt;=EOMONTH(DATE(PlanYear,7,1),0),IF(ISNUMBER($G871),$G871,$F871)&gt;=DATE(PlanYear,7,1)),1,0))</f>
        <v>0</v>
      </c>
      <c r="V871">
        <f>IF($N871=0,0,IF(AND($F871&lt;=EOMONTH(DATE(PlanYear,8,1),0),IF(ISNUMBER($G871),$G871,$F871)&gt;=DATE(PlanYear,8,1)),1,0))</f>
        <v>0</v>
      </c>
      <c r="W871">
        <f>IF($N871=0,0,IF(AND($F871&lt;=EOMONTH(DATE(PlanYear,9,1),0),IF(ISNUMBER($G871),$G871,$F871)&gt;=DATE(PlanYear,9,1)),1,0))</f>
        <v>0</v>
      </c>
      <c r="X871">
        <f>IF($N871=0,0,IF(AND($F871&lt;=EOMONTH(DATE(PlanYear,10,1),0),IF(ISNUMBER($G871),$G871,$F871)&gt;=DATE(PlanYear,10,1)),1,0))</f>
        <v>0</v>
      </c>
      <c r="Y871">
        <f>IF($N871=0,0,IF(AND($F871&lt;=EOMONTH(DATE(PlanYear,11,1),0),IF(ISNUMBER($G871),$G871,$F871)&gt;=DATE(PlanYear,11,1)),1,0))</f>
        <v>0</v>
      </c>
      <c r="Z871">
        <f>IF($N871=0,0,IF(AND($F871&lt;=EOMONTH(DATE(PlanYear,12,1),0),IF(ISNUMBER($G871),$G871,$F871)&gt;=DATE(PlanYear,12,1)),1,0))</f>
        <v>0</v>
      </c>
      <c r="AA871">
        <f>SUM($O871:$Z871)</f>
        <v>0</v>
      </c>
    </row>
    <row r="872" spans="1:27">
      <c r="A872" s="42">
        <f>IF($B872="","","ACT-"&amp;TEXT(ROW()-4,"000"))</f>
        <v>0</v>
      </c>
      <c r="M872" s="43">
        <f>IF(COUNTA($B872:$K872)=0,"",IF($B872="","Missing activity name",IF($C872="","Missing practice",IF(COUNTIF(PracticeNames,$C872)=0,"Practice not in Lists",IF($D872="","Missing motion",IF(NOT(ISNUMBER($F872)),"Missing or invalid start date",IF(AND(ISNUMBER($G872),$G872&lt;$F872),"End date before start",IF(AND($N872=1,$AA872=0),"Outside planning year","OK"))))))))</f>
        <v>0</v>
      </c>
      <c r="N872">
        <f>IF(AND($B872&lt;&gt;"",$C872&lt;&gt;"",$D872&lt;&gt;"",ISNUMBER($F872),COUNTIF(PracticeNames,$C872)&gt;0,COUNTIF(MotionNames,$D872)&gt;0,NOT(AND(ISNUMBER($G872),$G872&lt;$F872))),IF(StatusFilter="All (excl. Cancelled)",IF($H872="Cancelled",0,1),IF(StatusFilter="All",1,IF($H872=StatusFilter,1,0))),0)</f>
        <v>0</v>
      </c>
      <c r="O872">
        <f>IF($N872=0,0,IF(AND($F872&lt;=EOMONTH(DATE(PlanYear,1,1),0),IF(ISNUMBER($G872),$G872,$F872)&gt;=DATE(PlanYear,1,1)),1,0))</f>
        <v>0</v>
      </c>
      <c r="P872">
        <f>IF($N872=0,0,IF(AND($F872&lt;=EOMONTH(DATE(PlanYear,2,1),0),IF(ISNUMBER($G872),$G872,$F872)&gt;=DATE(PlanYear,2,1)),1,0))</f>
        <v>0</v>
      </c>
      <c r="Q872">
        <f>IF($N872=0,0,IF(AND($F872&lt;=EOMONTH(DATE(PlanYear,3,1),0),IF(ISNUMBER($G872),$G872,$F872)&gt;=DATE(PlanYear,3,1)),1,0))</f>
        <v>0</v>
      </c>
      <c r="R872">
        <f>IF($N872=0,0,IF(AND($F872&lt;=EOMONTH(DATE(PlanYear,4,1),0),IF(ISNUMBER($G872),$G872,$F872)&gt;=DATE(PlanYear,4,1)),1,0))</f>
        <v>0</v>
      </c>
      <c r="S872">
        <f>IF($N872=0,0,IF(AND($F872&lt;=EOMONTH(DATE(PlanYear,5,1),0),IF(ISNUMBER($G872),$G872,$F872)&gt;=DATE(PlanYear,5,1)),1,0))</f>
        <v>0</v>
      </c>
      <c r="T872">
        <f>IF($N872=0,0,IF(AND($F872&lt;=EOMONTH(DATE(PlanYear,6,1),0),IF(ISNUMBER($G872),$G872,$F872)&gt;=DATE(PlanYear,6,1)),1,0))</f>
        <v>0</v>
      </c>
      <c r="U872">
        <f>IF($N872=0,0,IF(AND($F872&lt;=EOMONTH(DATE(PlanYear,7,1),0),IF(ISNUMBER($G872),$G872,$F872)&gt;=DATE(PlanYear,7,1)),1,0))</f>
        <v>0</v>
      </c>
      <c r="V872">
        <f>IF($N872=0,0,IF(AND($F872&lt;=EOMONTH(DATE(PlanYear,8,1),0),IF(ISNUMBER($G872),$G872,$F872)&gt;=DATE(PlanYear,8,1)),1,0))</f>
        <v>0</v>
      </c>
      <c r="W872">
        <f>IF($N872=0,0,IF(AND($F872&lt;=EOMONTH(DATE(PlanYear,9,1),0),IF(ISNUMBER($G872),$G872,$F872)&gt;=DATE(PlanYear,9,1)),1,0))</f>
        <v>0</v>
      </c>
      <c r="X872">
        <f>IF($N872=0,0,IF(AND($F872&lt;=EOMONTH(DATE(PlanYear,10,1),0),IF(ISNUMBER($G872),$G872,$F872)&gt;=DATE(PlanYear,10,1)),1,0))</f>
        <v>0</v>
      </c>
      <c r="Y872">
        <f>IF($N872=0,0,IF(AND($F872&lt;=EOMONTH(DATE(PlanYear,11,1),0),IF(ISNUMBER($G872),$G872,$F872)&gt;=DATE(PlanYear,11,1)),1,0))</f>
        <v>0</v>
      </c>
      <c r="Z872">
        <f>IF($N872=0,0,IF(AND($F872&lt;=EOMONTH(DATE(PlanYear,12,1),0),IF(ISNUMBER($G872),$G872,$F872)&gt;=DATE(PlanYear,12,1)),1,0))</f>
        <v>0</v>
      </c>
      <c r="AA872">
        <f>SUM($O872:$Z872)</f>
        <v>0</v>
      </c>
    </row>
    <row r="873" spans="1:27">
      <c r="A873" s="42">
        <f>IF($B873="","","ACT-"&amp;TEXT(ROW()-4,"000"))</f>
        <v>0</v>
      </c>
      <c r="M873" s="43">
        <f>IF(COUNTA($B873:$K873)=0,"",IF($B873="","Missing activity name",IF($C873="","Missing practice",IF(COUNTIF(PracticeNames,$C873)=0,"Practice not in Lists",IF($D873="","Missing motion",IF(NOT(ISNUMBER($F873)),"Missing or invalid start date",IF(AND(ISNUMBER($G873),$G873&lt;$F873),"End date before start",IF(AND($N873=1,$AA873=0),"Outside planning year","OK"))))))))</f>
        <v>0</v>
      </c>
      <c r="N873">
        <f>IF(AND($B873&lt;&gt;"",$C873&lt;&gt;"",$D873&lt;&gt;"",ISNUMBER($F873),COUNTIF(PracticeNames,$C873)&gt;0,COUNTIF(MotionNames,$D873)&gt;0,NOT(AND(ISNUMBER($G873),$G873&lt;$F873))),IF(StatusFilter="All (excl. Cancelled)",IF($H873="Cancelled",0,1),IF(StatusFilter="All",1,IF($H873=StatusFilter,1,0))),0)</f>
        <v>0</v>
      </c>
      <c r="O873">
        <f>IF($N873=0,0,IF(AND($F873&lt;=EOMONTH(DATE(PlanYear,1,1),0),IF(ISNUMBER($G873),$G873,$F873)&gt;=DATE(PlanYear,1,1)),1,0))</f>
        <v>0</v>
      </c>
      <c r="P873">
        <f>IF($N873=0,0,IF(AND($F873&lt;=EOMONTH(DATE(PlanYear,2,1),0),IF(ISNUMBER($G873),$G873,$F873)&gt;=DATE(PlanYear,2,1)),1,0))</f>
        <v>0</v>
      </c>
      <c r="Q873">
        <f>IF($N873=0,0,IF(AND($F873&lt;=EOMONTH(DATE(PlanYear,3,1),0),IF(ISNUMBER($G873),$G873,$F873)&gt;=DATE(PlanYear,3,1)),1,0))</f>
        <v>0</v>
      </c>
      <c r="R873">
        <f>IF($N873=0,0,IF(AND($F873&lt;=EOMONTH(DATE(PlanYear,4,1),0),IF(ISNUMBER($G873),$G873,$F873)&gt;=DATE(PlanYear,4,1)),1,0))</f>
        <v>0</v>
      </c>
      <c r="S873">
        <f>IF($N873=0,0,IF(AND($F873&lt;=EOMONTH(DATE(PlanYear,5,1),0),IF(ISNUMBER($G873),$G873,$F873)&gt;=DATE(PlanYear,5,1)),1,0))</f>
        <v>0</v>
      </c>
      <c r="T873">
        <f>IF($N873=0,0,IF(AND($F873&lt;=EOMONTH(DATE(PlanYear,6,1),0),IF(ISNUMBER($G873),$G873,$F873)&gt;=DATE(PlanYear,6,1)),1,0))</f>
        <v>0</v>
      </c>
      <c r="U873">
        <f>IF($N873=0,0,IF(AND($F873&lt;=EOMONTH(DATE(PlanYear,7,1),0),IF(ISNUMBER($G873),$G873,$F873)&gt;=DATE(PlanYear,7,1)),1,0))</f>
        <v>0</v>
      </c>
      <c r="V873">
        <f>IF($N873=0,0,IF(AND($F873&lt;=EOMONTH(DATE(PlanYear,8,1),0),IF(ISNUMBER($G873),$G873,$F873)&gt;=DATE(PlanYear,8,1)),1,0))</f>
        <v>0</v>
      </c>
      <c r="W873">
        <f>IF($N873=0,0,IF(AND($F873&lt;=EOMONTH(DATE(PlanYear,9,1),0),IF(ISNUMBER($G873),$G873,$F873)&gt;=DATE(PlanYear,9,1)),1,0))</f>
        <v>0</v>
      </c>
      <c r="X873">
        <f>IF($N873=0,0,IF(AND($F873&lt;=EOMONTH(DATE(PlanYear,10,1),0),IF(ISNUMBER($G873),$G873,$F873)&gt;=DATE(PlanYear,10,1)),1,0))</f>
        <v>0</v>
      </c>
      <c r="Y873">
        <f>IF($N873=0,0,IF(AND($F873&lt;=EOMONTH(DATE(PlanYear,11,1),0),IF(ISNUMBER($G873),$G873,$F873)&gt;=DATE(PlanYear,11,1)),1,0))</f>
        <v>0</v>
      </c>
      <c r="Z873">
        <f>IF($N873=0,0,IF(AND($F873&lt;=EOMONTH(DATE(PlanYear,12,1),0),IF(ISNUMBER($G873),$G873,$F873)&gt;=DATE(PlanYear,12,1)),1,0))</f>
        <v>0</v>
      </c>
      <c r="AA873">
        <f>SUM($O873:$Z873)</f>
        <v>0</v>
      </c>
    </row>
    <row r="874" spans="1:27">
      <c r="A874" s="42">
        <f>IF($B874="","","ACT-"&amp;TEXT(ROW()-4,"000"))</f>
        <v>0</v>
      </c>
      <c r="M874" s="43">
        <f>IF(COUNTA($B874:$K874)=0,"",IF($B874="","Missing activity name",IF($C874="","Missing practice",IF(COUNTIF(PracticeNames,$C874)=0,"Practice not in Lists",IF($D874="","Missing motion",IF(NOT(ISNUMBER($F874)),"Missing or invalid start date",IF(AND(ISNUMBER($G874),$G874&lt;$F874),"End date before start",IF(AND($N874=1,$AA874=0),"Outside planning year","OK"))))))))</f>
        <v>0</v>
      </c>
      <c r="N874">
        <f>IF(AND($B874&lt;&gt;"",$C874&lt;&gt;"",$D874&lt;&gt;"",ISNUMBER($F874),COUNTIF(PracticeNames,$C874)&gt;0,COUNTIF(MotionNames,$D874)&gt;0,NOT(AND(ISNUMBER($G874),$G874&lt;$F874))),IF(StatusFilter="All (excl. Cancelled)",IF($H874="Cancelled",0,1),IF(StatusFilter="All",1,IF($H874=StatusFilter,1,0))),0)</f>
        <v>0</v>
      </c>
      <c r="O874">
        <f>IF($N874=0,0,IF(AND($F874&lt;=EOMONTH(DATE(PlanYear,1,1),0),IF(ISNUMBER($G874),$G874,$F874)&gt;=DATE(PlanYear,1,1)),1,0))</f>
        <v>0</v>
      </c>
      <c r="P874">
        <f>IF($N874=0,0,IF(AND($F874&lt;=EOMONTH(DATE(PlanYear,2,1),0),IF(ISNUMBER($G874),$G874,$F874)&gt;=DATE(PlanYear,2,1)),1,0))</f>
        <v>0</v>
      </c>
      <c r="Q874">
        <f>IF($N874=0,0,IF(AND($F874&lt;=EOMONTH(DATE(PlanYear,3,1),0),IF(ISNUMBER($G874),$G874,$F874)&gt;=DATE(PlanYear,3,1)),1,0))</f>
        <v>0</v>
      </c>
      <c r="R874">
        <f>IF($N874=0,0,IF(AND($F874&lt;=EOMONTH(DATE(PlanYear,4,1),0),IF(ISNUMBER($G874),$G874,$F874)&gt;=DATE(PlanYear,4,1)),1,0))</f>
        <v>0</v>
      </c>
      <c r="S874">
        <f>IF($N874=0,0,IF(AND($F874&lt;=EOMONTH(DATE(PlanYear,5,1),0),IF(ISNUMBER($G874),$G874,$F874)&gt;=DATE(PlanYear,5,1)),1,0))</f>
        <v>0</v>
      </c>
      <c r="T874">
        <f>IF($N874=0,0,IF(AND($F874&lt;=EOMONTH(DATE(PlanYear,6,1),0),IF(ISNUMBER($G874),$G874,$F874)&gt;=DATE(PlanYear,6,1)),1,0))</f>
        <v>0</v>
      </c>
      <c r="U874">
        <f>IF($N874=0,0,IF(AND($F874&lt;=EOMONTH(DATE(PlanYear,7,1),0),IF(ISNUMBER($G874),$G874,$F874)&gt;=DATE(PlanYear,7,1)),1,0))</f>
        <v>0</v>
      </c>
      <c r="V874">
        <f>IF($N874=0,0,IF(AND($F874&lt;=EOMONTH(DATE(PlanYear,8,1),0),IF(ISNUMBER($G874),$G874,$F874)&gt;=DATE(PlanYear,8,1)),1,0))</f>
        <v>0</v>
      </c>
      <c r="W874">
        <f>IF($N874=0,0,IF(AND($F874&lt;=EOMONTH(DATE(PlanYear,9,1),0),IF(ISNUMBER($G874),$G874,$F874)&gt;=DATE(PlanYear,9,1)),1,0))</f>
        <v>0</v>
      </c>
      <c r="X874">
        <f>IF($N874=0,0,IF(AND($F874&lt;=EOMONTH(DATE(PlanYear,10,1),0),IF(ISNUMBER($G874),$G874,$F874)&gt;=DATE(PlanYear,10,1)),1,0))</f>
        <v>0</v>
      </c>
      <c r="Y874">
        <f>IF($N874=0,0,IF(AND($F874&lt;=EOMONTH(DATE(PlanYear,11,1),0),IF(ISNUMBER($G874),$G874,$F874)&gt;=DATE(PlanYear,11,1)),1,0))</f>
        <v>0</v>
      </c>
      <c r="Z874">
        <f>IF($N874=0,0,IF(AND($F874&lt;=EOMONTH(DATE(PlanYear,12,1),0),IF(ISNUMBER($G874),$G874,$F874)&gt;=DATE(PlanYear,12,1)),1,0))</f>
        <v>0</v>
      </c>
      <c r="AA874">
        <f>SUM($O874:$Z874)</f>
        <v>0</v>
      </c>
    </row>
    <row r="875" spans="1:27">
      <c r="A875" s="42">
        <f>IF($B875="","","ACT-"&amp;TEXT(ROW()-4,"000"))</f>
        <v>0</v>
      </c>
      <c r="M875" s="43">
        <f>IF(COUNTA($B875:$K875)=0,"",IF($B875="","Missing activity name",IF($C875="","Missing practice",IF(COUNTIF(PracticeNames,$C875)=0,"Practice not in Lists",IF($D875="","Missing motion",IF(NOT(ISNUMBER($F875)),"Missing or invalid start date",IF(AND(ISNUMBER($G875),$G875&lt;$F875),"End date before start",IF(AND($N875=1,$AA875=0),"Outside planning year","OK"))))))))</f>
        <v>0</v>
      </c>
      <c r="N875">
        <f>IF(AND($B875&lt;&gt;"",$C875&lt;&gt;"",$D875&lt;&gt;"",ISNUMBER($F875),COUNTIF(PracticeNames,$C875)&gt;0,COUNTIF(MotionNames,$D875)&gt;0,NOT(AND(ISNUMBER($G875),$G875&lt;$F875))),IF(StatusFilter="All (excl. Cancelled)",IF($H875="Cancelled",0,1),IF(StatusFilter="All",1,IF($H875=StatusFilter,1,0))),0)</f>
        <v>0</v>
      </c>
      <c r="O875">
        <f>IF($N875=0,0,IF(AND($F875&lt;=EOMONTH(DATE(PlanYear,1,1),0),IF(ISNUMBER($G875),$G875,$F875)&gt;=DATE(PlanYear,1,1)),1,0))</f>
        <v>0</v>
      </c>
      <c r="P875">
        <f>IF($N875=0,0,IF(AND($F875&lt;=EOMONTH(DATE(PlanYear,2,1),0),IF(ISNUMBER($G875),$G875,$F875)&gt;=DATE(PlanYear,2,1)),1,0))</f>
        <v>0</v>
      </c>
      <c r="Q875">
        <f>IF($N875=0,0,IF(AND($F875&lt;=EOMONTH(DATE(PlanYear,3,1),0),IF(ISNUMBER($G875),$G875,$F875)&gt;=DATE(PlanYear,3,1)),1,0))</f>
        <v>0</v>
      </c>
      <c r="R875">
        <f>IF($N875=0,0,IF(AND($F875&lt;=EOMONTH(DATE(PlanYear,4,1),0),IF(ISNUMBER($G875),$G875,$F875)&gt;=DATE(PlanYear,4,1)),1,0))</f>
        <v>0</v>
      </c>
      <c r="S875">
        <f>IF($N875=0,0,IF(AND($F875&lt;=EOMONTH(DATE(PlanYear,5,1),0),IF(ISNUMBER($G875),$G875,$F875)&gt;=DATE(PlanYear,5,1)),1,0))</f>
        <v>0</v>
      </c>
      <c r="T875">
        <f>IF($N875=0,0,IF(AND($F875&lt;=EOMONTH(DATE(PlanYear,6,1),0),IF(ISNUMBER($G875),$G875,$F875)&gt;=DATE(PlanYear,6,1)),1,0))</f>
        <v>0</v>
      </c>
      <c r="U875">
        <f>IF($N875=0,0,IF(AND($F875&lt;=EOMONTH(DATE(PlanYear,7,1),0),IF(ISNUMBER($G875),$G875,$F875)&gt;=DATE(PlanYear,7,1)),1,0))</f>
        <v>0</v>
      </c>
      <c r="V875">
        <f>IF($N875=0,0,IF(AND($F875&lt;=EOMONTH(DATE(PlanYear,8,1),0),IF(ISNUMBER($G875),$G875,$F875)&gt;=DATE(PlanYear,8,1)),1,0))</f>
        <v>0</v>
      </c>
      <c r="W875">
        <f>IF($N875=0,0,IF(AND($F875&lt;=EOMONTH(DATE(PlanYear,9,1),0),IF(ISNUMBER($G875),$G875,$F875)&gt;=DATE(PlanYear,9,1)),1,0))</f>
        <v>0</v>
      </c>
      <c r="X875">
        <f>IF($N875=0,0,IF(AND($F875&lt;=EOMONTH(DATE(PlanYear,10,1),0),IF(ISNUMBER($G875),$G875,$F875)&gt;=DATE(PlanYear,10,1)),1,0))</f>
        <v>0</v>
      </c>
      <c r="Y875">
        <f>IF($N875=0,0,IF(AND($F875&lt;=EOMONTH(DATE(PlanYear,11,1),0),IF(ISNUMBER($G875),$G875,$F875)&gt;=DATE(PlanYear,11,1)),1,0))</f>
        <v>0</v>
      </c>
      <c r="Z875">
        <f>IF($N875=0,0,IF(AND($F875&lt;=EOMONTH(DATE(PlanYear,12,1),0),IF(ISNUMBER($G875),$G875,$F875)&gt;=DATE(PlanYear,12,1)),1,0))</f>
        <v>0</v>
      </c>
      <c r="AA875">
        <f>SUM($O875:$Z875)</f>
        <v>0</v>
      </c>
    </row>
    <row r="876" spans="1:27">
      <c r="A876" s="42">
        <f>IF($B876="","","ACT-"&amp;TEXT(ROW()-4,"000"))</f>
        <v>0</v>
      </c>
      <c r="M876" s="43">
        <f>IF(COUNTA($B876:$K876)=0,"",IF($B876="","Missing activity name",IF($C876="","Missing practice",IF(COUNTIF(PracticeNames,$C876)=0,"Practice not in Lists",IF($D876="","Missing motion",IF(NOT(ISNUMBER($F876)),"Missing or invalid start date",IF(AND(ISNUMBER($G876),$G876&lt;$F876),"End date before start",IF(AND($N876=1,$AA876=0),"Outside planning year","OK"))))))))</f>
        <v>0</v>
      </c>
      <c r="N876">
        <f>IF(AND($B876&lt;&gt;"",$C876&lt;&gt;"",$D876&lt;&gt;"",ISNUMBER($F876),COUNTIF(PracticeNames,$C876)&gt;0,COUNTIF(MotionNames,$D876)&gt;0,NOT(AND(ISNUMBER($G876),$G876&lt;$F876))),IF(StatusFilter="All (excl. Cancelled)",IF($H876="Cancelled",0,1),IF(StatusFilter="All",1,IF($H876=StatusFilter,1,0))),0)</f>
        <v>0</v>
      </c>
      <c r="O876">
        <f>IF($N876=0,0,IF(AND($F876&lt;=EOMONTH(DATE(PlanYear,1,1),0),IF(ISNUMBER($G876),$G876,$F876)&gt;=DATE(PlanYear,1,1)),1,0))</f>
        <v>0</v>
      </c>
      <c r="P876">
        <f>IF($N876=0,0,IF(AND($F876&lt;=EOMONTH(DATE(PlanYear,2,1),0),IF(ISNUMBER($G876),$G876,$F876)&gt;=DATE(PlanYear,2,1)),1,0))</f>
        <v>0</v>
      </c>
      <c r="Q876">
        <f>IF($N876=0,0,IF(AND($F876&lt;=EOMONTH(DATE(PlanYear,3,1),0),IF(ISNUMBER($G876),$G876,$F876)&gt;=DATE(PlanYear,3,1)),1,0))</f>
        <v>0</v>
      </c>
      <c r="R876">
        <f>IF($N876=0,0,IF(AND($F876&lt;=EOMONTH(DATE(PlanYear,4,1),0),IF(ISNUMBER($G876),$G876,$F876)&gt;=DATE(PlanYear,4,1)),1,0))</f>
        <v>0</v>
      </c>
      <c r="S876">
        <f>IF($N876=0,0,IF(AND($F876&lt;=EOMONTH(DATE(PlanYear,5,1),0),IF(ISNUMBER($G876),$G876,$F876)&gt;=DATE(PlanYear,5,1)),1,0))</f>
        <v>0</v>
      </c>
      <c r="T876">
        <f>IF($N876=0,0,IF(AND($F876&lt;=EOMONTH(DATE(PlanYear,6,1),0),IF(ISNUMBER($G876),$G876,$F876)&gt;=DATE(PlanYear,6,1)),1,0))</f>
        <v>0</v>
      </c>
      <c r="U876">
        <f>IF($N876=0,0,IF(AND($F876&lt;=EOMONTH(DATE(PlanYear,7,1),0),IF(ISNUMBER($G876),$G876,$F876)&gt;=DATE(PlanYear,7,1)),1,0))</f>
        <v>0</v>
      </c>
      <c r="V876">
        <f>IF($N876=0,0,IF(AND($F876&lt;=EOMONTH(DATE(PlanYear,8,1),0),IF(ISNUMBER($G876),$G876,$F876)&gt;=DATE(PlanYear,8,1)),1,0))</f>
        <v>0</v>
      </c>
      <c r="W876">
        <f>IF($N876=0,0,IF(AND($F876&lt;=EOMONTH(DATE(PlanYear,9,1),0),IF(ISNUMBER($G876),$G876,$F876)&gt;=DATE(PlanYear,9,1)),1,0))</f>
        <v>0</v>
      </c>
      <c r="X876">
        <f>IF($N876=0,0,IF(AND($F876&lt;=EOMONTH(DATE(PlanYear,10,1),0),IF(ISNUMBER($G876),$G876,$F876)&gt;=DATE(PlanYear,10,1)),1,0))</f>
        <v>0</v>
      </c>
      <c r="Y876">
        <f>IF($N876=0,0,IF(AND($F876&lt;=EOMONTH(DATE(PlanYear,11,1),0),IF(ISNUMBER($G876),$G876,$F876)&gt;=DATE(PlanYear,11,1)),1,0))</f>
        <v>0</v>
      </c>
      <c r="Z876">
        <f>IF($N876=0,0,IF(AND($F876&lt;=EOMONTH(DATE(PlanYear,12,1),0),IF(ISNUMBER($G876),$G876,$F876)&gt;=DATE(PlanYear,12,1)),1,0))</f>
        <v>0</v>
      </c>
      <c r="AA876">
        <f>SUM($O876:$Z876)</f>
        <v>0</v>
      </c>
    </row>
    <row r="877" spans="1:27">
      <c r="A877" s="42">
        <f>IF($B877="","","ACT-"&amp;TEXT(ROW()-4,"000"))</f>
        <v>0</v>
      </c>
      <c r="M877" s="43">
        <f>IF(COUNTA($B877:$K877)=0,"",IF($B877="","Missing activity name",IF($C877="","Missing practice",IF(COUNTIF(PracticeNames,$C877)=0,"Practice not in Lists",IF($D877="","Missing motion",IF(NOT(ISNUMBER($F877)),"Missing or invalid start date",IF(AND(ISNUMBER($G877),$G877&lt;$F877),"End date before start",IF(AND($N877=1,$AA877=0),"Outside planning year","OK"))))))))</f>
        <v>0</v>
      </c>
      <c r="N877">
        <f>IF(AND($B877&lt;&gt;"",$C877&lt;&gt;"",$D877&lt;&gt;"",ISNUMBER($F877),COUNTIF(PracticeNames,$C877)&gt;0,COUNTIF(MotionNames,$D877)&gt;0,NOT(AND(ISNUMBER($G877),$G877&lt;$F877))),IF(StatusFilter="All (excl. Cancelled)",IF($H877="Cancelled",0,1),IF(StatusFilter="All",1,IF($H877=StatusFilter,1,0))),0)</f>
        <v>0</v>
      </c>
      <c r="O877">
        <f>IF($N877=0,0,IF(AND($F877&lt;=EOMONTH(DATE(PlanYear,1,1),0),IF(ISNUMBER($G877),$G877,$F877)&gt;=DATE(PlanYear,1,1)),1,0))</f>
        <v>0</v>
      </c>
      <c r="P877">
        <f>IF($N877=0,0,IF(AND($F877&lt;=EOMONTH(DATE(PlanYear,2,1),0),IF(ISNUMBER($G877),$G877,$F877)&gt;=DATE(PlanYear,2,1)),1,0))</f>
        <v>0</v>
      </c>
      <c r="Q877">
        <f>IF($N877=0,0,IF(AND($F877&lt;=EOMONTH(DATE(PlanYear,3,1),0),IF(ISNUMBER($G877),$G877,$F877)&gt;=DATE(PlanYear,3,1)),1,0))</f>
        <v>0</v>
      </c>
      <c r="R877">
        <f>IF($N877=0,0,IF(AND($F877&lt;=EOMONTH(DATE(PlanYear,4,1),0),IF(ISNUMBER($G877),$G877,$F877)&gt;=DATE(PlanYear,4,1)),1,0))</f>
        <v>0</v>
      </c>
      <c r="S877">
        <f>IF($N877=0,0,IF(AND($F877&lt;=EOMONTH(DATE(PlanYear,5,1),0),IF(ISNUMBER($G877),$G877,$F877)&gt;=DATE(PlanYear,5,1)),1,0))</f>
        <v>0</v>
      </c>
      <c r="T877">
        <f>IF($N877=0,0,IF(AND($F877&lt;=EOMONTH(DATE(PlanYear,6,1),0),IF(ISNUMBER($G877),$G877,$F877)&gt;=DATE(PlanYear,6,1)),1,0))</f>
        <v>0</v>
      </c>
      <c r="U877">
        <f>IF($N877=0,0,IF(AND($F877&lt;=EOMONTH(DATE(PlanYear,7,1),0),IF(ISNUMBER($G877),$G877,$F877)&gt;=DATE(PlanYear,7,1)),1,0))</f>
        <v>0</v>
      </c>
      <c r="V877">
        <f>IF($N877=0,0,IF(AND($F877&lt;=EOMONTH(DATE(PlanYear,8,1),0),IF(ISNUMBER($G877),$G877,$F877)&gt;=DATE(PlanYear,8,1)),1,0))</f>
        <v>0</v>
      </c>
      <c r="W877">
        <f>IF($N877=0,0,IF(AND($F877&lt;=EOMONTH(DATE(PlanYear,9,1),0),IF(ISNUMBER($G877),$G877,$F877)&gt;=DATE(PlanYear,9,1)),1,0))</f>
        <v>0</v>
      </c>
      <c r="X877">
        <f>IF($N877=0,0,IF(AND($F877&lt;=EOMONTH(DATE(PlanYear,10,1),0),IF(ISNUMBER($G877),$G877,$F877)&gt;=DATE(PlanYear,10,1)),1,0))</f>
        <v>0</v>
      </c>
      <c r="Y877">
        <f>IF($N877=0,0,IF(AND($F877&lt;=EOMONTH(DATE(PlanYear,11,1),0),IF(ISNUMBER($G877),$G877,$F877)&gt;=DATE(PlanYear,11,1)),1,0))</f>
        <v>0</v>
      </c>
      <c r="Z877">
        <f>IF($N877=0,0,IF(AND($F877&lt;=EOMONTH(DATE(PlanYear,12,1),0),IF(ISNUMBER($G877),$G877,$F877)&gt;=DATE(PlanYear,12,1)),1,0))</f>
        <v>0</v>
      </c>
      <c r="AA877">
        <f>SUM($O877:$Z877)</f>
        <v>0</v>
      </c>
    </row>
    <row r="878" spans="1:27">
      <c r="A878" s="42">
        <f>IF($B878="","","ACT-"&amp;TEXT(ROW()-4,"000"))</f>
        <v>0</v>
      </c>
      <c r="M878" s="43">
        <f>IF(COUNTA($B878:$K878)=0,"",IF($B878="","Missing activity name",IF($C878="","Missing practice",IF(COUNTIF(PracticeNames,$C878)=0,"Practice not in Lists",IF($D878="","Missing motion",IF(NOT(ISNUMBER($F878)),"Missing or invalid start date",IF(AND(ISNUMBER($G878),$G878&lt;$F878),"End date before start",IF(AND($N878=1,$AA878=0),"Outside planning year","OK"))))))))</f>
        <v>0</v>
      </c>
      <c r="N878">
        <f>IF(AND($B878&lt;&gt;"",$C878&lt;&gt;"",$D878&lt;&gt;"",ISNUMBER($F878),COUNTIF(PracticeNames,$C878)&gt;0,COUNTIF(MotionNames,$D878)&gt;0,NOT(AND(ISNUMBER($G878),$G878&lt;$F878))),IF(StatusFilter="All (excl. Cancelled)",IF($H878="Cancelled",0,1),IF(StatusFilter="All",1,IF($H878=StatusFilter,1,0))),0)</f>
        <v>0</v>
      </c>
      <c r="O878">
        <f>IF($N878=0,0,IF(AND($F878&lt;=EOMONTH(DATE(PlanYear,1,1),0),IF(ISNUMBER($G878),$G878,$F878)&gt;=DATE(PlanYear,1,1)),1,0))</f>
        <v>0</v>
      </c>
      <c r="P878">
        <f>IF($N878=0,0,IF(AND($F878&lt;=EOMONTH(DATE(PlanYear,2,1),0),IF(ISNUMBER($G878),$G878,$F878)&gt;=DATE(PlanYear,2,1)),1,0))</f>
        <v>0</v>
      </c>
      <c r="Q878">
        <f>IF($N878=0,0,IF(AND($F878&lt;=EOMONTH(DATE(PlanYear,3,1),0),IF(ISNUMBER($G878),$G878,$F878)&gt;=DATE(PlanYear,3,1)),1,0))</f>
        <v>0</v>
      </c>
      <c r="R878">
        <f>IF($N878=0,0,IF(AND($F878&lt;=EOMONTH(DATE(PlanYear,4,1),0),IF(ISNUMBER($G878),$G878,$F878)&gt;=DATE(PlanYear,4,1)),1,0))</f>
        <v>0</v>
      </c>
      <c r="S878">
        <f>IF($N878=0,0,IF(AND($F878&lt;=EOMONTH(DATE(PlanYear,5,1),0),IF(ISNUMBER($G878),$G878,$F878)&gt;=DATE(PlanYear,5,1)),1,0))</f>
        <v>0</v>
      </c>
      <c r="T878">
        <f>IF($N878=0,0,IF(AND($F878&lt;=EOMONTH(DATE(PlanYear,6,1),0),IF(ISNUMBER($G878),$G878,$F878)&gt;=DATE(PlanYear,6,1)),1,0))</f>
        <v>0</v>
      </c>
      <c r="U878">
        <f>IF($N878=0,0,IF(AND($F878&lt;=EOMONTH(DATE(PlanYear,7,1),0),IF(ISNUMBER($G878),$G878,$F878)&gt;=DATE(PlanYear,7,1)),1,0))</f>
        <v>0</v>
      </c>
      <c r="V878">
        <f>IF($N878=0,0,IF(AND($F878&lt;=EOMONTH(DATE(PlanYear,8,1),0),IF(ISNUMBER($G878),$G878,$F878)&gt;=DATE(PlanYear,8,1)),1,0))</f>
        <v>0</v>
      </c>
      <c r="W878">
        <f>IF($N878=0,0,IF(AND($F878&lt;=EOMONTH(DATE(PlanYear,9,1),0),IF(ISNUMBER($G878),$G878,$F878)&gt;=DATE(PlanYear,9,1)),1,0))</f>
        <v>0</v>
      </c>
      <c r="X878">
        <f>IF($N878=0,0,IF(AND($F878&lt;=EOMONTH(DATE(PlanYear,10,1),0),IF(ISNUMBER($G878),$G878,$F878)&gt;=DATE(PlanYear,10,1)),1,0))</f>
        <v>0</v>
      </c>
      <c r="Y878">
        <f>IF($N878=0,0,IF(AND($F878&lt;=EOMONTH(DATE(PlanYear,11,1),0),IF(ISNUMBER($G878),$G878,$F878)&gt;=DATE(PlanYear,11,1)),1,0))</f>
        <v>0</v>
      </c>
      <c r="Z878">
        <f>IF($N878=0,0,IF(AND($F878&lt;=EOMONTH(DATE(PlanYear,12,1),0),IF(ISNUMBER($G878),$G878,$F878)&gt;=DATE(PlanYear,12,1)),1,0))</f>
        <v>0</v>
      </c>
      <c r="AA878">
        <f>SUM($O878:$Z878)</f>
        <v>0</v>
      </c>
    </row>
    <row r="879" spans="1:27">
      <c r="A879" s="42">
        <f>IF($B879="","","ACT-"&amp;TEXT(ROW()-4,"000"))</f>
        <v>0</v>
      </c>
      <c r="M879" s="43">
        <f>IF(COUNTA($B879:$K879)=0,"",IF($B879="","Missing activity name",IF($C879="","Missing practice",IF(COUNTIF(PracticeNames,$C879)=0,"Practice not in Lists",IF($D879="","Missing motion",IF(NOT(ISNUMBER($F879)),"Missing or invalid start date",IF(AND(ISNUMBER($G879),$G879&lt;$F879),"End date before start",IF(AND($N879=1,$AA879=0),"Outside planning year","OK"))))))))</f>
        <v>0</v>
      </c>
      <c r="N879">
        <f>IF(AND($B879&lt;&gt;"",$C879&lt;&gt;"",$D879&lt;&gt;"",ISNUMBER($F879),COUNTIF(PracticeNames,$C879)&gt;0,COUNTIF(MotionNames,$D879)&gt;0,NOT(AND(ISNUMBER($G879),$G879&lt;$F879))),IF(StatusFilter="All (excl. Cancelled)",IF($H879="Cancelled",0,1),IF(StatusFilter="All",1,IF($H879=StatusFilter,1,0))),0)</f>
        <v>0</v>
      </c>
      <c r="O879">
        <f>IF($N879=0,0,IF(AND($F879&lt;=EOMONTH(DATE(PlanYear,1,1),0),IF(ISNUMBER($G879),$G879,$F879)&gt;=DATE(PlanYear,1,1)),1,0))</f>
        <v>0</v>
      </c>
      <c r="P879">
        <f>IF($N879=0,0,IF(AND($F879&lt;=EOMONTH(DATE(PlanYear,2,1),0),IF(ISNUMBER($G879),$G879,$F879)&gt;=DATE(PlanYear,2,1)),1,0))</f>
        <v>0</v>
      </c>
      <c r="Q879">
        <f>IF($N879=0,0,IF(AND($F879&lt;=EOMONTH(DATE(PlanYear,3,1),0),IF(ISNUMBER($G879),$G879,$F879)&gt;=DATE(PlanYear,3,1)),1,0))</f>
        <v>0</v>
      </c>
      <c r="R879">
        <f>IF($N879=0,0,IF(AND($F879&lt;=EOMONTH(DATE(PlanYear,4,1),0),IF(ISNUMBER($G879),$G879,$F879)&gt;=DATE(PlanYear,4,1)),1,0))</f>
        <v>0</v>
      </c>
      <c r="S879">
        <f>IF($N879=0,0,IF(AND($F879&lt;=EOMONTH(DATE(PlanYear,5,1),0),IF(ISNUMBER($G879),$G879,$F879)&gt;=DATE(PlanYear,5,1)),1,0))</f>
        <v>0</v>
      </c>
      <c r="T879">
        <f>IF($N879=0,0,IF(AND($F879&lt;=EOMONTH(DATE(PlanYear,6,1),0),IF(ISNUMBER($G879),$G879,$F879)&gt;=DATE(PlanYear,6,1)),1,0))</f>
        <v>0</v>
      </c>
      <c r="U879">
        <f>IF($N879=0,0,IF(AND($F879&lt;=EOMONTH(DATE(PlanYear,7,1),0),IF(ISNUMBER($G879),$G879,$F879)&gt;=DATE(PlanYear,7,1)),1,0))</f>
        <v>0</v>
      </c>
      <c r="V879">
        <f>IF($N879=0,0,IF(AND($F879&lt;=EOMONTH(DATE(PlanYear,8,1),0),IF(ISNUMBER($G879),$G879,$F879)&gt;=DATE(PlanYear,8,1)),1,0))</f>
        <v>0</v>
      </c>
      <c r="W879">
        <f>IF($N879=0,0,IF(AND($F879&lt;=EOMONTH(DATE(PlanYear,9,1),0),IF(ISNUMBER($G879),$G879,$F879)&gt;=DATE(PlanYear,9,1)),1,0))</f>
        <v>0</v>
      </c>
      <c r="X879">
        <f>IF($N879=0,0,IF(AND($F879&lt;=EOMONTH(DATE(PlanYear,10,1),0),IF(ISNUMBER($G879),$G879,$F879)&gt;=DATE(PlanYear,10,1)),1,0))</f>
        <v>0</v>
      </c>
      <c r="Y879">
        <f>IF($N879=0,0,IF(AND($F879&lt;=EOMONTH(DATE(PlanYear,11,1),0),IF(ISNUMBER($G879),$G879,$F879)&gt;=DATE(PlanYear,11,1)),1,0))</f>
        <v>0</v>
      </c>
      <c r="Z879">
        <f>IF($N879=0,0,IF(AND($F879&lt;=EOMONTH(DATE(PlanYear,12,1),0),IF(ISNUMBER($G879),$G879,$F879)&gt;=DATE(PlanYear,12,1)),1,0))</f>
        <v>0</v>
      </c>
      <c r="AA879">
        <f>SUM($O879:$Z879)</f>
        <v>0</v>
      </c>
    </row>
    <row r="880" spans="1:27">
      <c r="A880" s="42">
        <f>IF($B880="","","ACT-"&amp;TEXT(ROW()-4,"000"))</f>
        <v>0</v>
      </c>
      <c r="M880" s="43">
        <f>IF(COUNTA($B880:$K880)=0,"",IF($B880="","Missing activity name",IF($C880="","Missing practice",IF(COUNTIF(PracticeNames,$C880)=0,"Practice not in Lists",IF($D880="","Missing motion",IF(NOT(ISNUMBER($F880)),"Missing or invalid start date",IF(AND(ISNUMBER($G880),$G880&lt;$F880),"End date before start",IF(AND($N880=1,$AA880=0),"Outside planning year","OK"))))))))</f>
        <v>0</v>
      </c>
      <c r="N880">
        <f>IF(AND($B880&lt;&gt;"",$C880&lt;&gt;"",$D880&lt;&gt;"",ISNUMBER($F880),COUNTIF(PracticeNames,$C880)&gt;0,COUNTIF(MotionNames,$D880)&gt;0,NOT(AND(ISNUMBER($G880),$G880&lt;$F880))),IF(StatusFilter="All (excl. Cancelled)",IF($H880="Cancelled",0,1),IF(StatusFilter="All",1,IF($H880=StatusFilter,1,0))),0)</f>
        <v>0</v>
      </c>
      <c r="O880">
        <f>IF($N880=0,0,IF(AND($F880&lt;=EOMONTH(DATE(PlanYear,1,1),0),IF(ISNUMBER($G880),$G880,$F880)&gt;=DATE(PlanYear,1,1)),1,0))</f>
        <v>0</v>
      </c>
      <c r="P880">
        <f>IF($N880=0,0,IF(AND($F880&lt;=EOMONTH(DATE(PlanYear,2,1),0),IF(ISNUMBER($G880),$G880,$F880)&gt;=DATE(PlanYear,2,1)),1,0))</f>
        <v>0</v>
      </c>
      <c r="Q880">
        <f>IF($N880=0,0,IF(AND($F880&lt;=EOMONTH(DATE(PlanYear,3,1),0),IF(ISNUMBER($G880),$G880,$F880)&gt;=DATE(PlanYear,3,1)),1,0))</f>
        <v>0</v>
      </c>
      <c r="R880">
        <f>IF($N880=0,0,IF(AND($F880&lt;=EOMONTH(DATE(PlanYear,4,1),0),IF(ISNUMBER($G880),$G880,$F880)&gt;=DATE(PlanYear,4,1)),1,0))</f>
        <v>0</v>
      </c>
      <c r="S880">
        <f>IF($N880=0,0,IF(AND($F880&lt;=EOMONTH(DATE(PlanYear,5,1),0),IF(ISNUMBER($G880),$G880,$F880)&gt;=DATE(PlanYear,5,1)),1,0))</f>
        <v>0</v>
      </c>
      <c r="T880">
        <f>IF($N880=0,0,IF(AND($F880&lt;=EOMONTH(DATE(PlanYear,6,1),0),IF(ISNUMBER($G880),$G880,$F880)&gt;=DATE(PlanYear,6,1)),1,0))</f>
        <v>0</v>
      </c>
      <c r="U880">
        <f>IF($N880=0,0,IF(AND($F880&lt;=EOMONTH(DATE(PlanYear,7,1),0),IF(ISNUMBER($G880),$G880,$F880)&gt;=DATE(PlanYear,7,1)),1,0))</f>
        <v>0</v>
      </c>
      <c r="V880">
        <f>IF($N880=0,0,IF(AND($F880&lt;=EOMONTH(DATE(PlanYear,8,1),0),IF(ISNUMBER($G880),$G880,$F880)&gt;=DATE(PlanYear,8,1)),1,0))</f>
        <v>0</v>
      </c>
      <c r="W880">
        <f>IF($N880=0,0,IF(AND($F880&lt;=EOMONTH(DATE(PlanYear,9,1),0),IF(ISNUMBER($G880),$G880,$F880)&gt;=DATE(PlanYear,9,1)),1,0))</f>
        <v>0</v>
      </c>
      <c r="X880">
        <f>IF($N880=0,0,IF(AND($F880&lt;=EOMONTH(DATE(PlanYear,10,1),0),IF(ISNUMBER($G880),$G880,$F880)&gt;=DATE(PlanYear,10,1)),1,0))</f>
        <v>0</v>
      </c>
      <c r="Y880">
        <f>IF($N880=0,0,IF(AND($F880&lt;=EOMONTH(DATE(PlanYear,11,1),0),IF(ISNUMBER($G880),$G880,$F880)&gt;=DATE(PlanYear,11,1)),1,0))</f>
        <v>0</v>
      </c>
      <c r="Z880">
        <f>IF($N880=0,0,IF(AND($F880&lt;=EOMONTH(DATE(PlanYear,12,1),0),IF(ISNUMBER($G880),$G880,$F880)&gt;=DATE(PlanYear,12,1)),1,0))</f>
        <v>0</v>
      </c>
      <c r="AA880">
        <f>SUM($O880:$Z880)</f>
        <v>0</v>
      </c>
    </row>
    <row r="881" spans="1:27">
      <c r="A881" s="42">
        <f>IF($B881="","","ACT-"&amp;TEXT(ROW()-4,"000"))</f>
        <v>0</v>
      </c>
      <c r="M881" s="43">
        <f>IF(COUNTA($B881:$K881)=0,"",IF($B881="","Missing activity name",IF($C881="","Missing practice",IF(COUNTIF(PracticeNames,$C881)=0,"Practice not in Lists",IF($D881="","Missing motion",IF(NOT(ISNUMBER($F881)),"Missing or invalid start date",IF(AND(ISNUMBER($G881),$G881&lt;$F881),"End date before start",IF(AND($N881=1,$AA881=0),"Outside planning year","OK"))))))))</f>
        <v>0</v>
      </c>
      <c r="N881">
        <f>IF(AND($B881&lt;&gt;"",$C881&lt;&gt;"",$D881&lt;&gt;"",ISNUMBER($F881),COUNTIF(PracticeNames,$C881)&gt;0,COUNTIF(MotionNames,$D881)&gt;0,NOT(AND(ISNUMBER($G881),$G881&lt;$F881))),IF(StatusFilter="All (excl. Cancelled)",IF($H881="Cancelled",0,1),IF(StatusFilter="All",1,IF($H881=StatusFilter,1,0))),0)</f>
        <v>0</v>
      </c>
      <c r="O881">
        <f>IF($N881=0,0,IF(AND($F881&lt;=EOMONTH(DATE(PlanYear,1,1),0),IF(ISNUMBER($G881),$G881,$F881)&gt;=DATE(PlanYear,1,1)),1,0))</f>
        <v>0</v>
      </c>
      <c r="P881">
        <f>IF($N881=0,0,IF(AND($F881&lt;=EOMONTH(DATE(PlanYear,2,1),0),IF(ISNUMBER($G881),$G881,$F881)&gt;=DATE(PlanYear,2,1)),1,0))</f>
        <v>0</v>
      </c>
      <c r="Q881">
        <f>IF($N881=0,0,IF(AND($F881&lt;=EOMONTH(DATE(PlanYear,3,1),0),IF(ISNUMBER($G881),$G881,$F881)&gt;=DATE(PlanYear,3,1)),1,0))</f>
        <v>0</v>
      </c>
      <c r="R881">
        <f>IF($N881=0,0,IF(AND($F881&lt;=EOMONTH(DATE(PlanYear,4,1),0),IF(ISNUMBER($G881),$G881,$F881)&gt;=DATE(PlanYear,4,1)),1,0))</f>
        <v>0</v>
      </c>
      <c r="S881">
        <f>IF($N881=0,0,IF(AND($F881&lt;=EOMONTH(DATE(PlanYear,5,1),0),IF(ISNUMBER($G881),$G881,$F881)&gt;=DATE(PlanYear,5,1)),1,0))</f>
        <v>0</v>
      </c>
      <c r="T881">
        <f>IF($N881=0,0,IF(AND($F881&lt;=EOMONTH(DATE(PlanYear,6,1),0),IF(ISNUMBER($G881),$G881,$F881)&gt;=DATE(PlanYear,6,1)),1,0))</f>
        <v>0</v>
      </c>
      <c r="U881">
        <f>IF($N881=0,0,IF(AND($F881&lt;=EOMONTH(DATE(PlanYear,7,1),0),IF(ISNUMBER($G881),$G881,$F881)&gt;=DATE(PlanYear,7,1)),1,0))</f>
        <v>0</v>
      </c>
      <c r="V881">
        <f>IF($N881=0,0,IF(AND($F881&lt;=EOMONTH(DATE(PlanYear,8,1),0),IF(ISNUMBER($G881),$G881,$F881)&gt;=DATE(PlanYear,8,1)),1,0))</f>
        <v>0</v>
      </c>
      <c r="W881">
        <f>IF($N881=0,0,IF(AND($F881&lt;=EOMONTH(DATE(PlanYear,9,1),0),IF(ISNUMBER($G881),$G881,$F881)&gt;=DATE(PlanYear,9,1)),1,0))</f>
        <v>0</v>
      </c>
      <c r="X881">
        <f>IF($N881=0,0,IF(AND($F881&lt;=EOMONTH(DATE(PlanYear,10,1),0),IF(ISNUMBER($G881),$G881,$F881)&gt;=DATE(PlanYear,10,1)),1,0))</f>
        <v>0</v>
      </c>
      <c r="Y881">
        <f>IF($N881=0,0,IF(AND($F881&lt;=EOMONTH(DATE(PlanYear,11,1),0),IF(ISNUMBER($G881),$G881,$F881)&gt;=DATE(PlanYear,11,1)),1,0))</f>
        <v>0</v>
      </c>
      <c r="Z881">
        <f>IF($N881=0,0,IF(AND($F881&lt;=EOMONTH(DATE(PlanYear,12,1),0),IF(ISNUMBER($G881),$G881,$F881)&gt;=DATE(PlanYear,12,1)),1,0))</f>
        <v>0</v>
      </c>
      <c r="AA881">
        <f>SUM($O881:$Z881)</f>
        <v>0</v>
      </c>
    </row>
    <row r="882" spans="1:27">
      <c r="A882" s="42">
        <f>IF($B882="","","ACT-"&amp;TEXT(ROW()-4,"000"))</f>
        <v>0</v>
      </c>
      <c r="M882" s="43">
        <f>IF(COUNTA($B882:$K882)=0,"",IF($B882="","Missing activity name",IF($C882="","Missing practice",IF(COUNTIF(PracticeNames,$C882)=0,"Practice not in Lists",IF($D882="","Missing motion",IF(NOT(ISNUMBER($F882)),"Missing or invalid start date",IF(AND(ISNUMBER($G882),$G882&lt;$F882),"End date before start",IF(AND($N882=1,$AA882=0),"Outside planning year","OK"))))))))</f>
        <v>0</v>
      </c>
      <c r="N882">
        <f>IF(AND($B882&lt;&gt;"",$C882&lt;&gt;"",$D882&lt;&gt;"",ISNUMBER($F882),COUNTIF(PracticeNames,$C882)&gt;0,COUNTIF(MotionNames,$D882)&gt;0,NOT(AND(ISNUMBER($G882),$G882&lt;$F882))),IF(StatusFilter="All (excl. Cancelled)",IF($H882="Cancelled",0,1),IF(StatusFilter="All",1,IF($H882=StatusFilter,1,0))),0)</f>
        <v>0</v>
      </c>
      <c r="O882">
        <f>IF($N882=0,0,IF(AND($F882&lt;=EOMONTH(DATE(PlanYear,1,1),0),IF(ISNUMBER($G882),$G882,$F882)&gt;=DATE(PlanYear,1,1)),1,0))</f>
        <v>0</v>
      </c>
      <c r="P882">
        <f>IF($N882=0,0,IF(AND($F882&lt;=EOMONTH(DATE(PlanYear,2,1),0),IF(ISNUMBER($G882),$G882,$F882)&gt;=DATE(PlanYear,2,1)),1,0))</f>
        <v>0</v>
      </c>
      <c r="Q882">
        <f>IF($N882=0,0,IF(AND($F882&lt;=EOMONTH(DATE(PlanYear,3,1),0),IF(ISNUMBER($G882),$G882,$F882)&gt;=DATE(PlanYear,3,1)),1,0))</f>
        <v>0</v>
      </c>
      <c r="R882">
        <f>IF($N882=0,0,IF(AND($F882&lt;=EOMONTH(DATE(PlanYear,4,1),0),IF(ISNUMBER($G882),$G882,$F882)&gt;=DATE(PlanYear,4,1)),1,0))</f>
        <v>0</v>
      </c>
      <c r="S882">
        <f>IF($N882=0,0,IF(AND($F882&lt;=EOMONTH(DATE(PlanYear,5,1),0),IF(ISNUMBER($G882),$G882,$F882)&gt;=DATE(PlanYear,5,1)),1,0))</f>
        <v>0</v>
      </c>
      <c r="T882">
        <f>IF($N882=0,0,IF(AND($F882&lt;=EOMONTH(DATE(PlanYear,6,1),0),IF(ISNUMBER($G882),$G882,$F882)&gt;=DATE(PlanYear,6,1)),1,0))</f>
        <v>0</v>
      </c>
      <c r="U882">
        <f>IF($N882=0,0,IF(AND($F882&lt;=EOMONTH(DATE(PlanYear,7,1),0),IF(ISNUMBER($G882),$G882,$F882)&gt;=DATE(PlanYear,7,1)),1,0))</f>
        <v>0</v>
      </c>
      <c r="V882">
        <f>IF($N882=0,0,IF(AND($F882&lt;=EOMONTH(DATE(PlanYear,8,1),0),IF(ISNUMBER($G882),$G882,$F882)&gt;=DATE(PlanYear,8,1)),1,0))</f>
        <v>0</v>
      </c>
      <c r="W882">
        <f>IF($N882=0,0,IF(AND($F882&lt;=EOMONTH(DATE(PlanYear,9,1),0),IF(ISNUMBER($G882),$G882,$F882)&gt;=DATE(PlanYear,9,1)),1,0))</f>
        <v>0</v>
      </c>
      <c r="X882">
        <f>IF($N882=0,0,IF(AND($F882&lt;=EOMONTH(DATE(PlanYear,10,1),0),IF(ISNUMBER($G882),$G882,$F882)&gt;=DATE(PlanYear,10,1)),1,0))</f>
        <v>0</v>
      </c>
      <c r="Y882">
        <f>IF($N882=0,0,IF(AND($F882&lt;=EOMONTH(DATE(PlanYear,11,1),0),IF(ISNUMBER($G882),$G882,$F882)&gt;=DATE(PlanYear,11,1)),1,0))</f>
        <v>0</v>
      </c>
      <c r="Z882">
        <f>IF($N882=0,0,IF(AND($F882&lt;=EOMONTH(DATE(PlanYear,12,1),0),IF(ISNUMBER($G882),$G882,$F882)&gt;=DATE(PlanYear,12,1)),1,0))</f>
        <v>0</v>
      </c>
      <c r="AA882">
        <f>SUM($O882:$Z882)</f>
        <v>0</v>
      </c>
    </row>
    <row r="883" spans="1:27">
      <c r="A883" s="42">
        <f>IF($B883="","","ACT-"&amp;TEXT(ROW()-4,"000"))</f>
        <v>0</v>
      </c>
      <c r="M883" s="43">
        <f>IF(COUNTA($B883:$K883)=0,"",IF($B883="","Missing activity name",IF($C883="","Missing practice",IF(COUNTIF(PracticeNames,$C883)=0,"Practice not in Lists",IF($D883="","Missing motion",IF(NOT(ISNUMBER($F883)),"Missing or invalid start date",IF(AND(ISNUMBER($G883),$G883&lt;$F883),"End date before start",IF(AND($N883=1,$AA883=0),"Outside planning year","OK"))))))))</f>
        <v>0</v>
      </c>
      <c r="N883">
        <f>IF(AND($B883&lt;&gt;"",$C883&lt;&gt;"",$D883&lt;&gt;"",ISNUMBER($F883),COUNTIF(PracticeNames,$C883)&gt;0,COUNTIF(MotionNames,$D883)&gt;0,NOT(AND(ISNUMBER($G883),$G883&lt;$F883))),IF(StatusFilter="All (excl. Cancelled)",IF($H883="Cancelled",0,1),IF(StatusFilter="All",1,IF($H883=StatusFilter,1,0))),0)</f>
        <v>0</v>
      </c>
      <c r="O883">
        <f>IF($N883=0,0,IF(AND($F883&lt;=EOMONTH(DATE(PlanYear,1,1),0),IF(ISNUMBER($G883),$G883,$F883)&gt;=DATE(PlanYear,1,1)),1,0))</f>
        <v>0</v>
      </c>
      <c r="P883">
        <f>IF($N883=0,0,IF(AND($F883&lt;=EOMONTH(DATE(PlanYear,2,1),0),IF(ISNUMBER($G883),$G883,$F883)&gt;=DATE(PlanYear,2,1)),1,0))</f>
        <v>0</v>
      </c>
      <c r="Q883">
        <f>IF($N883=0,0,IF(AND($F883&lt;=EOMONTH(DATE(PlanYear,3,1),0),IF(ISNUMBER($G883),$G883,$F883)&gt;=DATE(PlanYear,3,1)),1,0))</f>
        <v>0</v>
      </c>
      <c r="R883">
        <f>IF($N883=0,0,IF(AND($F883&lt;=EOMONTH(DATE(PlanYear,4,1),0),IF(ISNUMBER($G883),$G883,$F883)&gt;=DATE(PlanYear,4,1)),1,0))</f>
        <v>0</v>
      </c>
      <c r="S883">
        <f>IF($N883=0,0,IF(AND($F883&lt;=EOMONTH(DATE(PlanYear,5,1),0),IF(ISNUMBER($G883),$G883,$F883)&gt;=DATE(PlanYear,5,1)),1,0))</f>
        <v>0</v>
      </c>
      <c r="T883">
        <f>IF($N883=0,0,IF(AND($F883&lt;=EOMONTH(DATE(PlanYear,6,1),0),IF(ISNUMBER($G883),$G883,$F883)&gt;=DATE(PlanYear,6,1)),1,0))</f>
        <v>0</v>
      </c>
      <c r="U883">
        <f>IF($N883=0,0,IF(AND($F883&lt;=EOMONTH(DATE(PlanYear,7,1),0),IF(ISNUMBER($G883),$G883,$F883)&gt;=DATE(PlanYear,7,1)),1,0))</f>
        <v>0</v>
      </c>
      <c r="V883">
        <f>IF($N883=0,0,IF(AND($F883&lt;=EOMONTH(DATE(PlanYear,8,1),0),IF(ISNUMBER($G883),$G883,$F883)&gt;=DATE(PlanYear,8,1)),1,0))</f>
        <v>0</v>
      </c>
      <c r="W883">
        <f>IF($N883=0,0,IF(AND($F883&lt;=EOMONTH(DATE(PlanYear,9,1),0),IF(ISNUMBER($G883),$G883,$F883)&gt;=DATE(PlanYear,9,1)),1,0))</f>
        <v>0</v>
      </c>
      <c r="X883">
        <f>IF($N883=0,0,IF(AND($F883&lt;=EOMONTH(DATE(PlanYear,10,1),0),IF(ISNUMBER($G883),$G883,$F883)&gt;=DATE(PlanYear,10,1)),1,0))</f>
        <v>0</v>
      </c>
      <c r="Y883">
        <f>IF($N883=0,0,IF(AND($F883&lt;=EOMONTH(DATE(PlanYear,11,1),0),IF(ISNUMBER($G883),$G883,$F883)&gt;=DATE(PlanYear,11,1)),1,0))</f>
        <v>0</v>
      </c>
      <c r="Z883">
        <f>IF($N883=0,0,IF(AND($F883&lt;=EOMONTH(DATE(PlanYear,12,1),0),IF(ISNUMBER($G883),$G883,$F883)&gt;=DATE(PlanYear,12,1)),1,0))</f>
        <v>0</v>
      </c>
      <c r="AA883">
        <f>SUM($O883:$Z883)</f>
        <v>0</v>
      </c>
    </row>
    <row r="884" spans="1:27">
      <c r="A884" s="42">
        <f>IF($B884="","","ACT-"&amp;TEXT(ROW()-4,"000"))</f>
        <v>0</v>
      </c>
      <c r="M884" s="43">
        <f>IF(COUNTA($B884:$K884)=0,"",IF($B884="","Missing activity name",IF($C884="","Missing practice",IF(COUNTIF(PracticeNames,$C884)=0,"Practice not in Lists",IF($D884="","Missing motion",IF(NOT(ISNUMBER($F884)),"Missing or invalid start date",IF(AND(ISNUMBER($G884),$G884&lt;$F884),"End date before start",IF(AND($N884=1,$AA884=0),"Outside planning year","OK"))))))))</f>
        <v>0</v>
      </c>
      <c r="N884">
        <f>IF(AND($B884&lt;&gt;"",$C884&lt;&gt;"",$D884&lt;&gt;"",ISNUMBER($F884),COUNTIF(PracticeNames,$C884)&gt;0,COUNTIF(MotionNames,$D884)&gt;0,NOT(AND(ISNUMBER($G884),$G884&lt;$F884))),IF(StatusFilter="All (excl. Cancelled)",IF($H884="Cancelled",0,1),IF(StatusFilter="All",1,IF($H884=StatusFilter,1,0))),0)</f>
        <v>0</v>
      </c>
      <c r="O884">
        <f>IF($N884=0,0,IF(AND($F884&lt;=EOMONTH(DATE(PlanYear,1,1),0),IF(ISNUMBER($G884),$G884,$F884)&gt;=DATE(PlanYear,1,1)),1,0))</f>
        <v>0</v>
      </c>
      <c r="P884">
        <f>IF($N884=0,0,IF(AND($F884&lt;=EOMONTH(DATE(PlanYear,2,1),0),IF(ISNUMBER($G884),$G884,$F884)&gt;=DATE(PlanYear,2,1)),1,0))</f>
        <v>0</v>
      </c>
      <c r="Q884">
        <f>IF($N884=0,0,IF(AND($F884&lt;=EOMONTH(DATE(PlanYear,3,1),0),IF(ISNUMBER($G884),$G884,$F884)&gt;=DATE(PlanYear,3,1)),1,0))</f>
        <v>0</v>
      </c>
      <c r="R884">
        <f>IF($N884=0,0,IF(AND($F884&lt;=EOMONTH(DATE(PlanYear,4,1),0),IF(ISNUMBER($G884),$G884,$F884)&gt;=DATE(PlanYear,4,1)),1,0))</f>
        <v>0</v>
      </c>
      <c r="S884">
        <f>IF($N884=0,0,IF(AND($F884&lt;=EOMONTH(DATE(PlanYear,5,1),0),IF(ISNUMBER($G884),$G884,$F884)&gt;=DATE(PlanYear,5,1)),1,0))</f>
        <v>0</v>
      </c>
      <c r="T884">
        <f>IF($N884=0,0,IF(AND($F884&lt;=EOMONTH(DATE(PlanYear,6,1),0),IF(ISNUMBER($G884),$G884,$F884)&gt;=DATE(PlanYear,6,1)),1,0))</f>
        <v>0</v>
      </c>
      <c r="U884">
        <f>IF($N884=0,0,IF(AND($F884&lt;=EOMONTH(DATE(PlanYear,7,1),0),IF(ISNUMBER($G884),$G884,$F884)&gt;=DATE(PlanYear,7,1)),1,0))</f>
        <v>0</v>
      </c>
      <c r="V884">
        <f>IF($N884=0,0,IF(AND($F884&lt;=EOMONTH(DATE(PlanYear,8,1),0),IF(ISNUMBER($G884),$G884,$F884)&gt;=DATE(PlanYear,8,1)),1,0))</f>
        <v>0</v>
      </c>
      <c r="W884">
        <f>IF($N884=0,0,IF(AND($F884&lt;=EOMONTH(DATE(PlanYear,9,1),0),IF(ISNUMBER($G884),$G884,$F884)&gt;=DATE(PlanYear,9,1)),1,0))</f>
        <v>0</v>
      </c>
      <c r="X884">
        <f>IF($N884=0,0,IF(AND($F884&lt;=EOMONTH(DATE(PlanYear,10,1),0),IF(ISNUMBER($G884),$G884,$F884)&gt;=DATE(PlanYear,10,1)),1,0))</f>
        <v>0</v>
      </c>
      <c r="Y884">
        <f>IF($N884=0,0,IF(AND($F884&lt;=EOMONTH(DATE(PlanYear,11,1),0),IF(ISNUMBER($G884),$G884,$F884)&gt;=DATE(PlanYear,11,1)),1,0))</f>
        <v>0</v>
      </c>
      <c r="Z884">
        <f>IF($N884=0,0,IF(AND($F884&lt;=EOMONTH(DATE(PlanYear,12,1),0),IF(ISNUMBER($G884),$G884,$F884)&gt;=DATE(PlanYear,12,1)),1,0))</f>
        <v>0</v>
      </c>
      <c r="AA884">
        <f>SUM($O884:$Z884)</f>
        <v>0</v>
      </c>
    </row>
    <row r="885" spans="1:27">
      <c r="A885" s="42">
        <f>IF($B885="","","ACT-"&amp;TEXT(ROW()-4,"000"))</f>
        <v>0</v>
      </c>
      <c r="M885" s="43">
        <f>IF(COUNTA($B885:$K885)=0,"",IF($B885="","Missing activity name",IF($C885="","Missing practice",IF(COUNTIF(PracticeNames,$C885)=0,"Practice not in Lists",IF($D885="","Missing motion",IF(NOT(ISNUMBER($F885)),"Missing or invalid start date",IF(AND(ISNUMBER($G885),$G885&lt;$F885),"End date before start",IF(AND($N885=1,$AA885=0),"Outside planning year","OK"))))))))</f>
        <v>0</v>
      </c>
      <c r="N885">
        <f>IF(AND($B885&lt;&gt;"",$C885&lt;&gt;"",$D885&lt;&gt;"",ISNUMBER($F885),COUNTIF(PracticeNames,$C885)&gt;0,COUNTIF(MotionNames,$D885)&gt;0,NOT(AND(ISNUMBER($G885),$G885&lt;$F885))),IF(StatusFilter="All (excl. Cancelled)",IF($H885="Cancelled",0,1),IF(StatusFilter="All",1,IF($H885=StatusFilter,1,0))),0)</f>
        <v>0</v>
      </c>
      <c r="O885">
        <f>IF($N885=0,0,IF(AND($F885&lt;=EOMONTH(DATE(PlanYear,1,1),0),IF(ISNUMBER($G885),$G885,$F885)&gt;=DATE(PlanYear,1,1)),1,0))</f>
        <v>0</v>
      </c>
      <c r="P885">
        <f>IF($N885=0,0,IF(AND($F885&lt;=EOMONTH(DATE(PlanYear,2,1),0),IF(ISNUMBER($G885),$G885,$F885)&gt;=DATE(PlanYear,2,1)),1,0))</f>
        <v>0</v>
      </c>
      <c r="Q885">
        <f>IF($N885=0,0,IF(AND($F885&lt;=EOMONTH(DATE(PlanYear,3,1),0),IF(ISNUMBER($G885),$G885,$F885)&gt;=DATE(PlanYear,3,1)),1,0))</f>
        <v>0</v>
      </c>
      <c r="R885">
        <f>IF($N885=0,0,IF(AND($F885&lt;=EOMONTH(DATE(PlanYear,4,1),0),IF(ISNUMBER($G885),$G885,$F885)&gt;=DATE(PlanYear,4,1)),1,0))</f>
        <v>0</v>
      </c>
      <c r="S885">
        <f>IF($N885=0,0,IF(AND($F885&lt;=EOMONTH(DATE(PlanYear,5,1),0),IF(ISNUMBER($G885),$G885,$F885)&gt;=DATE(PlanYear,5,1)),1,0))</f>
        <v>0</v>
      </c>
      <c r="T885">
        <f>IF($N885=0,0,IF(AND($F885&lt;=EOMONTH(DATE(PlanYear,6,1),0),IF(ISNUMBER($G885),$G885,$F885)&gt;=DATE(PlanYear,6,1)),1,0))</f>
        <v>0</v>
      </c>
      <c r="U885">
        <f>IF($N885=0,0,IF(AND($F885&lt;=EOMONTH(DATE(PlanYear,7,1),0),IF(ISNUMBER($G885),$G885,$F885)&gt;=DATE(PlanYear,7,1)),1,0))</f>
        <v>0</v>
      </c>
      <c r="V885">
        <f>IF($N885=0,0,IF(AND($F885&lt;=EOMONTH(DATE(PlanYear,8,1),0),IF(ISNUMBER($G885),$G885,$F885)&gt;=DATE(PlanYear,8,1)),1,0))</f>
        <v>0</v>
      </c>
      <c r="W885">
        <f>IF($N885=0,0,IF(AND($F885&lt;=EOMONTH(DATE(PlanYear,9,1),0),IF(ISNUMBER($G885),$G885,$F885)&gt;=DATE(PlanYear,9,1)),1,0))</f>
        <v>0</v>
      </c>
      <c r="X885">
        <f>IF($N885=0,0,IF(AND($F885&lt;=EOMONTH(DATE(PlanYear,10,1),0),IF(ISNUMBER($G885),$G885,$F885)&gt;=DATE(PlanYear,10,1)),1,0))</f>
        <v>0</v>
      </c>
      <c r="Y885">
        <f>IF($N885=0,0,IF(AND($F885&lt;=EOMONTH(DATE(PlanYear,11,1),0),IF(ISNUMBER($G885),$G885,$F885)&gt;=DATE(PlanYear,11,1)),1,0))</f>
        <v>0</v>
      </c>
      <c r="Z885">
        <f>IF($N885=0,0,IF(AND($F885&lt;=EOMONTH(DATE(PlanYear,12,1),0),IF(ISNUMBER($G885),$G885,$F885)&gt;=DATE(PlanYear,12,1)),1,0))</f>
        <v>0</v>
      </c>
      <c r="AA885">
        <f>SUM($O885:$Z885)</f>
        <v>0</v>
      </c>
    </row>
    <row r="886" spans="1:27">
      <c r="A886" s="42">
        <f>IF($B886="","","ACT-"&amp;TEXT(ROW()-4,"000"))</f>
        <v>0</v>
      </c>
      <c r="M886" s="43">
        <f>IF(COUNTA($B886:$K886)=0,"",IF($B886="","Missing activity name",IF($C886="","Missing practice",IF(COUNTIF(PracticeNames,$C886)=0,"Practice not in Lists",IF($D886="","Missing motion",IF(NOT(ISNUMBER($F886)),"Missing or invalid start date",IF(AND(ISNUMBER($G886),$G886&lt;$F886),"End date before start",IF(AND($N886=1,$AA886=0),"Outside planning year","OK"))))))))</f>
        <v>0</v>
      </c>
      <c r="N886">
        <f>IF(AND($B886&lt;&gt;"",$C886&lt;&gt;"",$D886&lt;&gt;"",ISNUMBER($F886),COUNTIF(PracticeNames,$C886)&gt;0,COUNTIF(MotionNames,$D886)&gt;0,NOT(AND(ISNUMBER($G886),$G886&lt;$F886))),IF(StatusFilter="All (excl. Cancelled)",IF($H886="Cancelled",0,1),IF(StatusFilter="All",1,IF($H886=StatusFilter,1,0))),0)</f>
        <v>0</v>
      </c>
      <c r="O886">
        <f>IF($N886=0,0,IF(AND($F886&lt;=EOMONTH(DATE(PlanYear,1,1),0),IF(ISNUMBER($G886),$G886,$F886)&gt;=DATE(PlanYear,1,1)),1,0))</f>
        <v>0</v>
      </c>
      <c r="P886">
        <f>IF($N886=0,0,IF(AND($F886&lt;=EOMONTH(DATE(PlanYear,2,1),0),IF(ISNUMBER($G886),$G886,$F886)&gt;=DATE(PlanYear,2,1)),1,0))</f>
        <v>0</v>
      </c>
      <c r="Q886">
        <f>IF($N886=0,0,IF(AND($F886&lt;=EOMONTH(DATE(PlanYear,3,1),0),IF(ISNUMBER($G886),$G886,$F886)&gt;=DATE(PlanYear,3,1)),1,0))</f>
        <v>0</v>
      </c>
      <c r="R886">
        <f>IF($N886=0,0,IF(AND($F886&lt;=EOMONTH(DATE(PlanYear,4,1),0),IF(ISNUMBER($G886),$G886,$F886)&gt;=DATE(PlanYear,4,1)),1,0))</f>
        <v>0</v>
      </c>
      <c r="S886">
        <f>IF($N886=0,0,IF(AND($F886&lt;=EOMONTH(DATE(PlanYear,5,1),0),IF(ISNUMBER($G886),$G886,$F886)&gt;=DATE(PlanYear,5,1)),1,0))</f>
        <v>0</v>
      </c>
      <c r="T886">
        <f>IF($N886=0,0,IF(AND($F886&lt;=EOMONTH(DATE(PlanYear,6,1),0),IF(ISNUMBER($G886),$G886,$F886)&gt;=DATE(PlanYear,6,1)),1,0))</f>
        <v>0</v>
      </c>
      <c r="U886">
        <f>IF($N886=0,0,IF(AND($F886&lt;=EOMONTH(DATE(PlanYear,7,1),0),IF(ISNUMBER($G886),$G886,$F886)&gt;=DATE(PlanYear,7,1)),1,0))</f>
        <v>0</v>
      </c>
      <c r="V886">
        <f>IF($N886=0,0,IF(AND($F886&lt;=EOMONTH(DATE(PlanYear,8,1),0),IF(ISNUMBER($G886),$G886,$F886)&gt;=DATE(PlanYear,8,1)),1,0))</f>
        <v>0</v>
      </c>
      <c r="W886">
        <f>IF($N886=0,0,IF(AND($F886&lt;=EOMONTH(DATE(PlanYear,9,1),0),IF(ISNUMBER($G886),$G886,$F886)&gt;=DATE(PlanYear,9,1)),1,0))</f>
        <v>0</v>
      </c>
      <c r="X886">
        <f>IF($N886=0,0,IF(AND($F886&lt;=EOMONTH(DATE(PlanYear,10,1),0),IF(ISNUMBER($G886),$G886,$F886)&gt;=DATE(PlanYear,10,1)),1,0))</f>
        <v>0</v>
      </c>
      <c r="Y886">
        <f>IF($N886=0,0,IF(AND($F886&lt;=EOMONTH(DATE(PlanYear,11,1),0),IF(ISNUMBER($G886),$G886,$F886)&gt;=DATE(PlanYear,11,1)),1,0))</f>
        <v>0</v>
      </c>
      <c r="Z886">
        <f>IF($N886=0,0,IF(AND($F886&lt;=EOMONTH(DATE(PlanYear,12,1),0),IF(ISNUMBER($G886),$G886,$F886)&gt;=DATE(PlanYear,12,1)),1,0))</f>
        <v>0</v>
      </c>
      <c r="AA886">
        <f>SUM($O886:$Z886)</f>
        <v>0</v>
      </c>
    </row>
    <row r="887" spans="1:27">
      <c r="A887" s="42">
        <f>IF($B887="","","ACT-"&amp;TEXT(ROW()-4,"000"))</f>
        <v>0</v>
      </c>
      <c r="M887" s="43">
        <f>IF(COUNTA($B887:$K887)=0,"",IF($B887="","Missing activity name",IF($C887="","Missing practice",IF(COUNTIF(PracticeNames,$C887)=0,"Practice not in Lists",IF($D887="","Missing motion",IF(NOT(ISNUMBER($F887)),"Missing or invalid start date",IF(AND(ISNUMBER($G887),$G887&lt;$F887),"End date before start",IF(AND($N887=1,$AA887=0),"Outside planning year","OK"))))))))</f>
        <v>0</v>
      </c>
      <c r="N887">
        <f>IF(AND($B887&lt;&gt;"",$C887&lt;&gt;"",$D887&lt;&gt;"",ISNUMBER($F887),COUNTIF(PracticeNames,$C887)&gt;0,COUNTIF(MotionNames,$D887)&gt;0,NOT(AND(ISNUMBER($G887),$G887&lt;$F887))),IF(StatusFilter="All (excl. Cancelled)",IF($H887="Cancelled",0,1),IF(StatusFilter="All",1,IF($H887=StatusFilter,1,0))),0)</f>
        <v>0</v>
      </c>
      <c r="O887">
        <f>IF($N887=0,0,IF(AND($F887&lt;=EOMONTH(DATE(PlanYear,1,1),0),IF(ISNUMBER($G887),$G887,$F887)&gt;=DATE(PlanYear,1,1)),1,0))</f>
        <v>0</v>
      </c>
      <c r="P887">
        <f>IF($N887=0,0,IF(AND($F887&lt;=EOMONTH(DATE(PlanYear,2,1),0),IF(ISNUMBER($G887),$G887,$F887)&gt;=DATE(PlanYear,2,1)),1,0))</f>
        <v>0</v>
      </c>
      <c r="Q887">
        <f>IF($N887=0,0,IF(AND($F887&lt;=EOMONTH(DATE(PlanYear,3,1),0),IF(ISNUMBER($G887),$G887,$F887)&gt;=DATE(PlanYear,3,1)),1,0))</f>
        <v>0</v>
      </c>
      <c r="R887">
        <f>IF($N887=0,0,IF(AND($F887&lt;=EOMONTH(DATE(PlanYear,4,1),0),IF(ISNUMBER($G887),$G887,$F887)&gt;=DATE(PlanYear,4,1)),1,0))</f>
        <v>0</v>
      </c>
      <c r="S887">
        <f>IF($N887=0,0,IF(AND($F887&lt;=EOMONTH(DATE(PlanYear,5,1),0),IF(ISNUMBER($G887),$G887,$F887)&gt;=DATE(PlanYear,5,1)),1,0))</f>
        <v>0</v>
      </c>
      <c r="T887">
        <f>IF($N887=0,0,IF(AND($F887&lt;=EOMONTH(DATE(PlanYear,6,1),0),IF(ISNUMBER($G887),$G887,$F887)&gt;=DATE(PlanYear,6,1)),1,0))</f>
        <v>0</v>
      </c>
      <c r="U887">
        <f>IF($N887=0,0,IF(AND($F887&lt;=EOMONTH(DATE(PlanYear,7,1),0),IF(ISNUMBER($G887),$G887,$F887)&gt;=DATE(PlanYear,7,1)),1,0))</f>
        <v>0</v>
      </c>
      <c r="V887">
        <f>IF($N887=0,0,IF(AND($F887&lt;=EOMONTH(DATE(PlanYear,8,1),0),IF(ISNUMBER($G887),$G887,$F887)&gt;=DATE(PlanYear,8,1)),1,0))</f>
        <v>0</v>
      </c>
      <c r="W887">
        <f>IF($N887=0,0,IF(AND($F887&lt;=EOMONTH(DATE(PlanYear,9,1),0),IF(ISNUMBER($G887),$G887,$F887)&gt;=DATE(PlanYear,9,1)),1,0))</f>
        <v>0</v>
      </c>
      <c r="X887">
        <f>IF($N887=0,0,IF(AND($F887&lt;=EOMONTH(DATE(PlanYear,10,1),0),IF(ISNUMBER($G887),$G887,$F887)&gt;=DATE(PlanYear,10,1)),1,0))</f>
        <v>0</v>
      </c>
      <c r="Y887">
        <f>IF($N887=0,0,IF(AND($F887&lt;=EOMONTH(DATE(PlanYear,11,1),0),IF(ISNUMBER($G887),$G887,$F887)&gt;=DATE(PlanYear,11,1)),1,0))</f>
        <v>0</v>
      </c>
      <c r="Z887">
        <f>IF($N887=0,0,IF(AND($F887&lt;=EOMONTH(DATE(PlanYear,12,1),0),IF(ISNUMBER($G887),$G887,$F887)&gt;=DATE(PlanYear,12,1)),1,0))</f>
        <v>0</v>
      </c>
      <c r="AA887">
        <f>SUM($O887:$Z887)</f>
        <v>0</v>
      </c>
    </row>
    <row r="888" spans="1:27">
      <c r="A888" s="42">
        <f>IF($B888="","","ACT-"&amp;TEXT(ROW()-4,"000"))</f>
        <v>0</v>
      </c>
      <c r="M888" s="43">
        <f>IF(COUNTA($B888:$K888)=0,"",IF($B888="","Missing activity name",IF($C888="","Missing practice",IF(COUNTIF(PracticeNames,$C888)=0,"Practice not in Lists",IF($D888="","Missing motion",IF(NOT(ISNUMBER($F888)),"Missing or invalid start date",IF(AND(ISNUMBER($G888),$G888&lt;$F888),"End date before start",IF(AND($N888=1,$AA888=0),"Outside planning year","OK"))))))))</f>
        <v>0</v>
      </c>
      <c r="N888">
        <f>IF(AND($B888&lt;&gt;"",$C888&lt;&gt;"",$D888&lt;&gt;"",ISNUMBER($F888),COUNTIF(PracticeNames,$C888)&gt;0,COUNTIF(MotionNames,$D888)&gt;0,NOT(AND(ISNUMBER($G888),$G888&lt;$F888))),IF(StatusFilter="All (excl. Cancelled)",IF($H888="Cancelled",0,1),IF(StatusFilter="All",1,IF($H888=StatusFilter,1,0))),0)</f>
        <v>0</v>
      </c>
      <c r="O888">
        <f>IF($N888=0,0,IF(AND($F888&lt;=EOMONTH(DATE(PlanYear,1,1),0),IF(ISNUMBER($G888),$G888,$F888)&gt;=DATE(PlanYear,1,1)),1,0))</f>
        <v>0</v>
      </c>
      <c r="P888">
        <f>IF($N888=0,0,IF(AND($F888&lt;=EOMONTH(DATE(PlanYear,2,1),0),IF(ISNUMBER($G888),$G888,$F888)&gt;=DATE(PlanYear,2,1)),1,0))</f>
        <v>0</v>
      </c>
      <c r="Q888">
        <f>IF($N888=0,0,IF(AND($F888&lt;=EOMONTH(DATE(PlanYear,3,1),0),IF(ISNUMBER($G888),$G888,$F888)&gt;=DATE(PlanYear,3,1)),1,0))</f>
        <v>0</v>
      </c>
      <c r="R888">
        <f>IF($N888=0,0,IF(AND($F888&lt;=EOMONTH(DATE(PlanYear,4,1),0),IF(ISNUMBER($G888),$G888,$F888)&gt;=DATE(PlanYear,4,1)),1,0))</f>
        <v>0</v>
      </c>
      <c r="S888">
        <f>IF($N888=0,0,IF(AND($F888&lt;=EOMONTH(DATE(PlanYear,5,1),0),IF(ISNUMBER($G888),$G888,$F888)&gt;=DATE(PlanYear,5,1)),1,0))</f>
        <v>0</v>
      </c>
      <c r="T888">
        <f>IF($N888=0,0,IF(AND($F888&lt;=EOMONTH(DATE(PlanYear,6,1),0),IF(ISNUMBER($G888),$G888,$F888)&gt;=DATE(PlanYear,6,1)),1,0))</f>
        <v>0</v>
      </c>
      <c r="U888">
        <f>IF($N888=0,0,IF(AND($F888&lt;=EOMONTH(DATE(PlanYear,7,1),0),IF(ISNUMBER($G888),$G888,$F888)&gt;=DATE(PlanYear,7,1)),1,0))</f>
        <v>0</v>
      </c>
      <c r="V888">
        <f>IF($N888=0,0,IF(AND($F888&lt;=EOMONTH(DATE(PlanYear,8,1),0),IF(ISNUMBER($G888),$G888,$F888)&gt;=DATE(PlanYear,8,1)),1,0))</f>
        <v>0</v>
      </c>
      <c r="W888">
        <f>IF($N888=0,0,IF(AND($F888&lt;=EOMONTH(DATE(PlanYear,9,1),0),IF(ISNUMBER($G888),$G888,$F888)&gt;=DATE(PlanYear,9,1)),1,0))</f>
        <v>0</v>
      </c>
      <c r="X888">
        <f>IF($N888=0,0,IF(AND($F888&lt;=EOMONTH(DATE(PlanYear,10,1),0),IF(ISNUMBER($G888),$G888,$F888)&gt;=DATE(PlanYear,10,1)),1,0))</f>
        <v>0</v>
      </c>
      <c r="Y888">
        <f>IF($N888=0,0,IF(AND($F888&lt;=EOMONTH(DATE(PlanYear,11,1),0),IF(ISNUMBER($G888),$G888,$F888)&gt;=DATE(PlanYear,11,1)),1,0))</f>
        <v>0</v>
      </c>
      <c r="Z888">
        <f>IF($N888=0,0,IF(AND($F888&lt;=EOMONTH(DATE(PlanYear,12,1),0),IF(ISNUMBER($G888),$G888,$F888)&gt;=DATE(PlanYear,12,1)),1,0))</f>
        <v>0</v>
      </c>
      <c r="AA888">
        <f>SUM($O888:$Z888)</f>
        <v>0</v>
      </c>
    </row>
    <row r="889" spans="1:27">
      <c r="A889" s="42">
        <f>IF($B889="","","ACT-"&amp;TEXT(ROW()-4,"000"))</f>
        <v>0</v>
      </c>
      <c r="M889" s="43">
        <f>IF(COUNTA($B889:$K889)=0,"",IF($B889="","Missing activity name",IF($C889="","Missing practice",IF(COUNTIF(PracticeNames,$C889)=0,"Practice not in Lists",IF($D889="","Missing motion",IF(NOT(ISNUMBER($F889)),"Missing or invalid start date",IF(AND(ISNUMBER($G889),$G889&lt;$F889),"End date before start",IF(AND($N889=1,$AA889=0),"Outside planning year","OK"))))))))</f>
        <v>0</v>
      </c>
      <c r="N889">
        <f>IF(AND($B889&lt;&gt;"",$C889&lt;&gt;"",$D889&lt;&gt;"",ISNUMBER($F889),COUNTIF(PracticeNames,$C889)&gt;0,COUNTIF(MotionNames,$D889)&gt;0,NOT(AND(ISNUMBER($G889),$G889&lt;$F889))),IF(StatusFilter="All (excl. Cancelled)",IF($H889="Cancelled",0,1),IF(StatusFilter="All",1,IF($H889=StatusFilter,1,0))),0)</f>
        <v>0</v>
      </c>
      <c r="O889">
        <f>IF($N889=0,0,IF(AND($F889&lt;=EOMONTH(DATE(PlanYear,1,1),0),IF(ISNUMBER($G889),$G889,$F889)&gt;=DATE(PlanYear,1,1)),1,0))</f>
        <v>0</v>
      </c>
      <c r="P889">
        <f>IF($N889=0,0,IF(AND($F889&lt;=EOMONTH(DATE(PlanYear,2,1),0),IF(ISNUMBER($G889),$G889,$F889)&gt;=DATE(PlanYear,2,1)),1,0))</f>
        <v>0</v>
      </c>
      <c r="Q889">
        <f>IF($N889=0,0,IF(AND($F889&lt;=EOMONTH(DATE(PlanYear,3,1),0),IF(ISNUMBER($G889),$G889,$F889)&gt;=DATE(PlanYear,3,1)),1,0))</f>
        <v>0</v>
      </c>
      <c r="R889">
        <f>IF($N889=0,0,IF(AND($F889&lt;=EOMONTH(DATE(PlanYear,4,1),0),IF(ISNUMBER($G889),$G889,$F889)&gt;=DATE(PlanYear,4,1)),1,0))</f>
        <v>0</v>
      </c>
      <c r="S889">
        <f>IF($N889=0,0,IF(AND($F889&lt;=EOMONTH(DATE(PlanYear,5,1),0),IF(ISNUMBER($G889),$G889,$F889)&gt;=DATE(PlanYear,5,1)),1,0))</f>
        <v>0</v>
      </c>
      <c r="T889">
        <f>IF($N889=0,0,IF(AND($F889&lt;=EOMONTH(DATE(PlanYear,6,1),0),IF(ISNUMBER($G889),$G889,$F889)&gt;=DATE(PlanYear,6,1)),1,0))</f>
        <v>0</v>
      </c>
      <c r="U889">
        <f>IF($N889=0,0,IF(AND($F889&lt;=EOMONTH(DATE(PlanYear,7,1),0),IF(ISNUMBER($G889),$G889,$F889)&gt;=DATE(PlanYear,7,1)),1,0))</f>
        <v>0</v>
      </c>
      <c r="V889">
        <f>IF($N889=0,0,IF(AND($F889&lt;=EOMONTH(DATE(PlanYear,8,1),0),IF(ISNUMBER($G889),$G889,$F889)&gt;=DATE(PlanYear,8,1)),1,0))</f>
        <v>0</v>
      </c>
      <c r="W889">
        <f>IF($N889=0,0,IF(AND($F889&lt;=EOMONTH(DATE(PlanYear,9,1),0),IF(ISNUMBER($G889),$G889,$F889)&gt;=DATE(PlanYear,9,1)),1,0))</f>
        <v>0</v>
      </c>
      <c r="X889">
        <f>IF($N889=0,0,IF(AND($F889&lt;=EOMONTH(DATE(PlanYear,10,1),0),IF(ISNUMBER($G889),$G889,$F889)&gt;=DATE(PlanYear,10,1)),1,0))</f>
        <v>0</v>
      </c>
      <c r="Y889">
        <f>IF($N889=0,0,IF(AND($F889&lt;=EOMONTH(DATE(PlanYear,11,1),0),IF(ISNUMBER($G889),$G889,$F889)&gt;=DATE(PlanYear,11,1)),1,0))</f>
        <v>0</v>
      </c>
      <c r="Z889">
        <f>IF($N889=0,0,IF(AND($F889&lt;=EOMONTH(DATE(PlanYear,12,1),0),IF(ISNUMBER($G889),$G889,$F889)&gt;=DATE(PlanYear,12,1)),1,0))</f>
        <v>0</v>
      </c>
      <c r="AA889">
        <f>SUM($O889:$Z889)</f>
        <v>0</v>
      </c>
    </row>
    <row r="890" spans="1:27">
      <c r="A890" s="42">
        <f>IF($B890="","","ACT-"&amp;TEXT(ROW()-4,"000"))</f>
        <v>0</v>
      </c>
      <c r="M890" s="43">
        <f>IF(COUNTA($B890:$K890)=0,"",IF($B890="","Missing activity name",IF($C890="","Missing practice",IF(COUNTIF(PracticeNames,$C890)=0,"Practice not in Lists",IF($D890="","Missing motion",IF(NOT(ISNUMBER($F890)),"Missing or invalid start date",IF(AND(ISNUMBER($G890),$G890&lt;$F890),"End date before start",IF(AND($N890=1,$AA890=0),"Outside planning year","OK"))))))))</f>
        <v>0</v>
      </c>
      <c r="N890">
        <f>IF(AND($B890&lt;&gt;"",$C890&lt;&gt;"",$D890&lt;&gt;"",ISNUMBER($F890),COUNTIF(PracticeNames,$C890)&gt;0,COUNTIF(MotionNames,$D890)&gt;0,NOT(AND(ISNUMBER($G890),$G890&lt;$F890))),IF(StatusFilter="All (excl. Cancelled)",IF($H890="Cancelled",0,1),IF(StatusFilter="All",1,IF($H890=StatusFilter,1,0))),0)</f>
        <v>0</v>
      </c>
      <c r="O890">
        <f>IF($N890=0,0,IF(AND($F890&lt;=EOMONTH(DATE(PlanYear,1,1),0),IF(ISNUMBER($G890),$G890,$F890)&gt;=DATE(PlanYear,1,1)),1,0))</f>
        <v>0</v>
      </c>
      <c r="P890">
        <f>IF($N890=0,0,IF(AND($F890&lt;=EOMONTH(DATE(PlanYear,2,1),0),IF(ISNUMBER($G890),$G890,$F890)&gt;=DATE(PlanYear,2,1)),1,0))</f>
        <v>0</v>
      </c>
      <c r="Q890">
        <f>IF($N890=0,0,IF(AND($F890&lt;=EOMONTH(DATE(PlanYear,3,1),0),IF(ISNUMBER($G890),$G890,$F890)&gt;=DATE(PlanYear,3,1)),1,0))</f>
        <v>0</v>
      </c>
      <c r="R890">
        <f>IF($N890=0,0,IF(AND($F890&lt;=EOMONTH(DATE(PlanYear,4,1),0),IF(ISNUMBER($G890),$G890,$F890)&gt;=DATE(PlanYear,4,1)),1,0))</f>
        <v>0</v>
      </c>
      <c r="S890">
        <f>IF($N890=0,0,IF(AND($F890&lt;=EOMONTH(DATE(PlanYear,5,1),0),IF(ISNUMBER($G890),$G890,$F890)&gt;=DATE(PlanYear,5,1)),1,0))</f>
        <v>0</v>
      </c>
      <c r="T890">
        <f>IF($N890=0,0,IF(AND($F890&lt;=EOMONTH(DATE(PlanYear,6,1),0),IF(ISNUMBER($G890),$G890,$F890)&gt;=DATE(PlanYear,6,1)),1,0))</f>
        <v>0</v>
      </c>
      <c r="U890">
        <f>IF($N890=0,0,IF(AND($F890&lt;=EOMONTH(DATE(PlanYear,7,1),0),IF(ISNUMBER($G890),$G890,$F890)&gt;=DATE(PlanYear,7,1)),1,0))</f>
        <v>0</v>
      </c>
      <c r="V890">
        <f>IF($N890=0,0,IF(AND($F890&lt;=EOMONTH(DATE(PlanYear,8,1),0),IF(ISNUMBER($G890),$G890,$F890)&gt;=DATE(PlanYear,8,1)),1,0))</f>
        <v>0</v>
      </c>
      <c r="W890">
        <f>IF($N890=0,0,IF(AND($F890&lt;=EOMONTH(DATE(PlanYear,9,1),0),IF(ISNUMBER($G890),$G890,$F890)&gt;=DATE(PlanYear,9,1)),1,0))</f>
        <v>0</v>
      </c>
      <c r="X890">
        <f>IF($N890=0,0,IF(AND($F890&lt;=EOMONTH(DATE(PlanYear,10,1),0),IF(ISNUMBER($G890),$G890,$F890)&gt;=DATE(PlanYear,10,1)),1,0))</f>
        <v>0</v>
      </c>
      <c r="Y890">
        <f>IF($N890=0,0,IF(AND($F890&lt;=EOMONTH(DATE(PlanYear,11,1),0),IF(ISNUMBER($G890),$G890,$F890)&gt;=DATE(PlanYear,11,1)),1,0))</f>
        <v>0</v>
      </c>
      <c r="Z890">
        <f>IF($N890=0,0,IF(AND($F890&lt;=EOMONTH(DATE(PlanYear,12,1),0),IF(ISNUMBER($G890),$G890,$F890)&gt;=DATE(PlanYear,12,1)),1,0))</f>
        <v>0</v>
      </c>
      <c r="AA890">
        <f>SUM($O890:$Z890)</f>
        <v>0</v>
      </c>
    </row>
    <row r="891" spans="1:27">
      <c r="A891" s="42">
        <f>IF($B891="","","ACT-"&amp;TEXT(ROW()-4,"000"))</f>
        <v>0</v>
      </c>
      <c r="M891" s="43">
        <f>IF(COUNTA($B891:$K891)=0,"",IF($B891="","Missing activity name",IF($C891="","Missing practice",IF(COUNTIF(PracticeNames,$C891)=0,"Practice not in Lists",IF($D891="","Missing motion",IF(NOT(ISNUMBER($F891)),"Missing or invalid start date",IF(AND(ISNUMBER($G891),$G891&lt;$F891),"End date before start",IF(AND($N891=1,$AA891=0),"Outside planning year","OK"))))))))</f>
        <v>0</v>
      </c>
      <c r="N891">
        <f>IF(AND($B891&lt;&gt;"",$C891&lt;&gt;"",$D891&lt;&gt;"",ISNUMBER($F891),COUNTIF(PracticeNames,$C891)&gt;0,COUNTIF(MotionNames,$D891)&gt;0,NOT(AND(ISNUMBER($G891),$G891&lt;$F891))),IF(StatusFilter="All (excl. Cancelled)",IF($H891="Cancelled",0,1),IF(StatusFilter="All",1,IF($H891=StatusFilter,1,0))),0)</f>
        <v>0</v>
      </c>
      <c r="O891">
        <f>IF($N891=0,0,IF(AND($F891&lt;=EOMONTH(DATE(PlanYear,1,1),0),IF(ISNUMBER($G891),$G891,$F891)&gt;=DATE(PlanYear,1,1)),1,0))</f>
        <v>0</v>
      </c>
      <c r="P891">
        <f>IF($N891=0,0,IF(AND($F891&lt;=EOMONTH(DATE(PlanYear,2,1),0),IF(ISNUMBER($G891),$G891,$F891)&gt;=DATE(PlanYear,2,1)),1,0))</f>
        <v>0</v>
      </c>
      <c r="Q891">
        <f>IF($N891=0,0,IF(AND($F891&lt;=EOMONTH(DATE(PlanYear,3,1),0),IF(ISNUMBER($G891),$G891,$F891)&gt;=DATE(PlanYear,3,1)),1,0))</f>
        <v>0</v>
      </c>
      <c r="R891">
        <f>IF($N891=0,0,IF(AND($F891&lt;=EOMONTH(DATE(PlanYear,4,1),0),IF(ISNUMBER($G891),$G891,$F891)&gt;=DATE(PlanYear,4,1)),1,0))</f>
        <v>0</v>
      </c>
      <c r="S891">
        <f>IF($N891=0,0,IF(AND($F891&lt;=EOMONTH(DATE(PlanYear,5,1),0),IF(ISNUMBER($G891),$G891,$F891)&gt;=DATE(PlanYear,5,1)),1,0))</f>
        <v>0</v>
      </c>
      <c r="T891">
        <f>IF($N891=0,0,IF(AND($F891&lt;=EOMONTH(DATE(PlanYear,6,1),0),IF(ISNUMBER($G891),$G891,$F891)&gt;=DATE(PlanYear,6,1)),1,0))</f>
        <v>0</v>
      </c>
      <c r="U891">
        <f>IF($N891=0,0,IF(AND($F891&lt;=EOMONTH(DATE(PlanYear,7,1),0),IF(ISNUMBER($G891),$G891,$F891)&gt;=DATE(PlanYear,7,1)),1,0))</f>
        <v>0</v>
      </c>
      <c r="V891">
        <f>IF($N891=0,0,IF(AND($F891&lt;=EOMONTH(DATE(PlanYear,8,1),0),IF(ISNUMBER($G891),$G891,$F891)&gt;=DATE(PlanYear,8,1)),1,0))</f>
        <v>0</v>
      </c>
      <c r="W891">
        <f>IF($N891=0,0,IF(AND($F891&lt;=EOMONTH(DATE(PlanYear,9,1),0),IF(ISNUMBER($G891),$G891,$F891)&gt;=DATE(PlanYear,9,1)),1,0))</f>
        <v>0</v>
      </c>
      <c r="X891">
        <f>IF($N891=0,0,IF(AND($F891&lt;=EOMONTH(DATE(PlanYear,10,1),0),IF(ISNUMBER($G891),$G891,$F891)&gt;=DATE(PlanYear,10,1)),1,0))</f>
        <v>0</v>
      </c>
      <c r="Y891">
        <f>IF($N891=0,0,IF(AND($F891&lt;=EOMONTH(DATE(PlanYear,11,1),0),IF(ISNUMBER($G891),$G891,$F891)&gt;=DATE(PlanYear,11,1)),1,0))</f>
        <v>0</v>
      </c>
      <c r="Z891">
        <f>IF($N891=0,0,IF(AND($F891&lt;=EOMONTH(DATE(PlanYear,12,1),0),IF(ISNUMBER($G891),$G891,$F891)&gt;=DATE(PlanYear,12,1)),1,0))</f>
        <v>0</v>
      </c>
      <c r="AA891">
        <f>SUM($O891:$Z891)</f>
        <v>0</v>
      </c>
    </row>
    <row r="892" spans="1:27">
      <c r="A892" s="42">
        <f>IF($B892="","","ACT-"&amp;TEXT(ROW()-4,"000"))</f>
        <v>0</v>
      </c>
      <c r="M892" s="43">
        <f>IF(COUNTA($B892:$K892)=0,"",IF($B892="","Missing activity name",IF($C892="","Missing practice",IF(COUNTIF(PracticeNames,$C892)=0,"Practice not in Lists",IF($D892="","Missing motion",IF(NOT(ISNUMBER($F892)),"Missing or invalid start date",IF(AND(ISNUMBER($G892),$G892&lt;$F892),"End date before start",IF(AND($N892=1,$AA892=0),"Outside planning year","OK"))))))))</f>
        <v>0</v>
      </c>
      <c r="N892">
        <f>IF(AND($B892&lt;&gt;"",$C892&lt;&gt;"",$D892&lt;&gt;"",ISNUMBER($F892),COUNTIF(PracticeNames,$C892)&gt;0,COUNTIF(MotionNames,$D892)&gt;0,NOT(AND(ISNUMBER($G892),$G892&lt;$F892))),IF(StatusFilter="All (excl. Cancelled)",IF($H892="Cancelled",0,1),IF(StatusFilter="All",1,IF($H892=StatusFilter,1,0))),0)</f>
        <v>0</v>
      </c>
      <c r="O892">
        <f>IF($N892=0,0,IF(AND($F892&lt;=EOMONTH(DATE(PlanYear,1,1),0),IF(ISNUMBER($G892),$G892,$F892)&gt;=DATE(PlanYear,1,1)),1,0))</f>
        <v>0</v>
      </c>
      <c r="P892">
        <f>IF($N892=0,0,IF(AND($F892&lt;=EOMONTH(DATE(PlanYear,2,1),0),IF(ISNUMBER($G892),$G892,$F892)&gt;=DATE(PlanYear,2,1)),1,0))</f>
        <v>0</v>
      </c>
      <c r="Q892">
        <f>IF($N892=0,0,IF(AND($F892&lt;=EOMONTH(DATE(PlanYear,3,1),0),IF(ISNUMBER($G892),$G892,$F892)&gt;=DATE(PlanYear,3,1)),1,0))</f>
        <v>0</v>
      </c>
      <c r="R892">
        <f>IF($N892=0,0,IF(AND($F892&lt;=EOMONTH(DATE(PlanYear,4,1),0),IF(ISNUMBER($G892),$G892,$F892)&gt;=DATE(PlanYear,4,1)),1,0))</f>
        <v>0</v>
      </c>
      <c r="S892">
        <f>IF($N892=0,0,IF(AND($F892&lt;=EOMONTH(DATE(PlanYear,5,1),0),IF(ISNUMBER($G892),$G892,$F892)&gt;=DATE(PlanYear,5,1)),1,0))</f>
        <v>0</v>
      </c>
      <c r="T892">
        <f>IF($N892=0,0,IF(AND($F892&lt;=EOMONTH(DATE(PlanYear,6,1),0),IF(ISNUMBER($G892),$G892,$F892)&gt;=DATE(PlanYear,6,1)),1,0))</f>
        <v>0</v>
      </c>
      <c r="U892">
        <f>IF($N892=0,0,IF(AND($F892&lt;=EOMONTH(DATE(PlanYear,7,1),0),IF(ISNUMBER($G892),$G892,$F892)&gt;=DATE(PlanYear,7,1)),1,0))</f>
        <v>0</v>
      </c>
      <c r="V892">
        <f>IF($N892=0,0,IF(AND($F892&lt;=EOMONTH(DATE(PlanYear,8,1),0),IF(ISNUMBER($G892),$G892,$F892)&gt;=DATE(PlanYear,8,1)),1,0))</f>
        <v>0</v>
      </c>
      <c r="W892">
        <f>IF($N892=0,0,IF(AND($F892&lt;=EOMONTH(DATE(PlanYear,9,1),0),IF(ISNUMBER($G892),$G892,$F892)&gt;=DATE(PlanYear,9,1)),1,0))</f>
        <v>0</v>
      </c>
      <c r="X892">
        <f>IF($N892=0,0,IF(AND($F892&lt;=EOMONTH(DATE(PlanYear,10,1),0),IF(ISNUMBER($G892),$G892,$F892)&gt;=DATE(PlanYear,10,1)),1,0))</f>
        <v>0</v>
      </c>
      <c r="Y892">
        <f>IF($N892=0,0,IF(AND($F892&lt;=EOMONTH(DATE(PlanYear,11,1),0),IF(ISNUMBER($G892),$G892,$F892)&gt;=DATE(PlanYear,11,1)),1,0))</f>
        <v>0</v>
      </c>
      <c r="Z892">
        <f>IF($N892=0,0,IF(AND($F892&lt;=EOMONTH(DATE(PlanYear,12,1),0),IF(ISNUMBER($G892),$G892,$F892)&gt;=DATE(PlanYear,12,1)),1,0))</f>
        <v>0</v>
      </c>
      <c r="AA892">
        <f>SUM($O892:$Z892)</f>
        <v>0</v>
      </c>
    </row>
    <row r="893" spans="1:27">
      <c r="A893" s="42">
        <f>IF($B893="","","ACT-"&amp;TEXT(ROW()-4,"000"))</f>
        <v>0</v>
      </c>
      <c r="M893" s="43">
        <f>IF(COUNTA($B893:$K893)=0,"",IF($B893="","Missing activity name",IF($C893="","Missing practice",IF(COUNTIF(PracticeNames,$C893)=0,"Practice not in Lists",IF($D893="","Missing motion",IF(NOT(ISNUMBER($F893)),"Missing or invalid start date",IF(AND(ISNUMBER($G893),$G893&lt;$F893),"End date before start",IF(AND($N893=1,$AA893=0),"Outside planning year","OK"))))))))</f>
        <v>0</v>
      </c>
      <c r="N893">
        <f>IF(AND($B893&lt;&gt;"",$C893&lt;&gt;"",$D893&lt;&gt;"",ISNUMBER($F893),COUNTIF(PracticeNames,$C893)&gt;0,COUNTIF(MotionNames,$D893)&gt;0,NOT(AND(ISNUMBER($G893),$G893&lt;$F893))),IF(StatusFilter="All (excl. Cancelled)",IF($H893="Cancelled",0,1),IF(StatusFilter="All",1,IF($H893=StatusFilter,1,0))),0)</f>
        <v>0</v>
      </c>
      <c r="O893">
        <f>IF($N893=0,0,IF(AND($F893&lt;=EOMONTH(DATE(PlanYear,1,1),0),IF(ISNUMBER($G893),$G893,$F893)&gt;=DATE(PlanYear,1,1)),1,0))</f>
        <v>0</v>
      </c>
      <c r="P893">
        <f>IF($N893=0,0,IF(AND($F893&lt;=EOMONTH(DATE(PlanYear,2,1),0),IF(ISNUMBER($G893),$G893,$F893)&gt;=DATE(PlanYear,2,1)),1,0))</f>
        <v>0</v>
      </c>
      <c r="Q893">
        <f>IF($N893=0,0,IF(AND($F893&lt;=EOMONTH(DATE(PlanYear,3,1),0),IF(ISNUMBER($G893),$G893,$F893)&gt;=DATE(PlanYear,3,1)),1,0))</f>
        <v>0</v>
      </c>
      <c r="R893">
        <f>IF($N893=0,0,IF(AND($F893&lt;=EOMONTH(DATE(PlanYear,4,1),0),IF(ISNUMBER($G893),$G893,$F893)&gt;=DATE(PlanYear,4,1)),1,0))</f>
        <v>0</v>
      </c>
      <c r="S893">
        <f>IF($N893=0,0,IF(AND($F893&lt;=EOMONTH(DATE(PlanYear,5,1),0),IF(ISNUMBER($G893),$G893,$F893)&gt;=DATE(PlanYear,5,1)),1,0))</f>
        <v>0</v>
      </c>
      <c r="T893">
        <f>IF($N893=0,0,IF(AND($F893&lt;=EOMONTH(DATE(PlanYear,6,1),0),IF(ISNUMBER($G893),$G893,$F893)&gt;=DATE(PlanYear,6,1)),1,0))</f>
        <v>0</v>
      </c>
      <c r="U893">
        <f>IF($N893=0,0,IF(AND($F893&lt;=EOMONTH(DATE(PlanYear,7,1),0),IF(ISNUMBER($G893),$G893,$F893)&gt;=DATE(PlanYear,7,1)),1,0))</f>
        <v>0</v>
      </c>
      <c r="V893">
        <f>IF($N893=0,0,IF(AND($F893&lt;=EOMONTH(DATE(PlanYear,8,1),0),IF(ISNUMBER($G893),$G893,$F893)&gt;=DATE(PlanYear,8,1)),1,0))</f>
        <v>0</v>
      </c>
      <c r="W893">
        <f>IF($N893=0,0,IF(AND($F893&lt;=EOMONTH(DATE(PlanYear,9,1),0),IF(ISNUMBER($G893),$G893,$F893)&gt;=DATE(PlanYear,9,1)),1,0))</f>
        <v>0</v>
      </c>
      <c r="X893">
        <f>IF($N893=0,0,IF(AND($F893&lt;=EOMONTH(DATE(PlanYear,10,1),0),IF(ISNUMBER($G893),$G893,$F893)&gt;=DATE(PlanYear,10,1)),1,0))</f>
        <v>0</v>
      </c>
      <c r="Y893">
        <f>IF($N893=0,0,IF(AND($F893&lt;=EOMONTH(DATE(PlanYear,11,1),0),IF(ISNUMBER($G893),$G893,$F893)&gt;=DATE(PlanYear,11,1)),1,0))</f>
        <v>0</v>
      </c>
      <c r="Z893">
        <f>IF($N893=0,0,IF(AND($F893&lt;=EOMONTH(DATE(PlanYear,12,1),0),IF(ISNUMBER($G893),$G893,$F893)&gt;=DATE(PlanYear,12,1)),1,0))</f>
        <v>0</v>
      </c>
      <c r="AA893">
        <f>SUM($O893:$Z893)</f>
        <v>0</v>
      </c>
    </row>
    <row r="894" spans="1:27">
      <c r="A894" s="42">
        <f>IF($B894="","","ACT-"&amp;TEXT(ROW()-4,"000"))</f>
        <v>0</v>
      </c>
      <c r="M894" s="43">
        <f>IF(COUNTA($B894:$K894)=0,"",IF($B894="","Missing activity name",IF($C894="","Missing practice",IF(COUNTIF(PracticeNames,$C894)=0,"Practice not in Lists",IF($D894="","Missing motion",IF(NOT(ISNUMBER($F894)),"Missing or invalid start date",IF(AND(ISNUMBER($G894),$G894&lt;$F894),"End date before start",IF(AND($N894=1,$AA894=0),"Outside planning year","OK"))))))))</f>
        <v>0</v>
      </c>
      <c r="N894">
        <f>IF(AND($B894&lt;&gt;"",$C894&lt;&gt;"",$D894&lt;&gt;"",ISNUMBER($F894),COUNTIF(PracticeNames,$C894)&gt;0,COUNTIF(MotionNames,$D894)&gt;0,NOT(AND(ISNUMBER($G894),$G894&lt;$F894))),IF(StatusFilter="All (excl. Cancelled)",IF($H894="Cancelled",0,1),IF(StatusFilter="All",1,IF($H894=StatusFilter,1,0))),0)</f>
        <v>0</v>
      </c>
      <c r="O894">
        <f>IF($N894=0,0,IF(AND($F894&lt;=EOMONTH(DATE(PlanYear,1,1),0),IF(ISNUMBER($G894),$G894,$F894)&gt;=DATE(PlanYear,1,1)),1,0))</f>
        <v>0</v>
      </c>
      <c r="P894">
        <f>IF($N894=0,0,IF(AND($F894&lt;=EOMONTH(DATE(PlanYear,2,1),0),IF(ISNUMBER($G894),$G894,$F894)&gt;=DATE(PlanYear,2,1)),1,0))</f>
        <v>0</v>
      </c>
      <c r="Q894">
        <f>IF($N894=0,0,IF(AND($F894&lt;=EOMONTH(DATE(PlanYear,3,1),0),IF(ISNUMBER($G894),$G894,$F894)&gt;=DATE(PlanYear,3,1)),1,0))</f>
        <v>0</v>
      </c>
      <c r="R894">
        <f>IF($N894=0,0,IF(AND($F894&lt;=EOMONTH(DATE(PlanYear,4,1),0),IF(ISNUMBER($G894),$G894,$F894)&gt;=DATE(PlanYear,4,1)),1,0))</f>
        <v>0</v>
      </c>
      <c r="S894">
        <f>IF($N894=0,0,IF(AND($F894&lt;=EOMONTH(DATE(PlanYear,5,1),0),IF(ISNUMBER($G894),$G894,$F894)&gt;=DATE(PlanYear,5,1)),1,0))</f>
        <v>0</v>
      </c>
      <c r="T894">
        <f>IF($N894=0,0,IF(AND($F894&lt;=EOMONTH(DATE(PlanYear,6,1),0),IF(ISNUMBER($G894),$G894,$F894)&gt;=DATE(PlanYear,6,1)),1,0))</f>
        <v>0</v>
      </c>
      <c r="U894">
        <f>IF($N894=0,0,IF(AND($F894&lt;=EOMONTH(DATE(PlanYear,7,1),0),IF(ISNUMBER($G894),$G894,$F894)&gt;=DATE(PlanYear,7,1)),1,0))</f>
        <v>0</v>
      </c>
      <c r="V894">
        <f>IF($N894=0,0,IF(AND($F894&lt;=EOMONTH(DATE(PlanYear,8,1),0),IF(ISNUMBER($G894),$G894,$F894)&gt;=DATE(PlanYear,8,1)),1,0))</f>
        <v>0</v>
      </c>
      <c r="W894">
        <f>IF($N894=0,0,IF(AND($F894&lt;=EOMONTH(DATE(PlanYear,9,1),0),IF(ISNUMBER($G894),$G894,$F894)&gt;=DATE(PlanYear,9,1)),1,0))</f>
        <v>0</v>
      </c>
      <c r="X894">
        <f>IF($N894=0,0,IF(AND($F894&lt;=EOMONTH(DATE(PlanYear,10,1),0),IF(ISNUMBER($G894),$G894,$F894)&gt;=DATE(PlanYear,10,1)),1,0))</f>
        <v>0</v>
      </c>
      <c r="Y894">
        <f>IF($N894=0,0,IF(AND($F894&lt;=EOMONTH(DATE(PlanYear,11,1),0),IF(ISNUMBER($G894),$G894,$F894)&gt;=DATE(PlanYear,11,1)),1,0))</f>
        <v>0</v>
      </c>
      <c r="Z894">
        <f>IF($N894=0,0,IF(AND($F894&lt;=EOMONTH(DATE(PlanYear,12,1),0),IF(ISNUMBER($G894),$G894,$F894)&gt;=DATE(PlanYear,12,1)),1,0))</f>
        <v>0</v>
      </c>
      <c r="AA894">
        <f>SUM($O894:$Z894)</f>
        <v>0</v>
      </c>
    </row>
    <row r="895" spans="1:27">
      <c r="A895" s="42">
        <f>IF($B895="","","ACT-"&amp;TEXT(ROW()-4,"000"))</f>
        <v>0</v>
      </c>
      <c r="M895" s="43">
        <f>IF(COUNTA($B895:$K895)=0,"",IF($B895="","Missing activity name",IF($C895="","Missing practice",IF(COUNTIF(PracticeNames,$C895)=0,"Practice not in Lists",IF($D895="","Missing motion",IF(NOT(ISNUMBER($F895)),"Missing or invalid start date",IF(AND(ISNUMBER($G895),$G895&lt;$F895),"End date before start",IF(AND($N895=1,$AA895=0),"Outside planning year","OK"))))))))</f>
        <v>0</v>
      </c>
      <c r="N895">
        <f>IF(AND($B895&lt;&gt;"",$C895&lt;&gt;"",$D895&lt;&gt;"",ISNUMBER($F895),COUNTIF(PracticeNames,$C895)&gt;0,COUNTIF(MotionNames,$D895)&gt;0,NOT(AND(ISNUMBER($G895),$G895&lt;$F895))),IF(StatusFilter="All (excl. Cancelled)",IF($H895="Cancelled",0,1),IF(StatusFilter="All",1,IF($H895=StatusFilter,1,0))),0)</f>
        <v>0</v>
      </c>
      <c r="O895">
        <f>IF($N895=0,0,IF(AND($F895&lt;=EOMONTH(DATE(PlanYear,1,1),0),IF(ISNUMBER($G895),$G895,$F895)&gt;=DATE(PlanYear,1,1)),1,0))</f>
        <v>0</v>
      </c>
      <c r="P895">
        <f>IF($N895=0,0,IF(AND($F895&lt;=EOMONTH(DATE(PlanYear,2,1),0),IF(ISNUMBER($G895),$G895,$F895)&gt;=DATE(PlanYear,2,1)),1,0))</f>
        <v>0</v>
      </c>
      <c r="Q895">
        <f>IF($N895=0,0,IF(AND($F895&lt;=EOMONTH(DATE(PlanYear,3,1),0),IF(ISNUMBER($G895),$G895,$F895)&gt;=DATE(PlanYear,3,1)),1,0))</f>
        <v>0</v>
      </c>
      <c r="R895">
        <f>IF($N895=0,0,IF(AND($F895&lt;=EOMONTH(DATE(PlanYear,4,1),0),IF(ISNUMBER($G895),$G895,$F895)&gt;=DATE(PlanYear,4,1)),1,0))</f>
        <v>0</v>
      </c>
      <c r="S895">
        <f>IF($N895=0,0,IF(AND($F895&lt;=EOMONTH(DATE(PlanYear,5,1),0),IF(ISNUMBER($G895),$G895,$F895)&gt;=DATE(PlanYear,5,1)),1,0))</f>
        <v>0</v>
      </c>
      <c r="T895">
        <f>IF($N895=0,0,IF(AND($F895&lt;=EOMONTH(DATE(PlanYear,6,1),0),IF(ISNUMBER($G895),$G895,$F895)&gt;=DATE(PlanYear,6,1)),1,0))</f>
        <v>0</v>
      </c>
      <c r="U895">
        <f>IF($N895=0,0,IF(AND($F895&lt;=EOMONTH(DATE(PlanYear,7,1),0),IF(ISNUMBER($G895),$G895,$F895)&gt;=DATE(PlanYear,7,1)),1,0))</f>
        <v>0</v>
      </c>
      <c r="V895">
        <f>IF($N895=0,0,IF(AND($F895&lt;=EOMONTH(DATE(PlanYear,8,1),0),IF(ISNUMBER($G895),$G895,$F895)&gt;=DATE(PlanYear,8,1)),1,0))</f>
        <v>0</v>
      </c>
      <c r="W895">
        <f>IF($N895=0,0,IF(AND($F895&lt;=EOMONTH(DATE(PlanYear,9,1),0),IF(ISNUMBER($G895),$G895,$F895)&gt;=DATE(PlanYear,9,1)),1,0))</f>
        <v>0</v>
      </c>
      <c r="X895">
        <f>IF($N895=0,0,IF(AND($F895&lt;=EOMONTH(DATE(PlanYear,10,1),0),IF(ISNUMBER($G895),$G895,$F895)&gt;=DATE(PlanYear,10,1)),1,0))</f>
        <v>0</v>
      </c>
      <c r="Y895">
        <f>IF($N895=0,0,IF(AND($F895&lt;=EOMONTH(DATE(PlanYear,11,1),0),IF(ISNUMBER($G895),$G895,$F895)&gt;=DATE(PlanYear,11,1)),1,0))</f>
        <v>0</v>
      </c>
      <c r="Z895">
        <f>IF($N895=0,0,IF(AND($F895&lt;=EOMONTH(DATE(PlanYear,12,1),0),IF(ISNUMBER($G895),$G895,$F895)&gt;=DATE(PlanYear,12,1)),1,0))</f>
        <v>0</v>
      </c>
      <c r="AA895">
        <f>SUM($O895:$Z895)</f>
        <v>0</v>
      </c>
    </row>
    <row r="896" spans="1:27">
      <c r="A896" s="42">
        <f>IF($B896="","","ACT-"&amp;TEXT(ROW()-4,"000"))</f>
        <v>0</v>
      </c>
      <c r="M896" s="43">
        <f>IF(COUNTA($B896:$K896)=0,"",IF($B896="","Missing activity name",IF($C896="","Missing practice",IF(COUNTIF(PracticeNames,$C896)=0,"Practice not in Lists",IF($D896="","Missing motion",IF(NOT(ISNUMBER($F896)),"Missing or invalid start date",IF(AND(ISNUMBER($G896),$G896&lt;$F896),"End date before start",IF(AND($N896=1,$AA896=0),"Outside planning year","OK"))))))))</f>
        <v>0</v>
      </c>
      <c r="N896">
        <f>IF(AND($B896&lt;&gt;"",$C896&lt;&gt;"",$D896&lt;&gt;"",ISNUMBER($F896),COUNTIF(PracticeNames,$C896)&gt;0,COUNTIF(MotionNames,$D896)&gt;0,NOT(AND(ISNUMBER($G896),$G896&lt;$F896))),IF(StatusFilter="All (excl. Cancelled)",IF($H896="Cancelled",0,1),IF(StatusFilter="All",1,IF($H896=StatusFilter,1,0))),0)</f>
        <v>0</v>
      </c>
      <c r="O896">
        <f>IF($N896=0,0,IF(AND($F896&lt;=EOMONTH(DATE(PlanYear,1,1),0),IF(ISNUMBER($G896),$G896,$F896)&gt;=DATE(PlanYear,1,1)),1,0))</f>
        <v>0</v>
      </c>
      <c r="P896">
        <f>IF($N896=0,0,IF(AND($F896&lt;=EOMONTH(DATE(PlanYear,2,1),0),IF(ISNUMBER($G896),$G896,$F896)&gt;=DATE(PlanYear,2,1)),1,0))</f>
        <v>0</v>
      </c>
      <c r="Q896">
        <f>IF($N896=0,0,IF(AND($F896&lt;=EOMONTH(DATE(PlanYear,3,1),0),IF(ISNUMBER($G896),$G896,$F896)&gt;=DATE(PlanYear,3,1)),1,0))</f>
        <v>0</v>
      </c>
      <c r="R896">
        <f>IF($N896=0,0,IF(AND($F896&lt;=EOMONTH(DATE(PlanYear,4,1),0),IF(ISNUMBER($G896),$G896,$F896)&gt;=DATE(PlanYear,4,1)),1,0))</f>
        <v>0</v>
      </c>
      <c r="S896">
        <f>IF($N896=0,0,IF(AND($F896&lt;=EOMONTH(DATE(PlanYear,5,1),0),IF(ISNUMBER($G896),$G896,$F896)&gt;=DATE(PlanYear,5,1)),1,0))</f>
        <v>0</v>
      </c>
      <c r="T896">
        <f>IF($N896=0,0,IF(AND($F896&lt;=EOMONTH(DATE(PlanYear,6,1),0),IF(ISNUMBER($G896),$G896,$F896)&gt;=DATE(PlanYear,6,1)),1,0))</f>
        <v>0</v>
      </c>
      <c r="U896">
        <f>IF($N896=0,0,IF(AND($F896&lt;=EOMONTH(DATE(PlanYear,7,1),0),IF(ISNUMBER($G896),$G896,$F896)&gt;=DATE(PlanYear,7,1)),1,0))</f>
        <v>0</v>
      </c>
      <c r="V896">
        <f>IF($N896=0,0,IF(AND($F896&lt;=EOMONTH(DATE(PlanYear,8,1),0),IF(ISNUMBER($G896),$G896,$F896)&gt;=DATE(PlanYear,8,1)),1,0))</f>
        <v>0</v>
      </c>
      <c r="W896">
        <f>IF($N896=0,0,IF(AND($F896&lt;=EOMONTH(DATE(PlanYear,9,1),0),IF(ISNUMBER($G896),$G896,$F896)&gt;=DATE(PlanYear,9,1)),1,0))</f>
        <v>0</v>
      </c>
      <c r="X896">
        <f>IF($N896=0,0,IF(AND($F896&lt;=EOMONTH(DATE(PlanYear,10,1),0),IF(ISNUMBER($G896),$G896,$F896)&gt;=DATE(PlanYear,10,1)),1,0))</f>
        <v>0</v>
      </c>
      <c r="Y896">
        <f>IF($N896=0,0,IF(AND($F896&lt;=EOMONTH(DATE(PlanYear,11,1),0),IF(ISNUMBER($G896),$G896,$F896)&gt;=DATE(PlanYear,11,1)),1,0))</f>
        <v>0</v>
      </c>
      <c r="Z896">
        <f>IF($N896=0,0,IF(AND($F896&lt;=EOMONTH(DATE(PlanYear,12,1),0),IF(ISNUMBER($G896),$G896,$F896)&gt;=DATE(PlanYear,12,1)),1,0))</f>
        <v>0</v>
      </c>
      <c r="AA896">
        <f>SUM($O896:$Z896)</f>
        <v>0</v>
      </c>
    </row>
    <row r="897" spans="1:27">
      <c r="A897" s="42">
        <f>IF($B897="","","ACT-"&amp;TEXT(ROW()-4,"000"))</f>
        <v>0</v>
      </c>
      <c r="M897" s="43">
        <f>IF(COUNTA($B897:$K897)=0,"",IF($B897="","Missing activity name",IF($C897="","Missing practice",IF(COUNTIF(PracticeNames,$C897)=0,"Practice not in Lists",IF($D897="","Missing motion",IF(NOT(ISNUMBER($F897)),"Missing or invalid start date",IF(AND(ISNUMBER($G897),$G897&lt;$F897),"End date before start",IF(AND($N897=1,$AA897=0),"Outside planning year","OK"))))))))</f>
        <v>0</v>
      </c>
      <c r="N897">
        <f>IF(AND($B897&lt;&gt;"",$C897&lt;&gt;"",$D897&lt;&gt;"",ISNUMBER($F897),COUNTIF(PracticeNames,$C897)&gt;0,COUNTIF(MotionNames,$D897)&gt;0,NOT(AND(ISNUMBER($G897),$G897&lt;$F897))),IF(StatusFilter="All (excl. Cancelled)",IF($H897="Cancelled",0,1),IF(StatusFilter="All",1,IF($H897=StatusFilter,1,0))),0)</f>
        <v>0</v>
      </c>
      <c r="O897">
        <f>IF($N897=0,0,IF(AND($F897&lt;=EOMONTH(DATE(PlanYear,1,1),0),IF(ISNUMBER($G897),$G897,$F897)&gt;=DATE(PlanYear,1,1)),1,0))</f>
        <v>0</v>
      </c>
      <c r="P897">
        <f>IF($N897=0,0,IF(AND($F897&lt;=EOMONTH(DATE(PlanYear,2,1),0),IF(ISNUMBER($G897),$G897,$F897)&gt;=DATE(PlanYear,2,1)),1,0))</f>
        <v>0</v>
      </c>
      <c r="Q897">
        <f>IF($N897=0,0,IF(AND($F897&lt;=EOMONTH(DATE(PlanYear,3,1),0),IF(ISNUMBER($G897),$G897,$F897)&gt;=DATE(PlanYear,3,1)),1,0))</f>
        <v>0</v>
      </c>
      <c r="R897">
        <f>IF($N897=0,0,IF(AND($F897&lt;=EOMONTH(DATE(PlanYear,4,1),0),IF(ISNUMBER($G897),$G897,$F897)&gt;=DATE(PlanYear,4,1)),1,0))</f>
        <v>0</v>
      </c>
      <c r="S897">
        <f>IF($N897=0,0,IF(AND($F897&lt;=EOMONTH(DATE(PlanYear,5,1),0),IF(ISNUMBER($G897),$G897,$F897)&gt;=DATE(PlanYear,5,1)),1,0))</f>
        <v>0</v>
      </c>
      <c r="T897">
        <f>IF($N897=0,0,IF(AND($F897&lt;=EOMONTH(DATE(PlanYear,6,1),0),IF(ISNUMBER($G897),$G897,$F897)&gt;=DATE(PlanYear,6,1)),1,0))</f>
        <v>0</v>
      </c>
      <c r="U897">
        <f>IF($N897=0,0,IF(AND($F897&lt;=EOMONTH(DATE(PlanYear,7,1),0),IF(ISNUMBER($G897),$G897,$F897)&gt;=DATE(PlanYear,7,1)),1,0))</f>
        <v>0</v>
      </c>
      <c r="V897">
        <f>IF($N897=0,0,IF(AND($F897&lt;=EOMONTH(DATE(PlanYear,8,1),0),IF(ISNUMBER($G897),$G897,$F897)&gt;=DATE(PlanYear,8,1)),1,0))</f>
        <v>0</v>
      </c>
      <c r="W897">
        <f>IF($N897=0,0,IF(AND($F897&lt;=EOMONTH(DATE(PlanYear,9,1),0),IF(ISNUMBER($G897),$G897,$F897)&gt;=DATE(PlanYear,9,1)),1,0))</f>
        <v>0</v>
      </c>
      <c r="X897">
        <f>IF($N897=0,0,IF(AND($F897&lt;=EOMONTH(DATE(PlanYear,10,1),0),IF(ISNUMBER($G897),$G897,$F897)&gt;=DATE(PlanYear,10,1)),1,0))</f>
        <v>0</v>
      </c>
      <c r="Y897">
        <f>IF($N897=0,0,IF(AND($F897&lt;=EOMONTH(DATE(PlanYear,11,1),0),IF(ISNUMBER($G897),$G897,$F897)&gt;=DATE(PlanYear,11,1)),1,0))</f>
        <v>0</v>
      </c>
      <c r="Z897">
        <f>IF($N897=0,0,IF(AND($F897&lt;=EOMONTH(DATE(PlanYear,12,1),0),IF(ISNUMBER($G897),$G897,$F897)&gt;=DATE(PlanYear,12,1)),1,0))</f>
        <v>0</v>
      </c>
      <c r="AA897">
        <f>SUM($O897:$Z897)</f>
        <v>0</v>
      </c>
    </row>
    <row r="898" spans="1:27">
      <c r="A898" s="42">
        <f>IF($B898="","","ACT-"&amp;TEXT(ROW()-4,"000"))</f>
        <v>0</v>
      </c>
      <c r="M898" s="43">
        <f>IF(COUNTA($B898:$K898)=0,"",IF($B898="","Missing activity name",IF($C898="","Missing practice",IF(COUNTIF(PracticeNames,$C898)=0,"Practice not in Lists",IF($D898="","Missing motion",IF(NOT(ISNUMBER($F898)),"Missing or invalid start date",IF(AND(ISNUMBER($G898),$G898&lt;$F898),"End date before start",IF(AND($N898=1,$AA898=0),"Outside planning year","OK"))))))))</f>
        <v>0</v>
      </c>
      <c r="N898">
        <f>IF(AND($B898&lt;&gt;"",$C898&lt;&gt;"",$D898&lt;&gt;"",ISNUMBER($F898),COUNTIF(PracticeNames,$C898)&gt;0,COUNTIF(MotionNames,$D898)&gt;0,NOT(AND(ISNUMBER($G898),$G898&lt;$F898))),IF(StatusFilter="All (excl. Cancelled)",IF($H898="Cancelled",0,1),IF(StatusFilter="All",1,IF($H898=StatusFilter,1,0))),0)</f>
        <v>0</v>
      </c>
      <c r="O898">
        <f>IF($N898=0,0,IF(AND($F898&lt;=EOMONTH(DATE(PlanYear,1,1),0),IF(ISNUMBER($G898),$G898,$F898)&gt;=DATE(PlanYear,1,1)),1,0))</f>
        <v>0</v>
      </c>
      <c r="P898">
        <f>IF($N898=0,0,IF(AND($F898&lt;=EOMONTH(DATE(PlanYear,2,1),0),IF(ISNUMBER($G898),$G898,$F898)&gt;=DATE(PlanYear,2,1)),1,0))</f>
        <v>0</v>
      </c>
      <c r="Q898">
        <f>IF($N898=0,0,IF(AND($F898&lt;=EOMONTH(DATE(PlanYear,3,1),0),IF(ISNUMBER($G898),$G898,$F898)&gt;=DATE(PlanYear,3,1)),1,0))</f>
        <v>0</v>
      </c>
      <c r="R898">
        <f>IF($N898=0,0,IF(AND($F898&lt;=EOMONTH(DATE(PlanYear,4,1),0),IF(ISNUMBER($G898),$G898,$F898)&gt;=DATE(PlanYear,4,1)),1,0))</f>
        <v>0</v>
      </c>
      <c r="S898">
        <f>IF($N898=0,0,IF(AND($F898&lt;=EOMONTH(DATE(PlanYear,5,1),0),IF(ISNUMBER($G898),$G898,$F898)&gt;=DATE(PlanYear,5,1)),1,0))</f>
        <v>0</v>
      </c>
      <c r="T898">
        <f>IF($N898=0,0,IF(AND($F898&lt;=EOMONTH(DATE(PlanYear,6,1),0),IF(ISNUMBER($G898),$G898,$F898)&gt;=DATE(PlanYear,6,1)),1,0))</f>
        <v>0</v>
      </c>
      <c r="U898">
        <f>IF($N898=0,0,IF(AND($F898&lt;=EOMONTH(DATE(PlanYear,7,1),0),IF(ISNUMBER($G898),$G898,$F898)&gt;=DATE(PlanYear,7,1)),1,0))</f>
        <v>0</v>
      </c>
      <c r="V898">
        <f>IF($N898=0,0,IF(AND($F898&lt;=EOMONTH(DATE(PlanYear,8,1),0),IF(ISNUMBER($G898),$G898,$F898)&gt;=DATE(PlanYear,8,1)),1,0))</f>
        <v>0</v>
      </c>
      <c r="W898">
        <f>IF($N898=0,0,IF(AND($F898&lt;=EOMONTH(DATE(PlanYear,9,1),0),IF(ISNUMBER($G898),$G898,$F898)&gt;=DATE(PlanYear,9,1)),1,0))</f>
        <v>0</v>
      </c>
      <c r="X898">
        <f>IF($N898=0,0,IF(AND($F898&lt;=EOMONTH(DATE(PlanYear,10,1),0),IF(ISNUMBER($G898),$G898,$F898)&gt;=DATE(PlanYear,10,1)),1,0))</f>
        <v>0</v>
      </c>
      <c r="Y898">
        <f>IF($N898=0,0,IF(AND($F898&lt;=EOMONTH(DATE(PlanYear,11,1),0),IF(ISNUMBER($G898),$G898,$F898)&gt;=DATE(PlanYear,11,1)),1,0))</f>
        <v>0</v>
      </c>
      <c r="Z898">
        <f>IF($N898=0,0,IF(AND($F898&lt;=EOMONTH(DATE(PlanYear,12,1),0),IF(ISNUMBER($G898),$G898,$F898)&gt;=DATE(PlanYear,12,1)),1,0))</f>
        <v>0</v>
      </c>
      <c r="AA898">
        <f>SUM($O898:$Z898)</f>
        <v>0</v>
      </c>
    </row>
    <row r="899" spans="1:27">
      <c r="A899" s="42">
        <f>IF($B899="","","ACT-"&amp;TEXT(ROW()-4,"000"))</f>
        <v>0</v>
      </c>
      <c r="M899" s="43">
        <f>IF(COUNTA($B899:$K899)=0,"",IF($B899="","Missing activity name",IF($C899="","Missing practice",IF(COUNTIF(PracticeNames,$C899)=0,"Practice not in Lists",IF($D899="","Missing motion",IF(NOT(ISNUMBER($F899)),"Missing or invalid start date",IF(AND(ISNUMBER($G899),$G899&lt;$F899),"End date before start",IF(AND($N899=1,$AA899=0),"Outside planning year","OK"))))))))</f>
        <v>0</v>
      </c>
      <c r="N899">
        <f>IF(AND($B899&lt;&gt;"",$C899&lt;&gt;"",$D899&lt;&gt;"",ISNUMBER($F899),COUNTIF(PracticeNames,$C899)&gt;0,COUNTIF(MotionNames,$D899)&gt;0,NOT(AND(ISNUMBER($G899),$G899&lt;$F899))),IF(StatusFilter="All (excl. Cancelled)",IF($H899="Cancelled",0,1),IF(StatusFilter="All",1,IF($H899=StatusFilter,1,0))),0)</f>
        <v>0</v>
      </c>
      <c r="O899">
        <f>IF($N899=0,0,IF(AND($F899&lt;=EOMONTH(DATE(PlanYear,1,1),0),IF(ISNUMBER($G899),$G899,$F899)&gt;=DATE(PlanYear,1,1)),1,0))</f>
        <v>0</v>
      </c>
      <c r="P899">
        <f>IF($N899=0,0,IF(AND($F899&lt;=EOMONTH(DATE(PlanYear,2,1),0),IF(ISNUMBER($G899),$G899,$F899)&gt;=DATE(PlanYear,2,1)),1,0))</f>
        <v>0</v>
      </c>
      <c r="Q899">
        <f>IF($N899=0,0,IF(AND($F899&lt;=EOMONTH(DATE(PlanYear,3,1),0),IF(ISNUMBER($G899),$G899,$F899)&gt;=DATE(PlanYear,3,1)),1,0))</f>
        <v>0</v>
      </c>
      <c r="R899">
        <f>IF($N899=0,0,IF(AND($F899&lt;=EOMONTH(DATE(PlanYear,4,1),0),IF(ISNUMBER($G899),$G899,$F899)&gt;=DATE(PlanYear,4,1)),1,0))</f>
        <v>0</v>
      </c>
      <c r="S899">
        <f>IF($N899=0,0,IF(AND($F899&lt;=EOMONTH(DATE(PlanYear,5,1),0),IF(ISNUMBER($G899),$G899,$F899)&gt;=DATE(PlanYear,5,1)),1,0))</f>
        <v>0</v>
      </c>
      <c r="T899">
        <f>IF($N899=0,0,IF(AND($F899&lt;=EOMONTH(DATE(PlanYear,6,1),0),IF(ISNUMBER($G899),$G899,$F899)&gt;=DATE(PlanYear,6,1)),1,0))</f>
        <v>0</v>
      </c>
      <c r="U899">
        <f>IF($N899=0,0,IF(AND($F899&lt;=EOMONTH(DATE(PlanYear,7,1),0),IF(ISNUMBER($G899),$G899,$F899)&gt;=DATE(PlanYear,7,1)),1,0))</f>
        <v>0</v>
      </c>
      <c r="V899">
        <f>IF($N899=0,0,IF(AND($F899&lt;=EOMONTH(DATE(PlanYear,8,1),0),IF(ISNUMBER($G899),$G899,$F899)&gt;=DATE(PlanYear,8,1)),1,0))</f>
        <v>0</v>
      </c>
      <c r="W899">
        <f>IF($N899=0,0,IF(AND($F899&lt;=EOMONTH(DATE(PlanYear,9,1),0),IF(ISNUMBER($G899),$G899,$F899)&gt;=DATE(PlanYear,9,1)),1,0))</f>
        <v>0</v>
      </c>
      <c r="X899">
        <f>IF($N899=0,0,IF(AND($F899&lt;=EOMONTH(DATE(PlanYear,10,1),0),IF(ISNUMBER($G899),$G899,$F899)&gt;=DATE(PlanYear,10,1)),1,0))</f>
        <v>0</v>
      </c>
      <c r="Y899">
        <f>IF($N899=0,0,IF(AND($F899&lt;=EOMONTH(DATE(PlanYear,11,1),0),IF(ISNUMBER($G899),$G899,$F899)&gt;=DATE(PlanYear,11,1)),1,0))</f>
        <v>0</v>
      </c>
      <c r="Z899">
        <f>IF($N899=0,0,IF(AND($F899&lt;=EOMONTH(DATE(PlanYear,12,1),0),IF(ISNUMBER($G899),$G899,$F899)&gt;=DATE(PlanYear,12,1)),1,0))</f>
        <v>0</v>
      </c>
      <c r="AA899">
        <f>SUM($O899:$Z899)</f>
        <v>0</v>
      </c>
    </row>
    <row r="900" spans="1:27">
      <c r="A900" s="42">
        <f>IF($B900="","","ACT-"&amp;TEXT(ROW()-4,"000"))</f>
        <v>0</v>
      </c>
      <c r="M900" s="43">
        <f>IF(COUNTA($B900:$K900)=0,"",IF($B900="","Missing activity name",IF($C900="","Missing practice",IF(COUNTIF(PracticeNames,$C900)=0,"Practice not in Lists",IF($D900="","Missing motion",IF(NOT(ISNUMBER($F900)),"Missing or invalid start date",IF(AND(ISNUMBER($G900),$G900&lt;$F900),"End date before start",IF(AND($N900=1,$AA900=0),"Outside planning year","OK"))))))))</f>
        <v>0</v>
      </c>
      <c r="N900">
        <f>IF(AND($B900&lt;&gt;"",$C900&lt;&gt;"",$D900&lt;&gt;"",ISNUMBER($F900),COUNTIF(PracticeNames,$C900)&gt;0,COUNTIF(MotionNames,$D900)&gt;0,NOT(AND(ISNUMBER($G900),$G900&lt;$F900))),IF(StatusFilter="All (excl. Cancelled)",IF($H900="Cancelled",0,1),IF(StatusFilter="All",1,IF($H900=StatusFilter,1,0))),0)</f>
        <v>0</v>
      </c>
      <c r="O900">
        <f>IF($N900=0,0,IF(AND($F900&lt;=EOMONTH(DATE(PlanYear,1,1),0),IF(ISNUMBER($G900),$G900,$F900)&gt;=DATE(PlanYear,1,1)),1,0))</f>
        <v>0</v>
      </c>
      <c r="P900">
        <f>IF($N900=0,0,IF(AND($F900&lt;=EOMONTH(DATE(PlanYear,2,1),0),IF(ISNUMBER($G900),$G900,$F900)&gt;=DATE(PlanYear,2,1)),1,0))</f>
        <v>0</v>
      </c>
      <c r="Q900">
        <f>IF($N900=0,0,IF(AND($F900&lt;=EOMONTH(DATE(PlanYear,3,1),0),IF(ISNUMBER($G900),$G900,$F900)&gt;=DATE(PlanYear,3,1)),1,0))</f>
        <v>0</v>
      </c>
      <c r="R900">
        <f>IF($N900=0,0,IF(AND($F900&lt;=EOMONTH(DATE(PlanYear,4,1),0),IF(ISNUMBER($G900),$G900,$F900)&gt;=DATE(PlanYear,4,1)),1,0))</f>
        <v>0</v>
      </c>
      <c r="S900">
        <f>IF($N900=0,0,IF(AND($F900&lt;=EOMONTH(DATE(PlanYear,5,1),0),IF(ISNUMBER($G900),$G900,$F900)&gt;=DATE(PlanYear,5,1)),1,0))</f>
        <v>0</v>
      </c>
      <c r="T900">
        <f>IF($N900=0,0,IF(AND($F900&lt;=EOMONTH(DATE(PlanYear,6,1),0),IF(ISNUMBER($G900),$G900,$F900)&gt;=DATE(PlanYear,6,1)),1,0))</f>
        <v>0</v>
      </c>
      <c r="U900">
        <f>IF($N900=0,0,IF(AND($F900&lt;=EOMONTH(DATE(PlanYear,7,1),0),IF(ISNUMBER($G900),$G900,$F900)&gt;=DATE(PlanYear,7,1)),1,0))</f>
        <v>0</v>
      </c>
      <c r="V900">
        <f>IF($N900=0,0,IF(AND($F900&lt;=EOMONTH(DATE(PlanYear,8,1),0),IF(ISNUMBER($G900),$G900,$F900)&gt;=DATE(PlanYear,8,1)),1,0))</f>
        <v>0</v>
      </c>
      <c r="W900">
        <f>IF($N900=0,0,IF(AND($F900&lt;=EOMONTH(DATE(PlanYear,9,1),0),IF(ISNUMBER($G900),$G900,$F900)&gt;=DATE(PlanYear,9,1)),1,0))</f>
        <v>0</v>
      </c>
      <c r="X900">
        <f>IF($N900=0,0,IF(AND($F900&lt;=EOMONTH(DATE(PlanYear,10,1),0),IF(ISNUMBER($G900),$G900,$F900)&gt;=DATE(PlanYear,10,1)),1,0))</f>
        <v>0</v>
      </c>
      <c r="Y900">
        <f>IF($N900=0,0,IF(AND($F900&lt;=EOMONTH(DATE(PlanYear,11,1),0),IF(ISNUMBER($G900),$G900,$F900)&gt;=DATE(PlanYear,11,1)),1,0))</f>
        <v>0</v>
      </c>
      <c r="Z900">
        <f>IF($N900=0,0,IF(AND($F900&lt;=EOMONTH(DATE(PlanYear,12,1),0),IF(ISNUMBER($G900),$G900,$F900)&gt;=DATE(PlanYear,12,1)),1,0))</f>
        <v>0</v>
      </c>
      <c r="AA900">
        <f>SUM($O900:$Z900)</f>
        <v>0</v>
      </c>
    </row>
    <row r="901" spans="1:27">
      <c r="A901" s="42">
        <f>IF($B901="","","ACT-"&amp;TEXT(ROW()-4,"000"))</f>
        <v>0</v>
      </c>
      <c r="M901" s="43">
        <f>IF(COUNTA($B901:$K901)=0,"",IF($B901="","Missing activity name",IF($C901="","Missing practice",IF(COUNTIF(PracticeNames,$C901)=0,"Practice not in Lists",IF($D901="","Missing motion",IF(NOT(ISNUMBER($F901)),"Missing or invalid start date",IF(AND(ISNUMBER($G901),$G901&lt;$F901),"End date before start",IF(AND($N901=1,$AA901=0),"Outside planning year","OK"))))))))</f>
        <v>0</v>
      </c>
      <c r="N901">
        <f>IF(AND($B901&lt;&gt;"",$C901&lt;&gt;"",$D901&lt;&gt;"",ISNUMBER($F901),COUNTIF(PracticeNames,$C901)&gt;0,COUNTIF(MotionNames,$D901)&gt;0,NOT(AND(ISNUMBER($G901),$G901&lt;$F901))),IF(StatusFilter="All (excl. Cancelled)",IF($H901="Cancelled",0,1),IF(StatusFilter="All",1,IF($H901=StatusFilter,1,0))),0)</f>
        <v>0</v>
      </c>
      <c r="O901">
        <f>IF($N901=0,0,IF(AND($F901&lt;=EOMONTH(DATE(PlanYear,1,1),0),IF(ISNUMBER($G901),$G901,$F901)&gt;=DATE(PlanYear,1,1)),1,0))</f>
        <v>0</v>
      </c>
      <c r="P901">
        <f>IF($N901=0,0,IF(AND($F901&lt;=EOMONTH(DATE(PlanYear,2,1),0),IF(ISNUMBER($G901),$G901,$F901)&gt;=DATE(PlanYear,2,1)),1,0))</f>
        <v>0</v>
      </c>
      <c r="Q901">
        <f>IF($N901=0,0,IF(AND($F901&lt;=EOMONTH(DATE(PlanYear,3,1),0),IF(ISNUMBER($G901),$G901,$F901)&gt;=DATE(PlanYear,3,1)),1,0))</f>
        <v>0</v>
      </c>
      <c r="R901">
        <f>IF($N901=0,0,IF(AND($F901&lt;=EOMONTH(DATE(PlanYear,4,1),0),IF(ISNUMBER($G901),$G901,$F901)&gt;=DATE(PlanYear,4,1)),1,0))</f>
        <v>0</v>
      </c>
      <c r="S901">
        <f>IF($N901=0,0,IF(AND($F901&lt;=EOMONTH(DATE(PlanYear,5,1),0),IF(ISNUMBER($G901),$G901,$F901)&gt;=DATE(PlanYear,5,1)),1,0))</f>
        <v>0</v>
      </c>
      <c r="T901">
        <f>IF($N901=0,0,IF(AND($F901&lt;=EOMONTH(DATE(PlanYear,6,1),0),IF(ISNUMBER($G901),$G901,$F901)&gt;=DATE(PlanYear,6,1)),1,0))</f>
        <v>0</v>
      </c>
      <c r="U901">
        <f>IF($N901=0,0,IF(AND($F901&lt;=EOMONTH(DATE(PlanYear,7,1),0),IF(ISNUMBER($G901),$G901,$F901)&gt;=DATE(PlanYear,7,1)),1,0))</f>
        <v>0</v>
      </c>
      <c r="V901">
        <f>IF($N901=0,0,IF(AND($F901&lt;=EOMONTH(DATE(PlanYear,8,1),0),IF(ISNUMBER($G901),$G901,$F901)&gt;=DATE(PlanYear,8,1)),1,0))</f>
        <v>0</v>
      </c>
      <c r="W901">
        <f>IF($N901=0,0,IF(AND($F901&lt;=EOMONTH(DATE(PlanYear,9,1),0),IF(ISNUMBER($G901),$G901,$F901)&gt;=DATE(PlanYear,9,1)),1,0))</f>
        <v>0</v>
      </c>
      <c r="X901">
        <f>IF($N901=0,0,IF(AND($F901&lt;=EOMONTH(DATE(PlanYear,10,1),0),IF(ISNUMBER($G901),$G901,$F901)&gt;=DATE(PlanYear,10,1)),1,0))</f>
        <v>0</v>
      </c>
      <c r="Y901">
        <f>IF($N901=0,0,IF(AND($F901&lt;=EOMONTH(DATE(PlanYear,11,1),0),IF(ISNUMBER($G901),$G901,$F901)&gt;=DATE(PlanYear,11,1)),1,0))</f>
        <v>0</v>
      </c>
      <c r="Z901">
        <f>IF($N901=0,0,IF(AND($F901&lt;=EOMONTH(DATE(PlanYear,12,1),0),IF(ISNUMBER($G901),$G901,$F901)&gt;=DATE(PlanYear,12,1)),1,0))</f>
        <v>0</v>
      </c>
      <c r="AA901">
        <f>SUM($O901:$Z901)</f>
        <v>0</v>
      </c>
    </row>
    <row r="902" spans="1:27">
      <c r="A902" s="42">
        <f>IF($B902="","","ACT-"&amp;TEXT(ROW()-4,"000"))</f>
        <v>0</v>
      </c>
      <c r="M902" s="43">
        <f>IF(COUNTA($B902:$K902)=0,"",IF($B902="","Missing activity name",IF($C902="","Missing practice",IF(COUNTIF(PracticeNames,$C902)=0,"Practice not in Lists",IF($D902="","Missing motion",IF(NOT(ISNUMBER($F902)),"Missing or invalid start date",IF(AND(ISNUMBER($G902),$G902&lt;$F902),"End date before start",IF(AND($N902=1,$AA902=0),"Outside planning year","OK"))))))))</f>
        <v>0</v>
      </c>
      <c r="N902">
        <f>IF(AND($B902&lt;&gt;"",$C902&lt;&gt;"",$D902&lt;&gt;"",ISNUMBER($F902),COUNTIF(PracticeNames,$C902)&gt;0,COUNTIF(MotionNames,$D902)&gt;0,NOT(AND(ISNUMBER($G902),$G902&lt;$F902))),IF(StatusFilter="All (excl. Cancelled)",IF($H902="Cancelled",0,1),IF(StatusFilter="All",1,IF($H902=StatusFilter,1,0))),0)</f>
        <v>0</v>
      </c>
      <c r="O902">
        <f>IF($N902=0,0,IF(AND($F902&lt;=EOMONTH(DATE(PlanYear,1,1),0),IF(ISNUMBER($G902),$G902,$F902)&gt;=DATE(PlanYear,1,1)),1,0))</f>
        <v>0</v>
      </c>
      <c r="P902">
        <f>IF($N902=0,0,IF(AND($F902&lt;=EOMONTH(DATE(PlanYear,2,1),0),IF(ISNUMBER($G902),$G902,$F902)&gt;=DATE(PlanYear,2,1)),1,0))</f>
        <v>0</v>
      </c>
      <c r="Q902">
        <f>IF($N902=0,0,IF(AND($F902&lt;=EOMONTH(DATE(PlanYear,3,1),0),IF(ISNUMBER($G902),$G902,$F902)&gt;=DATE(PlanYear,3,1)),1,0))</f>
        <v>0</v>
      </c>
      <c r="R902">
        <f>IF($N902=0,0,IF(AND($F902&lt;=EOMONTH(DATE(PlanYear,4,1),0),IF(ISNUMBER($G902),$G902,$F902)&gt;=DATE(PlanYear,4,1)),1,0))</f>
        <v>0</v>
      </c>
      <c r="S902">
        <f>IF($N902=0,0,IF(AND($F902&lt;=EOMONTH(DATE(PlanYear,5,1),0),IF(ISNUMBER($G902),$G902,$F902)&gt;=DATE(PlanYear,5,1)),1,0))</f>
        <v>0</v>
      </c>
      <c r="T902">
        <f>IF($N902=0,0,IF(AND($F902&lt;=EOMONTH(DATE(PlanYear,6,1),0),IF(ISNUMBER($G902),$G902,$F902)&gt;=DATE(PlanYear,6,1)),1,0))</f>
        <v>0</v>
      </c>
      <c r="U902">
        <f>IF($N902=0,0,IF(AND($F902&lt;=EOMONTH(DATE(PlanYear,7,1),0),IF(ISNUMBER($G902),$G902,$F902)&gt;=DATE(PlanYear,7,1)),1,0))</f>
        <v>0</v>
      </c>
      <c r="V902">
        <f>IF($N902=0,0,IF(AND($F902&lt;=EOMONTH(DATE(PlanYear,8,1),0),IF(ISNUMBER($G902),$G902,$F902)&gt;=DATE(PlanYear,8,1)),1,0))</f>
        <v>0</v>
      </c>
      <c r="W902">
        <f>IF($N902=0,0,IF(AND($F902&lt;=EOMONTH(DATE(PlanYear,9,1),0),IF(ISNUMBER($G902),$G902,$F902)&gt;=DATE(PlanYear,9,1)),1,0))</f>
        <v>0</v>
      </c>
      <c r="X902">
        <f>IF($N902=0,0,IF(AND($F902&lt;=EOMONTH(DATE(PlanYear,10,1),0),IF(ISNUMBER($G902),$G902,$F902)&gt;=DATE(PlanYear,10,1)),1,0))</f>
        <v>0</v>
      </c>
      <c r="Y902">
        <f>IF($N902=0,0,IF(AND($F902&lt;=EOMONTH(DATE(PlanYear,11,1),0),IF(ISNUMBER($G902),$G902,$F902)&gt;=DATE(PlanYear,11,1)),1,0))</f>
        <v>0</v>
      </c>
      <c r="Z902">
        <f>IF($N902=0,0,IF(AND($F902&lt;=EOMONTH(DATE(PlanYear,12,1),0),IF(ISNUMBER($G902),$G902,$F902)&gt;=DATE(PlanYear,12,1)),1,0))</f>
        <v>0</v>
      </c>
      <c r="AA902">
        <f>SUM($O902:$Z902)</f>
        <v>0</v>
      </c>
    </row>
    <row r="903" spans="1:27">
      <c r="A903" s="42">
        <f>IF($B903="","","ACT-"&amp;TEXT(ROW()-4,"000"))</f>
        <v>0</v>
      </c>
      <c r="M903" s="43">
        <f>IF(COUNTA($B903:$K903)=0,"",IF($B903="","Missing activity name",IF($C903="","Missing practice",IF(COUNTIF(PracticeNames,$C903)=0,"Practice not in Lists",IF($D903="","Missing motion",IF(NOT(ISNUMBER($F903)),"Missing or invalid start date",IF(AND(ISNUMBER($G903),$G903&lt;$F903),"End date before start",IF(AND($N903=1,$AA903=0),"Outside planning year","OK"))))))))</f>
        <v>0</v>
      </c>
      <c r="N903">
        <f>IF(AND($B903&lt;&gt;"",$C903&lt;&gt;"",$D903&lt;&gt;"",ISNUMBER($F903),COUNTIF(PracticeNames,$C903)&gt;0,COUNTIF(MotionNames,$D903)&gt;0,NOT(AND(ISNUMBER($G903),$G903&lt;$F903))),IF(StatusFilter="All (excl. Cancelled)",IF($H903="Cancelled",0,1),IF(StatusFilter="All",1,IF($H903=StatusFilter,1,0))),0)</f>
        <v>0</v>
      </c>
      <c r="O903">
        <f>IF($N903=0,0,IF(AND($F903&lt;=EOMONTH(DATE(PlanYear,1,1),0),IF(ISNUMBER($G903),$G903,$F903)&gt;=DATE(PlanYear,1,1)),1,0))</f>
        <v>0</v>
      </c>
      <c r="P903">
        <f>IF($N903=0,0,IF(AND($F903&lt;=EOMONTH(DATE(PlanYear,2,1),0),IF(ISNUMBER($G903),$G903,$F903)&gt;=DATE(PlanYear,2,1)),1,0))</f>
        <v>0</v>
      </c>
      <c r="Q903">
        <f>IF($N903=0,0,IF(AND($F903&lt;=EOMONTH(DATE(PlanYear,3,1),0),IF(ISNUMBER($G903),$G903,$F903)&gt;=DATE(PlanYear,3,1)),1,0))</f>
        <v>0</v>
      </c>
      <c r="R903">
        <f>IF($N903=0,0,IF(AND($F903&lt;=EOMONTH(DATE(PlanYear,4,1),0),IF(ISNUMBER($G903),$G903,$F903)&gt;=DATE(PlanYear,4,1)),1,0))</f>
        <v>0</v>
      </c>
      <c r="S903">
        <f>IF($N903=0,0,IF(AND($F903&lt;=EOMONTH(DATE(PlanYear,5,1),0),IF(ISNUMBER($G903),$G903,$F903)&gt;=DATE(PlanYear,5,1)),1,0))</f>
        <v>0</v>
      </c>
      <c r="T903">
        <f>IF($N903=0,0,IF(AND($F903&lt;=EOMONTH(DATE(PlanYear,6,1),0),IF(ISNUMBER($G903),$G903,$F903)&gt;=DATE(PlanYear,6,1)),1,0))</f>
        <v>0</v>
      </c>
      <c r="U903">
        <f>IF($N903=0,0,IF(AND($F903&lt;=EOMONTH(DATE(PlanYear,7,1),0),IF(ISNUMBER($G903),$G903,$F903)&gt;=DATE(PlanYear,7,1)),1,0))</f>
        <v>0</v>
      </c>
      <c r="V903">
        <f>IF($N903=0,0,IF(AND($F903&lt;=EOMONTH(DATE(PlanYear,8,1),0),IF(ISNUMBER($G903),$G903,$F903)&gt;=DATE(PlanYear,8,1)),1,0))</f>
        <v>0</v>
      </c>
      <c r="W903">
        <f>IF($N903=0,0,IF(AND($F903&lt;=EOMONTH(DATE(PlanYear,9,1),0),IF(ISNUMBER($G903),$G903,$F903)&gt;=DATE(PlanYear,9,1)),1,0))</f>
        <v>0</v>
      </c>
      <c r="X903">
        <f>IF($N903=0,0,IF(AND($F903&lt;=EOMONTH(DATE(PlanYear,10,1),0),IF(ISNUMBER($G903),$G903,$F903)&gt;=DATE(PlanYear,10,1)),1,0))</f>
        <v>0</v>
      </c>
      <c r="Y903">
        <f>IF($N903=0,0,IF(AND($F903&lt;=EOMONTH(DATE(PlanYear,11,1),0),IF(ISNUMBER($G903),$G903,$F903)&gt;=DATE(PlanYear,11,1)),1,0))</f>
        <v>0</v>
      </c>
      <c r="Z903">
        <f>IF($N903=0,0,IF(AND($F903&lt;=EOMONTH(DATE(PlanYear,12,1),0),IF(ISNUMBER($G903),$G903,$F903)&gt;=DATE(PlanYear,12,1)),1,0))</f>
        <v>0</v>
      </c>
      <c r="AA903">
        <f>SUM($O903:$Z903)</f>
        <v>0</v>
      </c>
    </row>
    <row r="904" spans="1:27">
      <c r="A904" s="42">
        <f>IF($B904="","","ACT-"&amp;TEXT(ROW()-4,"000"))</f>
        <v>0</v>
      </c>
      <c r="M904" s="43">
        <f>IF(COUNTA($B904:$K904)=0,"",IF($B904="","Missing activity name",IF($C904="","Missing practice",IF(COUNTIF(PracticeNames,$C904)=0,"Practice not in Lists",IF($D904="","Missing motion",IF(NOT(ISNUMBER($F904)),"Missing or invalid start date",IF(AND(ISNUMBER($G904),$G904&lt;$F904),"End date before start",IF(AND($N904=1,$AA904=0),"Outside planning year","OK"))))))))</f>
        <v>0</v>
      </c>
      <c r="N904">
        <f>IF(AND($B904&lt;&gt;"",$C904&lt;&gt;"",$D904&lt;&gt;"",ISNUMBER($F904),COUNTIF(PracticeNames,$C904)&gt;0,COUNTIF(MotionNames,$D904)&gt;0,NOT(AND(ISNUMBER($G904),$G904&lt;$F904))),IF(StatusFilter="All (excl. Cancelled)",IF($H904="Cancelled",0,1),IF(StatusFilter="All",1,IF($H904=StatusFilter,1,0))),0)</f>
        <v>0</v>
      </c>
      <c r="O904">
        <f>IF($N904=0,0,IF(AND($F904&lt;=EOMONTH(DATE(PlanYear,1,1),0),IF(ISNUMBER($G904),$G904,$F904)&gt;=DATE(PlanYear,1,1)),1,0))</f>
        <v>0</v>
      </c>
      <c r="P904">
        <f>IF($N904=0,0,IF(AND($F904&lt;=EOMONTH(DATE(PlanYear,2,1),0),IF(ISNUMBER($G904),$G904,$F904)&gt;=DATE(PlanYear,2,1)),1,0))</f>
        <v>0</v>
      </c>
      <c r="Q904">
        <f>IF($N904=0,0,IF(AND($F904&lt;=EOMONTH(DATE(PlanYear,3,1),0),IF(ISNUMBER($G904),$G904,$F904)&gt;=DATE(PlanYear,3,1)),1,0))</f>
        <v>0</v>
      </c>
      <c r="R904">
        <f>IF($N904=0,0,IF(AND($F904&lt;=EOMONTH(DATE(PlanYear,4,1),0),IF(ISNUMBER($G904),$G904,$F904)&gt;=DATE(PlanYear,4,1)),1,0))</f>
        <v>0</v>
      </c>
      <c r="S904">
        <f>IF($N904=0,0,IF(AND($F904&lt;=EOMONTH(DATE(PlanYear,5,1),0),IF(ISNUMBER($G904),$G904,$F904)&gt;=DATE(PlanYear,5,1)),1,0))</f>
        <v>0</v>
      </c>
      <c r="T904">
        <f>IF($N904=0,0,IF(AND($F904&lt;=EOMONTH(DATE(PlanYear,6,1),0),IF(ISNUMBER($G904),$G904,$F904)&gt;=DATE(PlanYear,6,1)),1,0))</f>
        <v>0</v>
      </c>
      <c r="U904">
        <f>IF($N904=0,0,IF(AND($F904&lt;=EOMONTH(DATE(PlanYear,7,1),0),IF(ISNUMBER($G904),$G904,$F904)&gt;=DATE(PlanYear,7,1)),1,0))</f>
        <v>0</v>
      </c>
      <c r="V904">
        <f>IF($N904=0,0,IF(AND($F904&lt;=EOMONTH(DATE(PlanYear,8,1),0),IF(ISNUMBER($G904),$G904,$F904)&gt;=DATE(PlanYear,8,1)),1,0))</f>
        <v>0</v>
      </c>
      <c r="W904">
        <f>IF($N904=0,0,IF(AND($F904&lt;=EOMONTH(DATE(PlanYear,9,1),0),IF(ISNUMBER($G904),$G904,$F904)&gt;=DATE(PlanYear,9,1)),1,0))</f>
        <v>0</v>
      </c>
      <c r="X904">
        <f>IF($N904=0,0,IF(AND($F904&lt;=EOMONTH(DATE(PlanYear,10,1),0),IF(ISNUMBER($G904),$G904,$F904)&gt;=DATE(PlanYear,10,1)),1,0))</f>
        <v>0</v>
      </c>
      <c r="Y904">
        <f>IF($N904=0,0,IF(AND($F904&lt;=EOMONTH(DATE(PlanYear,11,1),0),IF(ISNUMBER($G904),$G904,$F904)&gt;=DATE(PlanYear,11,1)),1,0))</f>
        <v>0</v>
      </c>
      <c r="Z904">
        <f>IF($N904=0,0,IF(AND($F904&lt;=EOMONTH(DATE(PlanYear,12,1),0),IF(ISNUMBER($G904),$G904,$F904)&gt;=DATE(PlanYear,12,1)),1,0))</f>
        <v>0</v>
      </c>
      <c r="AA904">
        <f>SUM($O904:$Z904)</f>
        <v>0</v>
      </c>
    </row>
    <row r="905" spans="1:27">
      <c r="A905" s="42">
        <f>IF($B905="","","ACT-"&amp;TEXT(ROW()-4,"000"))</f>
        <v>0</v>
      </c>
      <c r="M905" s="43">
        <f>IF(COUNTA($B905:$K905)=0,"",IF($B905="","Missing activity name",IF($C905="","Missing practice",IF(COUNTIF(PracticeNames,$C905)=0,"Practice not in Lists",IF($D905="","Missing motion",IF(NOT(ISNUMBER($F905)),"Missing or invalid start date",IF(AND(ISNUMBER($G905),$G905&lt;$F905),"End date before start",IF(AND($N905=1,$AA905=0),"Outside planning year","OK"))))))))</f>
        <v>0</v>
      </c>
      <c r="N905">
        <f>IF(AND($B905&lt;&gt;"",$C905&lt;&gt;"",$D905&lt;&gt;"",ISNUMBER($F905),COUNTIF(PracticeNames,$C905)&gt;0,COUNTIF(MotionNames,$D905)&gt;0,NOT(AND(ISNUMBER($G905),$G905&lt;$F905))),IF(StatusFilter="All (excl. Cancelled)",IF($H905="Cancelled",0,1),IF(StatusFilter="All",1,IF($H905=StatusFilter,1,0))),0)</f>
        <v>0</v>
      </c>
      <c r="O905">
        <f>IF($N905=0,0,IF(AND($F905&lt;=EOMONTH(DATE(PlanYear,1,1),0),IF(ISNUMBER($G905),$G905,$F905)&gt;=DATE(PlanYear,1,1)),1,0))</f>
        <v>0</v>
      </c>
      <c r="P905">
        <f>IF($N905=0,0,IF(AND($F905&lt;=EOMONTH(DATE(PlanYear,2,1),0),IF(ISNUMBER($G905),$G905,$F905)&gt;=DATE(PlanYear,2,1)),1,0))</f>
        <v>0</v>
      </c>
      <c r="Q905">
        <f>IF($N905=0,0,IF(AND($F905&lt;=EOMONTH(DATE(PlanYear,3,1),0),IF(ISNUMBER($G905),$G905,$F905)&gt;=DATE(PlanYear,3,1)),1,0))</f>
        <v>0</v>
      </c>
      <c r="R905">
        <f>IF($N905=0,0,IF(AND($F905&lt;=EOMONTH(DATE(PlanYear,4,1),0),IF(ISNUMBER($G905),$G905,$F905)&gt;=DATE(PlanYear,4,1)),1,0))</f>
        <v>0</v>
      </c>
      <c r="S905">
        <f>IF($N905=0,0,IF(AND($F905&lt;=EOMONTH(DATE(PlanYear,5,1),0),IF(ISNUMBER($G905),$G905,$F905)&gt;=DATE(PlanYear,5,1)),1,0))</f>
        <v>0</v>
      </c>
      <c r="T905">
        <f>IF($N905=0,0,IF(AND($F905&lt;=EOMONTH(DATE(PlanYear,6,1),0),IF(ISNUMBER($G905),$G905,$F905)&gt;=DATE(PlanYear,6,1)),1,0))</f>
        <v>0</v>
      </c>
      <c r="U905">
        <f>IF($N905=0,0,IF(AND($F905&lt;=EOMONTH(DATE(PlanYear,7,1),0),IF(ISNUMBER($G905),$G905,$F905)&gt;=DATE(PlanYear,7,1)),1,0))</f>
        <v>0</v>
      </c>
      <c r="V905">
        <f>IF($N905=0,0,IF(AND($F905&lt;=EOMONTH(DATE(PlanYear,8,1),0),IF(ISNUMBER($G905),$G905,$F905)&gt;=DATE(PlanYear,8,1)),1,0))</f>
        <v>0</v>
      </c>
      <c r="W905">
        <f>IF($N905=0,0,IF(AND($F905&lt;=EOMONTH(DATE(PlanYear,9,1),0),IF(ISNUMBER($G905),$G905,$F905)&gt;=DATE(PlanYear,9,1)),1,0))</f>
        <v>0</v>
      </c>
      <c r="X905">
        <f>IF($N905=0,0,IF(AND($F905&lt;=EOMONTH(DATE(PlanYear,10,1),0),IF(ISNUMBER($G905),$G905,$F905)&gt;=DATE(PlanYear,10,1)),1,0))</f>
        <v>0</v>
      </c>
      <c r="Y905">
        <f>IF($N905=0,0,IF(AND($F905&lt;=EOMONTH(DATE(PlanYear,11,1),0),IF(ISNUMBER($G905),$G905,$F905)&gt;=DATE(PlanYear,11,1)),1,0))</f>
        <v>0</v>
      </c>
      <c r="Z905">
        <f>IF($N905=0,0,IF(AND($F905&lt;=EOMONTH(DATE(PlanYear,12,1),0),IF(ISNUMBER($G905),$G905,$F905)&gt;=DATE(PlanYear,12,1)),1,0))</f>
        <v>0</v>
      </c>
      <c r="AA905">
        <f>SUM($O905:$Z905)</f>
        <v>0</v>
      </c>
    </row>
    <row r="906" spans="1:27">
      <c r="A906" s="42">
        <f>IF($B906="","","ACT-"&amp;TEXT(ROW()-4,"000"))</f>
        <v>0</v>
      </c>
      <c r="M906" s="43">
        <f>IF(COUNTA($B906:$K906)=0,"",IF($B906="","Missing activity name",IF($C906="","Missing practice",IF(COUNTIF(PracticeNames,$C906)=0,"Practice not in Lists",IF($D906="","Missing motion",IF(NOT(ISNUMBER($F906)),"Missing or invalid start date",IF(AND(ISNUMBER($G906),$G906&lt;$F906),"End date before start",IF(AND($N906=1,$AA906=0),"Outside planning year","OK"))))))))</f>
        <v>0</v>
      </c>
      <c r="N906">
        <f>IF(AND($B906&lt;&gt;"",$C906&lt;&gt;"",$D906&lt;&gt;"",ISNUMBER($F906),COUNTIF(PracticeNames,$C906)&gt;0,COUNTIF(MotionNames,$D906)&gt;0,NOT(AND(ISNUMBER($G906),$G906&lt;$F906))),IF(StatusFilter="All (excl. Cancelled)",IF($H906="Cancelled",0,1),IF(StatusFilter="All",1,IF($H906=StatusFilter,1,0))),0)</f>
        <v>0</v>
      </c>
      <c r="O906">
        <f>IF($N906=0,0,IF(AND($F906&lt;=EOMONTH(DATE(PlanYear,1,1),0),IF(ISNUMBER($G906),$G906,$F906)&gt;=DATE(PlanYear,1,1)),1,0))</f>
        <v>0</v>
      </c>
      <c r="P906">
        <f>IF($N906=0,0,IF(AND($F906&lt;=EOMONTH(DATE(PlanYear,2,1),0),IF(ISNUMBER($G906),$G906,$F906)&gt;=DATE(PlanYear,2,1)),1,0))</f>
        <v>0</v>
      </c>
      <c r="Q906">
        <f>IF($N906=0,0,IF(AND($F906&lt;=EOMONTH(DATE(PlanYear,3,1),0),IF(ISNUMBER($G906),$G906,$F906)&gt;=DATE(PlanYear,3,1)),1,0))</f>
        <v>0</v>
      </c>
      <c r="R906">
        <f>IF($N906=0,0,IF(AND($F906&lt;=EOMONTH(DATE(PlanYear,4,1),0),IF(ISNUMBER($G906),$G906,$F906)&gt;=DATE(PlanYear,4,1)),1,0))</f>
        <v>0</v>
      </c>
      <c r="S906">
        <f>IF($N906=0,0,IF(AND($F906&lt;=EOMONTH(DATE(PlanYear,5,1),0),IF(ISNUMBER($G906),$G906,$F906)&gt;=DATE(PlanYear,5,1)),1,0))</f>
        <v>0</v>
      </c>
      <c r="T906">
        <f>IF($N906=0,0,IF(AND($F906&lt;=EOMONTH(DATE(PlanYear,6,1),0),IF(ISNUMBER($G906),$G906,$F906)&gt;=DATE(PlanYear,6,1)),1,0))</f>
        <v>0</v>
      </c>
      <c r="U906">
        <f>IF($N906=0,0,IF(AND($F906&lt;=EOMONTH(DATE(PlanYear,7,1),0),IF(ISNUMBER($G906),$G906,$F906)&gt;=DATE(PlanYear,7,1)),1,0))</f>
        <v>0</v>
      </c>
      <c r="V906">
        <f>IF($N906=0,0,IF(AND($F906&lt;=EOMONTH(DATE(PlanYear,8,1),0),IF(ISNUMBER($G906),$G906,$F906)&gt;=DATE(PlanYear,8,1)),1,0))</f>
        <v>0</v>
      </c>
      <c r="W906">
        <f>IF($N906=0,0,IF(AND($F906&lt;=EOMONTH(DATE(PlanYear,9,1),0),IF(ISNUMBER($G906),$G906,$F906)&gt;=DATE(PlanYear,9,1)),1,0))</f>
        <v>0</v>
      </c>
      <c r="X906">
        <f>IF($N906=0,0,IF(AND($F906&lt;=EOMONTH(DATE(PlanYear,10,1),0),IF(ISNUMBER($G906),$G906,$F906)&gt;=DATE(PlanYear,10,1)),1,0))</f>
        <v>0</v>
      </c>
      <c r="Y906">
        <f>IF($N906=0,0,IF(AND($F906&lt;=EOMONTH(DATE(PlanYear,11,1),0),IF(ISNUMBER($G906),$G906,$F906)&gt;=DATE(PlanYear,11,1)),1,0))</f>
        <v>0</v>
      </c>
      <c r="Z906">
        <f>IF($N906=0,0,IF(AND($F906&lt;=EOMONTH(DATE(PlanYear,12,1),0),IF(ISNUMBER($G906),$G906,$F906)&gt;=DATE(PlanYear,12,1)),1,0))</f>
        <v>0</v>
      </c>
      <c r="AA906">
        <f>SUM($O906:$Z906)</f>
        <v>0</v>
      </c>
    </row>
    <row r="907" spans="1:27">
      <c r="A907" s="42">
        <f>IF($B907="","","ACT-"&amp;TEXT(ROW()-4,"000"))</f>
        <v>0</v>
      </c>
      <c r="M907" s="43">
        <f>IF(COUNTA($B907:$K907)=0,"",IF($B907="","Missing activity name",IF($C907="","Missing practice",IF(COUNTIF(PracticeNames,$C907)=0,"Practice not in Lists",IF($D907="","Missing motion",IF(NOT(ISNUMBER($F907)),"Missing or invalid start date",IF(AND(ISNUMBER($G907),$G907&lt;$F907),"End date before start",IF(AND($N907=1,$AA907=0),"Outside planning year","OK"))))))))</f>
        <v>0</v>
      </c>
      <c r="N907">
        <f>IF(AND($B907&lt;&gt;"",$C907&lt;&gt;"",$D907&lt;&gt;"",ISNUMBER($F907),COUNTIF(PracticeNames,$C907)&gt;0,COUNTIF(MotionNames,$D907)&gt;0,NOT(AND(ISNUMBER($G907),$G907&lt;$F907))),IF(StatusFilter="All (excl. Cancelled)",IF($H907="Cancelled",0,1),IF(StatusFilter="All",1,IF($H907=StatusFilter,1,0))),0)</f>
        <v>0</v>
      </c>
      <c r="O907">
        <f>IF($N907=0,0,IF(AND($F907&lt;=EOMONTH(DATE(PlanYear,1,1),0),IF(ISNUMBER($G907),$G907,$F907)&gt;=DATE(PlanYear,1,1)),1,0))</f>
        <v>0</v>
      </c>
      <c r="P907">
        <f>IF($N907=0,0,IF(AND($F907&lt;=EOMONTH(DATE(PlanYear,2,1),0),IF(ISNUMBER($G907),$G907,$F907)&gt;=DATE(PlanYear,2,1)),1,0))</f>
        <v>0</v>
      </c>
      <c r="Q907">
        <f>IF($N907=0,0,IF(AND($F907&lt;=EOMONTH(DATE(PlanYear,3,1),0),IF(ISNUMBER($G907),$G907,$F907)&gt;=DATE(PlanYear,3,1)),1,0))</f>
        <v>0</v>
      </c>
      <c r="R907">
        <f>IF($N907=0,0,IF(AND($F907&lt;=EOMONTH(DATE(PlanYear,4,1),0),IF(ISNUMBER($G907),$G907,$F907)&gt;=DATE(PlanYear,4,1)),1,0))</f>
        <v>0</v>
      </c>
      <c r="S907">
        <f>IF($N907=0,0,IF(AND($F907&lt;=EOMONTH(DATE(PlanYear,5,1),0),IF(ISNUMBER($G907),$G907,$F907)&gt;=DATE(PlanYear,5,1)),1,0))</f>
        <v>0</v>
      </c>
      <c r="T907">
        <f>IF($N907=0,0,IF(AND($F907&lt;=EOMONTH(DATE(PlanYear,6,1),0),IF(ISNUMBER($G907),$G907,$F907)&gt;=DATE(PlanYear,6,1)),1,0))</f>
        <v>0</v>
      </c>
      <c r="U907">
        <f>IF($N907=0,0,IF(AND($F907&lt;=EOMONTH(DATE(PlanYear,7,1),0),IF(ISNUMBER($G907),$G907,$F907)&gt;=DATE(PlanYear,7,1)),1,0))</f>
        <v>0</v>
      </c>
      <c r="V907">
        <f>IF($N907=0,0,IF(AND($F907&lt;=EOMONTH(DATE(PlanYear,8,1),0),IF(ISNUMBER($G907),$G907,$F907)&gt;=DATE(PlanYear,8,1)),1,0))</f>
        <v>0</v>
      </c>
      <c r="W907">
        <f>IF($N907=0,0,IF(AND($F907&lt;=EOMONTH(DATE(PlanYear,9,1),0),IF(ISNUMBER($G907),$G907,$F907)&gt;=DATE(PlanYear,9,1)),1,0))</f>
        <v>0</v>
      </c>
      <c r="X907">
        <f>IF($N907=0,0,IF(AND($F907&lt;=EOMONTH(DATE(PlanYear,10,1),0),IF(ISNUMBER($G907),$G907,$F907)&gt;=DATE(PlanYear,10,1)),1,0))</f>
        <v>0</v>
      </c>
      <c r="Y907">
        <f>IF($N907=0,0,IF(AND($F907&lt;=EOMONTH(DATE(PlanYear,11,1),0),IF(ISNUMBER($G907),$G907,$F907)&gt;=DATE(PlanYear,11,1)),1,0))</f>
        <v>0</v>
      </c>
      <c r="Z907">
        <f>IF($N907=0,0,IF(AND($F907&lt;=EOMONTH(DATE(PlanYear,12,1),0),IF(ISNUMBER($G907),$G907,$F907)&gt;=DATE(PlanYear,12,1)),1,0))</f>
        <v>0</v>
      </c>
      <c r="AA907">
        <f>SUM($O907:$Z907)</f>
        <v>0</v>
      </c>
    </row>
    <row r="908" spans="1:27">
      <c r="A908" s="42">
        <f>IF($B908="","","ACT-"&amp;TEXT(ROW()-4,"000"))</f>
        <v>0</v>
      </c>
      <c r="M908" s="43">
        <f>IF(COUNTA($B908:$K908)=0,"",IF($B908="","Missing activity name",IF($C908="","Missing practice",IF(COUNTIF(PracticeNames,$C908)=0,"Practice not in Lists",IF($D908="","Missing motion",IF(NOT(ISNUMBER($F908)),"Missing or invalid start date",IF(AND(ISNUMBER($G908),$G908&lt;$F908),"End date before start",IF(AND($N908=1,$AA908=0),"Outside planning year","OK"))))))))</f>
        <v>0</v>
      </c>
      <c r="N908">
        <f>IF(AND($B908&lt;&gt;"",$C908&lt;&gt;"",$D908&lt;&gt;"",ISNUMBER($F908),COUNTIF(PracticeNames,$C908)&gt;0,COUNTIF(MotionNames,$D908)&gt;0,NOT(AND(ISNUMBER($G908),$G908&lt;$F908))),IF(StatusFilter="All (excl. Cancelled)",IF($H908="Cancelled",0,1),IF(StatusFilter="All",1,IF($H908=StatusFilter,1,0))),0)</f>
        <v>0</v>
      </c>
      <c r="O908">
        <f>IF($N908=0,0,IF(AND($F908&lt;=EOMONTH(DATE(PlanYear,1,1),0),IF(ISNUMBER($G908),$G908,$F908)&gt;=DATE(PlanYear,1,1)),1,0))</f>
        <v>0</v>
      </c>
      <c r="P908">
        <f>IF($N908=0,0,IF(AND($F908&lt;=EOMONTH(DATE(PlanYear,2,1),0),IF(ISNUMBER($G908),$G908,$F908)&gt;=DATE(PlanYear,2,1)),1,0))</f>
        <v>0</v>
      </c>
      <c r="Q908">
        <f>IF($N908=0,0,IF(AND($F908&lt;=EOMONTH(DATE(PlanYear,3,1),0),IF(ISNUMBER($G908),$G908,$F908)&gt;=DATE(PlanYear,3,1)),1,0))</f>
        <v>0</v>
      </c>
      <c r="R908">
        <f>IF($N908=0,0,IF(AND($F908&lt;=EOMONTH(DATE(PlanYear,4,1),0),IF(ISNUMBER($G908),$G908,$F908)&gt;=DATE(PlanYear,4,1)),1,0))</f>
        <v>0</v>
      </c>
      <c r="S908">
        <f>IF($N908=0,0,IF(AND($F908&lt;=EOMONTH(DATE(PlanYear,5,1),0),IF(ISNUMBER($G908),$G908,$F908)&gt;=DATE(PlanYear,5,1)),1,0))</f>
        <v>0</v>
      </c>
      <c r="T908">
        <f>IF($N908=0,0,IF(AND($F908&lt;=EOMONTH(DATE(PlanYear,6,1),0),IF(ISNUMBER($G908),$G908,$F908)&gt;=DATE(PlanYear,6,1)),1,0))</f>
        <v>0</v>
      </c>
      <c r="U908">
        <f>IF($N908=0,0,IF(AND($F908&lt;=EOMONTH(DATE(PlanYear,7,1),0),IF(ISNUMBER($G908),$G908,$F908)&gt;=DATE(PlanYear,7,1)),1,0))</f>
        <v>0</v>
      </c>
      <c r="V908">
        <f>IF($N908=0,0,IF(AND($F908&lt;=EOMONTH(DATE(PlanYear,8,1),0),IF(ISNUMBER($G908),$G908,$F908)&gt;=DATE(PlanYear,8,1)),1,0))</f>
        <v>0</v>
      </c>
      <c r="W908">
        <f>IF($N908=0,0,IF(AND($F908&lt;=EOMONTH(DATE(PlanYear,9,1),0),IF(ISNUMBER($G908),$G908,$F908)&gt;=DATE(PlanYear,9,1)),1,0))</f>
        <v>0</v>
      </c>
      <c r="X908">
        <f>IF($N908=0,0,IF(AND($F908&lt;=EOMONTH(DATE(PlanYear,10,1),0),IF(ISNUMBER($G908),$G908,$F908)&gt;=DATE(PlanYear,10,1)),1,0))</f>
        <v>0</v>
      </c>
      <c r="Y908">
        <f>IF($N908=0,0,IF(AND($F908&lt;=EOMONTH(DATE(PlanYear,11,1),0),IF(ISNUMBER($G908),$G908,$F908)&gt;=DATE(PlanYear,11,1)),1,0))</f>
        <v>0</v>
      </c>
      <c r="Z908">
        <f>IF($N908=0,0,IF(AND($F908&lt;=EOMONTH(DATE(PlanYear,12,1),0),IF(ISNUMBER($G908),$G908,$F908)&gt;=DATE(PlanYear,12,1)),1,0))</f>
        <v>0</v>
      </c>
      <c r="AA908">
        <f>SUM($O908:$Z908)</f>
        <v>0</v>
      </c>
    </row>
    <row r="909" spans="1:27">
      <c r="A909" s="42">
        <f>IF($B909="","","ACT-"&amp;TEXT(ROW()-4,"000"))</f>
        <v>0</v>
      </c>
      <c r="M909" s="43">
        <f>IF(COUNTA($B909:$K909)=0,"",IF($B909="","Missing activity name",IF($C909="","Missing practice",IF(COUNTIF(PracticeNames,$C909)=0,"Practice not in Lists",IF($D909="","Missing motion",IF(NOT(ISNUMBER($F909)),"Missing or invalid start date",IF(AND(ISNUMBER($G909),$G909&lt;$F909),"End date before start",IF(AND($N909=1,$AA909=0),"Outside planning year","OK"))))))))</f>
        <v>0</v>
      </c>
      <c r="N909">
        <f>IF(AND($B909&lt;&gt;"",$C909&lt;&gt;"",$D909&lt;&gt;"",ISNUMBER($F909),COUNTIF(PracticeNames,$C909)&gt;0,COUNTIF(MotionNames,$D909)&gt;0,NOT(AND(ISNUMBER($G909),$G909&lt;$F909))),IF(StatusFilter="All (excl. Cancelled)",IF($H909="Cancelled",0,1),IF(StatusFilter="All",1,IF($H909=StatusFilter,1,0))),0)</f>
        <v>0</v>
      </c>
      <c r="O909">
        <f>IF($N909=0,0,IF(AND($F909&lt;=EOMONTH(DATE(PlanYear,1,1),0),IF(ISNUMBER($G909),$G909,$F909)&gt;=DATE(PlanYear,1,1)),1,0))</f>
        <v>0</v>
      </c>
      <c r="P909">
        <f>IF($N909=0,0,IF(AND($F909&lt;=EOMONTH(DATE(PlanYear,2,1),0),IF(ISNUMBER($G909),$G909,$F909)&gt;=DATE(PlanYear,2,1)),1,0))</f>
        <v>0</v>
      </c>
      <c r="Q909">
        <f>IF($N909=0,0,IF(AND($F909&lt;=EOMONTH(DATE(PlanYear,3,1),0),IF(ISNUMBER($G909),$G909,$F909)&gt;=DATE(PlanYear,3,1)),1,0))</f>
        <v>0</v>
      </c>
      <c r="R909">
        <f>IF($N909=0,0,IF(AND($F909&lt;=EOMONTH(DATE(PlanYear,4,1),0),IF(ISNUMBER($G909),$G909,$F909)&gt;=DATE(PlanYear,4,1)),1,0))</f>
        <v>0</v>
      </c>
      <c r="S909">
        <f>IF($N909=0,0,IF(AND($F909&lt;=EOMONTH(DATE(PlanYear,5,1),0),IF(ISNUMBER($G909),$G909,$F909)&gt;=DATE(PlanYear,5,1)),1,0))</f>
        <v>0</v>
      </c>
      <c r="T909">
        <f>IF($N909=0,0,IF(AND($F909&lt;=EOMONTH(DATE(PlanYear,6,1),0),IF(ISNUMBER($G909),$G909,$F909)&gt;=DATE(PlanYear,6,1)),1,0))</f>
        <v>0</v>
      </c>
      <c r="U909">
        <f>IF($N909=0,0,IF(AND($F909&lt;=EOMONTH(DATE(PlanYear,7,1),0),IF(ISNUMBER($G909),$G909,$F909)&gt;=DATE(PlanYear,7,1)),1,0))</f>
        <v>0</v>
      </c>
      <c r="V909">
        <f>IF($N909=0,0,IF(AND($F909&lt;=EOMONTH(DATE(PlanYear,8,1),0),IF(ISNUMBER($G909),$G909,$F909)&gt;=DATE(PlanYear,8,1)),1,0))</f>
        <v>0</v>
      </c>
      <c r="W909">
        <f>IF($N909=0,0,IF(AND($F909&lt;=EOMONTH(DATE(PlanYear,9,1),0),IF(ISNUMBER($G909),$G909,$F909)&gt;=DATE(PlanYear,9,1)),1,0))</f>
        <v>0</v>
      </c>
      <c r="X909">
        <f>IF($N909=0,0,IF(AND($F909&lt;=EOMONTH(DATE(PlanYear,10,1),0),IF(ISNUMBER($G909),$G909,$F909)&gt;=DATE(PlanYear,10,1)),1,0))</f>
        <v>0</v>
      </c>
      <c r="Y909">
        <f>IF($N909=0,0,IF(AND($F909&lt;=EOMONTH(DATE(PlanYear,11,1),0),IF(ISNUMBER($G909),$G909,$F909)&gt;=DATE(PlanYear,11,1)),1,0))</f>
        <v>0</v>
      </c>
      <c r="Z909">
        <f>IF($N909=0,0,IF(AND($F909&lt;=EOMONTH(DATE(PlanYear,12,1),0),IF(ISNUMBER($G909),$G909,$F909)&gt;=DATE(PlanYear,12,1)),1,0))</f>
        <v>0</v>
      </c>
      <c r="AA909">
        <f>SUM($O909:$Z909)</f>
        <v>0</v>
      </c>
    </row>
    <row r="910" spans="1:27">
      <c r="A910" s="42">
        <f>IF($B910="","","ACT-"&amp;TEXT(ROW()-4,"000"))</f>
        <v>0</v>
      </c>
      <c r="M910" s="43">
        <f>IF(COUNTA($B910:$K910)=0,"",IF($B910="","Missing activity name",IF($C910="","Missing practice",IF(COUNTIF(PracticeNames,$C910)=0,"Practice not in Lists",IF($D910="","Missing motion",IF(NOT(ISNUMBER($F910)),"Missing or invalid start date",IF(AND(ISNUMBER($G910),$G910&lt;$F910),"End date before start",IF(AND($N910=1,$AA910=0),"Outside planning year","OK"))))))))</f>
        <v>0</v>
      </c>
      <c r="N910">
        <f>IF(AND($B910&lt;&gt;"",$C910&lt;&gt;"",$D910&lt;&gt;"",ISNUMBER($F910),COUNTIF(PracticeNames,$C910)&gt;0,COUNTIF(MotionNames,$D910)&gt;0,NOT(AND(ISNUMBER($G910),$G910&lt;$F910))),IF(StatusFilter="All (excl. Cancelled)",IF($H910="Cancelled",0,1),IF(StatusFilter="All",1,IF($H910=StatusFilter,1,0))),0)</f>
        <v>0</v>
      </c>
      <c r="O910">
        <f>IF($N910=0,0,IF(AND($F910&lt;=EOMONTH(DATE(PlanYear,1,1),0),IF(ISNUMBER($G910),$G910,$F910)&gt;=DATE(PlanYear,1,1)),1,0))</f>
        <v>0</v>
      </c>
      <c r="P910">
        <f>IF($N910=0,0,IF(AND($F910&lt;=EOMONTH(DATE(PlanYear,2,1),0),IF(ISNUMBER($G910),$G910,$F910)&gt;=DATE(PlanYear,2,1)),1,0))</f>
        <v>0</v>
      </c>
      <c r="Q910">
        <f>IF($N910=0,0,IF(AND($F910&lt;=EOMONTH(DATE(PlanYear,3,1),0),IF(ISNUMBER($G910),$G910,$F910)&gt;=DATE(PlanYear,3,1)),1,0))</f>
        <v>0</v>
      </c>
      <c r="R910">
        <f>IF($N910=0,0,IF(AND($F910&lt;=EOMONTH(DATE(PlanYear,4,1),0),IF(ISNUMBER($G910),$G910,$F910)&gt;=DATE(PlanYear,4,1)),1,0))</f>
        <v>0</v>
      </c>
      <c r="S910">
        <f>IF($N910=0,0,IF(AND($F910&lt;=EOMONTH(DATE(PlanYear,5,1),0),IF(ISNUMBER($G910),$G910,$F910)&gt;=DATE(PlanYear,5,1)),1,0))</f>
        <v>0</v>
      </c>
      <c r="T910">
        <f>IF($N910=0,0,IF(AND($F910&lt;=EOMONTH(DATE(PlanYear,6,1),0),IF(ISNUMBER($G910),$G910,$F910)&gt;=DATE(PlanYear,6,1)),1,0))</f>
        <v>0</v>
      </c>
      <c r="U910">
        <f>IF($N910=0,0,IF(AND($F910&lt;=EOMONTH(DATE(PlanYear,7,1),0),IF(ISNUMBER($G910),$G910,$F910)&gt;=DATE(PlanYear,7,1)),1,0))</f>
        <v>0</v>
      </c>
      <c r="V910">
        <f>IF($N910=0,0,IF(AND($F910&lt;=EOMONTH(DATE(PlanYear,8,1),0),IF(ISNUMBER($G910),$G910,$F910)&gt;=DATE(PlanYear,8,1)),1,0))</f>
        <v>0</v>
      </c>
      <c r="W910">
        <f>IF($N910=0,0,IF(AND($F910&lt;=EOMONTH(DATE(PlanYear,9,1),0),IF(ISNUMBER($G910),$G910,$F910)&gt;=DATE(PlanYear,9,1)),1,0))</f>
        <v>0</v>
      </c>
      <c r="X910">
        <f>IF($N910=0,0,IF(AND($F910&lt;=EOMONTH(DATE(PlanYear,10,1),0),IF(ISNUMBER($G910),$G910,$F910)&gt;=DATE(PlanYear,10,1)),1,0))</f>
        <v>0</v>
      </c>
      <c r="Y910">
        <f>IF($N910=0,0,IF(AND($F910&lt;=EOMONTH(DATE(PlanYear,11,1),0),IF(ISNUMBER($G910),$G910,$F910)&gt;=DATE(PlanYear,11,1)),1,0))</f>
        <v>0</v>
      </c>
      <c r="Z910">
        <f>IF($N910=0,0,IF(AND($F910&lt;=EOMONTH(DATE(PlanYear,12,1),0),IF(ISNUMBER($G910),$G910,$F910)&gt;=DATE(PlanYear,12,1)),1,0))</f>
        <v>0</v>
      </c>
      <c r="AA910">
        <f>SUM($O910:$Z910)</f>
        <v>0</v>
      </c>
    </row>
    <row r="911" spans="1:27">
      <c r="A911" s="42">
        <f>IF($B911="","","ACT-"&amp;TEXT(ROW()-4,"000"))</f>
        <v>0</v>
      </c>
      <c r="M911" s="43">
        <f>IF(COUNTA($B911:$K911)=0,"",IF($B911="","Missing activity name",IF($C911="","Missing practice",IF(COUNTIF(PracticeNames,$C911)=0,"Practice not in Lists",IF($D911="","Missing motion",IF(NOT(ISNUMBER($F911)),"Missing or invalid start date",IF(AND(ISNUMBER($G911),$G911&lt;$F911),"End date before start",IF(AND($N911=1,$AA911=0),"Outside planning year","OK"))))))))</f>
        <v>0</v>
      </c>
      <c r="N911">
        <f>IF(AND($B911&lt;&gt;"",$C911&lt;&gt;"",$D911&lt;&gt;"",ISNUMBER($F911),COUNTIF(PracticeNames,$C911)&gt;0,COUNTIF(MotionNames,$D911)&gt;0,NOT(AND(ISNUMBER($G911),$G911&lt;$F911))),IF(StatusFilter="All (excl. Cancelled)",IF($H911="Cancelled",0,1),IF(StatusFilter="All",1,IF($H911=StatusFilter,1,0))),0)</f>
        <v>0</v>
      </c>
      <c r="O911">
        <f>IF($N911=0,0,IF(AND($F911&lt;=EOMONTH(DATE(PlanYear,1,1),0),IF(ISNUMBER($G911),$G911,$F911)&gt;=DATE(PlanYear,1,1)),1,0))</f>
        <v>0</v>
      </c>
      <c r="P911">
        <f>IF($N911=0,0,IF(AND($F911&lt;=EOMONTH(DATE(PlanYear,2,1),0),IF(ISNUMBER($G911),$G911,$F911)&gt;=DATE(PlanYear,2,1)),1,0))</f>
        <v>0</v>
      </c>
      <c r="Q911">
        <f>IF($N911=0,0,IF(AND($F911&lt;=EOMONTH(DATE(PlanYear,3,1),0),IF(ISNUMBER($G911),$G911,$F911)&gt;=DATE(PlanYear,3,1)),1,0))</f>
        <v>0</v>
      </c>
      <c r="R911">
        <f>IF($N911=0,0,IF(AND($F911&lt;=EOMONTH(DATE(PlanYear,4,1),0),IF(ISNUMBER($G911),$G911,$F911)&gt;=DATE(PlanYear,4,1)),1,0))</f>
        <v>0</v>
      </c>
      <c r="S911">
        <f>IF($N911=0,0,IF(AND($F911&lt;=EOMONTH(DATE(PlanYear,5,1),0),IF(ISNUMBER($G911),$G911,$F911)&gt;=DATE(PlanYear,5,1)),1,0))</f>
        <v>0</v>
      </c>
      <c r="T911">
        <f>IF($N911=0,0,IF(AND($F911&lt;=EOMONTH(DATE(PlanYear,6,1),0),IF(ISNUMBER($G911),$G911,$F911)&gt;=DATE(PlanYear,6,1)),1,0))</f>
        <v>0</v>
      </c>
      <c r="U911">
        <f>IF($N911=0,0,IF(AND($F911&lt;=EOMONTH(DATE(PlanYear,7,1),0),IF(ISNUMBER($G911),$G911,$F911)&gt;=DATE(PlanYear,7,1)),1,0))</f>
        <v>0</v>
      </c>
      <c r="V911">
        <f>IF($N911=0,0,IF(AND($F911&lt;=EOMONTH(DATE(PlanYear,8,1),0),IF(ISNUMBER($G911),$G911,$F911)&gt;=DATE(PlanYear,8,1)),1,0))</f>
        <v>0</v>
      </c>
      <c r="W911">
        <f>IF($N911=0,0,IF(AND($F911&lt;=EOMONTH(DATE(PlanYear,9,1),0),IF(ISNUMBER($G911),$G911,$F911)&gt;=DATE(PlanYear,9,1)),1,0))</f>
        <v>0</v>
      </c>
      <c r="X911">
        <f>IF($N911=0,0,IF(AND($F911&lt;=EOMONTH(DATE(PlanYear,10,1),0),IF(ISNUMBER($G911),$G911,$F911)&gt;=DATE(PlanYear,10,1)),1,0))</f>
        <v>0</v>
      </c>
      <c r="Y911">
        <f>IF($N911=0,0,IF(AND($F911&lt;=EOMONTH(DATE(PlanYear,11,1),0),IF(ISNUMBER($G911),$G911,$F911)&gt;=DATE(PlanYear,11,1)),1,0))</f>
        <v>0</v>
      </c>
      <c r="Z911">
        <f>IF($N911=0,0,IF(AND($F911&lt;=EOMONTH(DATE(PlanYear,12,1),0),IF(ISNUMBER($G911),$G911,$F911)&gt;=DATE(PlanYear,12,1)),1,0))</f>
        <v>0</v>
      </c>
      <c r="AA911">
        <f>SUM($O911:$Z911)</f>
        <v>0</v>
      </c>
    </row>
    <row r="912" spans="1:27">
      <c r="A912" s="42">
        <f>IF($B912="","","ACT-"&amp;TEXT(ROW()-4,"000"))</f>
        <v>0</v>
      </c>
      <c r="M912" s="43">
        <f>IF(COUNTA($B912:$K912)=0,"",IF($B912="","Missing activity name",IF($C912="","Missing practice",IF(COUNTIF(PracticeNames,$C912)=0,"Practice not in Lists",IF($D912="","Missing motion",IF(NOT(ISNUMBER($F912)),"Missing or invalid start date",IF(AND(ISNUMBER($G912),$G912&lt;$F912),"End date before start",IF(AND($N912=1,$AA912=0),"Outside planning year","OK"))))))))</f>
        <v>0</v>
      </c>
      <c r="N912">
        <f>IF(AND($B912&lt;&gt;"",$C912&lt;&gt;"",$D912&lt;&gt;"",ISNUMBER($F912),COUNTIF(PracticeNames,$C912)&gt;0,COUNTIF(MotionNames,$D912)&gt;0,NOT(AND(ISNUMBER($G912),$G912&lt;$F912))),IF(StatusFilter="All (excl. Cancelled)",IF($H912="Cancelled",0,1),IF(StatusFilter="All",1,IF($H912=StatusFilter,1,0))),0)</f>
        <v>0</v>
      </c>
      <c r="O912">
        <f>IF($N912=0,0,IF(AND($F912&lt;=EOMONTH(DATE(PlanYear,1,1),0),IF(ISNUMBER($G912),$G912,$F912)&gt;=DATE(PlanYear,1,1)),1,0))</f>
        <v>0</v>
      </c>
      <c r="P912">
        <f>IF($N912=0,0,IF(AND($F912&lt;=EOMONTH(DATE(PlanYear,2,1),0),IF(ISNUMBER($G912),$G912,$F912)&gt;=DATE(PlanYear,2,1)),1,0))</f>
        <v>0</v>
      </c>
      <c r="Q912">
        <f>IF($N912=0,0,IF(AND($F912&lt;=EOMONTH(DATE(PlanYear,3,1),0),IF(ISNUMBER($G912),$G912,$F912)&gt;=DATE(PlanYear,3,1)),1,0))</f>
        <v>0</v>
      </c>
      <c r="R912">
        <f>IF($N912=0,0,IF(AND($F912&lt;=EOMONTH(DATE(PlanYear,4,1),0),IF(ISNUMBER($G912),$G912,$F912)&gt;=DATE(PlanYear,4,1)),1,0))</f>
        <v>0</v>
      </c>
      <c r="S912">
        <f>IF($N912=0,0,IF(AND($F912&lt;=EOMONTH(DATE(PlanYear,5,1),0),IF(ISNUMBER($G912),$G912,$F912)&gt;=DATE(PlanYear,5,1)),1,0))</f>
        <v>0</v>
      </c>
      <c r="T912">
        <f>IF($N912=0,0,IF(AND($F912&lt;=EOMONTH(DATE(PlanYear,6,1),0),IF(ISNUMBER($G912),$G912,$F912)&gt;=DATE(PlanYear,6,1)),1,0))</f>
        <v>0</v>
      </c>
      <c r="U912">
        <f>IF($N912=0,0,IF(AND($F912&lt;=EOMONTH(DATE(PlanYear,7,1),0),IF(ISNUMBER($G912),$G912,$F912)&gt;=DATE(PlanYear,7,1)),1,0))</f>
        <v>0</v>
      </c>
      <c r="V912">
        <f>IF($N912=0,0,IF(AND($F912&lt;=EOMONTH(DATE(PlanYear,8,1),0),IF(ISNUMBER($G912),$G912,$F912)&gt;=DATE(PlanYear,8,1)),1,0))</f>
        <v>0</v>
      </c>
      <c r="W912">
        <f>IF($N912=0,0,IF(AND($F912&lt;=EOMONTH(DATE(PlanYear,9,1),0),IF(ISNUMBER($G912),$G912,$F912)&gt;=DATE(PlanYear,9,1)),1,0))</f>
        <v>0</v>
      </c>
      <c r="X912">
        <f>IF($N912=0,0,IF(AND($F912&lt;=EOMONTH(DATE(PlanYear,10,1),0),IF(ISNUMBER($G912),$G912,$F912)&gt;=DATE(PlanYear,10,1)),1,0))</f>
        <v>0</v>
      </c>
      <c r="Y912">
        <f>IF($N912=0,0,IF(AND($F912&lt;=EOMONTH(DATE(PlanYear,11,1),0),IF(ISNUMBER($G912),$G912,$F912)&gt;=DATE(PlanYear,11,1)),1,0))</f>
        <v>0</v>
      </c>
      <c r="Z912">
        <f>IF($N912=0,0,IF(AND($F912&lt;=EOMONTH(DATE(PlanYear,12,1),0),IF(ISNUMBER($G912),$G912,$F912)&gt;=DATE(PlanYear,12,1)),1,0))</f>
        <v>0</v>
      </c>
      <c r="AA912">
        <f>SUM($O912:$Z912)</f>
        <v>0</v>
      </c>
    </row>
    <row r="913" spans="1:27">
      <c r="A913" s="42">
        <f>IF($B913="","","ACT-"&amp;TEXT(ROW()-4,"000"))</f>
        <v>0</v>
      </c>
      <c r="M913" s="43">
        <f>IF(COUNTA($B913:$K913)=0,"",IF($B913="","Missing activity name",IF($C913="","Missing practice",IF(COUNTIF(PracticeNames,$C913)=0,"Practice not in Lists",IF($D913="","Missing motion",IF(NOT(ISNUMBER($F913)),"Missing or invalid start date",IF(AND(ISNUMBER($G913),$G913&lt;$F913),"End date before start",IF(AND($N913=1,$AA913=0),"Outside planning year","OK"))))))))</f>
        <v>0</v>
      </c>
      <c r="N913">
        <f>IF(AND($B913&lt;&gt;"",$C913&lt;&gt;"",$D913&lt;&gt;"",ISNUMBER($F913),COUNTIF(PracticeNames,$C913)&gt;0,COUNTIF(MotionNames,$D913)&gt;0,NOT(AND(ISNUMBER($G913),$G913&lt;$F913))),IF(StatusFilter="All (excl. Cancelled)",IF($H913="Cancelled",0,1),IF(StatusFilter="All",1,IF($H913=StatusFilter,1,0))),0)</f>
        <v>0</v>
      </c>
      <c r="O913">
        <f>IF($N913=0,0,IF(AND($F913&lt;=EOMONTH(DATE(PlanYear,1,1),0),IF(ISNUMBER($G913),$G913,$F913)&gt;=DATE(PlanYear,1,1)),1,0))</f>
        <v>0</v>
      </c>
      <c r="P913">
        <f>IF($N913=0,0,IF(AND($F913&lt;=EOMONTH(DATE(PlanYear,2,1),0),IF(ISNUMBER($G913),$G913,$F913)&gt;=DATE(PlanYear,2,1)),1,0))</f>
        <v>0</v>
      </c>
      <c r="Q913">
        <f>IF($N913=0,0,IF(AND($F913&lt;=EOMONTH(DATE(PlanYear,3,1),0),IF(ISNUMBER($G913),$G913,$F913)&gt;=DATE(PlanYear,3,1)),1,0))</f>
        <v>0</v>
      </c>
      <c r="R913">
        <f>IF($N913=0,0,IF(AND($F913&lt;=EOMONTH(DATE(PlanYear,4,1),0),IF(ISNUMBER($G913),$G913,$F913)&gt;=DATE(PlanYear,4,1)),1,0))</f>
        <v>0</v>
      </c>
      <c r="S913">
        <f>IF($N913=0,0,IF(AND($F913&lt;=EOMONTH(DATE(PlanYear,5,1),0),IF(ISNUMBER($G913),$G913,$F913)&gt;=DATE(PlanYear,5,1)),1,0))</f>
        <v>0</v>
      </c>
      <c r="T913">
        <f>IF($N913=0,0,IF(AND($F913&lt;=EOMONTH(DATE(PlanYear,6,1),0),IF(ISNUMBER($G913),$G913,$F913)&gt;=DATE(PlanYear,6,1)),1,0))</f>
        <v>0</v>
      </c>
      <c r="U913">
        <f>IF($N913=0,0,IF(AND($F913&lt;=EOMONTH(DATE(PlanYear,7,1),0),IF(ISNUMBER($G913),$G913,$F913)&gt;=DATE(PlanYear,7,1)),1,0))</f>
        <v>0</v>
      </c>
      <c r="V913">
        <f>IF($N913=0,0,IF(AND($F913&lt;=EOMONTH(DATE(PlanYear,8,1),0),IF(ISNUMBER($G913),$G913,$F913)&gt;=DATE(PlanYear,8,1)),1,0))</f>
        <v>0</v>
      </c>
      <c r="W913">
        <f>IF($N913=0,0,IF(AND($F913&lt;=EOMONTH(DATE(PlanYear,9,1),0),IF(ISNUMBER($G913),$G913,$F913)&gt;=DATE(PlanYear,9,1)),1,0))</f>
        <v>0</v>
      </c>
      <c r="X913">
        <f>IF($N913=0,0,IF(AND($F913&lt;=EOMONTH(DATE(PlanYear,10,1),0),IF(ISNUMBER($G913),$G913,$F913)&gt;=DATE(PlanYear,10,1)),1,0))</f>
        <v>0</v>
      </c>
      <c r="Y913">
        <f>IF($N913=0,0,IF(AND($F913&lt;=EOMONTH(DATE(PlanYear,11,1),0),IF(ISNUMBER($G913),$G913,$F913)&gt;=DATE(PlanYear,11,1)),1,0))</f>
        <v>0</v>
      </c>
      <c r="Z913">
        <f>IF($N913=0,0,IF(AND($F913&lt;=EOMONTH(DATE(PlanYear,12,1),0),IF(ISNUMBER($G913),$G913,$F913)&gt;=DATE(PlanYear,12,1)),1,0))</f>
        <v>0</v>
      </c>
      <c r="AA913">
        <f>SUM($O913:$Z913)</f>
        <v>0</v>
      </c>
    </row>
    <row r="914" spans="1:27">
      <c r="A914" s="42">
        <f>IF($B914="","","ACT-"&amp;TEXT(ROW()-4,"000"))</f>
        <v>0</v>
      </c>
      <c r="M914" s="43">
        <f>IF(COUNTA($B914:$K914)=0,"",IF($B914="","Missing activity name",IF($C914="","Missing practice",IF(COUNTIF(PracticeNames,$C914)=0,"Practice not in Lists",IF($D914="","Missing motion",IF(NOT(ISNUMBER($F914)),"Missing or invalid start date",IF(AND(ISNUMBER($G914),$G914&lt;$F914),"End date before start",IF(AND($N914=1,$AA914=0),"Outside planning year","OK"))))))))</f>
        <v>0</v>
      </c>
      <c r="N914">
        <f>IF(AND($B914&lt;&gt;"",$C914&lt;&gt;"",$D914&lt;&gt;"",ISNUMBER($F914),COUNTIF(PracticeNames,$C914)&gt;0,COUNTIF(MotionNames,$D914)&gt;0,NOT(AND(ISNUMBER($G914),$G914&lt;$F914))),IF(StatusFilter="All (excl. Cancelled)",IF($H914="Cancelled",0,1),IF(StatusFilter="All",1,IF($H914=StatusFilter,1,0))),0)</f>
        <v>0</v>
      </c>
      <c r="O914">
        <f>IF($N914=0,0,IF(AND($F914&lt;=EOMONTH(DATE(PlanYear,1,1),0),IF(ISNUMBER($G914),$G914,$F914)&gt;=DATE(PlanYear,1,1)),1,0))</f>
        <v>0</v>
      </c>
      <c r="P914">
        <f>IF($N914=0,0,IF(AND($F914&lt;=EOMONTH(DATE(PlanYear,2,1),0),IF(ISNUMBER($G914),$G914,$F914)&gt;=DATE(PlanYear,2,1)),1,0))</f>
        <v>0</v>
      </c>
      <c r="Q914">
        <f>IF($N914=0,0,IF(AND($F914&lt;=EOMONTH(DATE(PlanYear,3,1),0),IF(ISNUMBER($G914),$G914,$F914)&gt;=DATE(PlanYear,3,1)),1,0))</f>
        <v>0</v>
      </c>
      <c r="R914">
        <f>IF($N914=0,0,IF(AND($F914&lt;=EOMONTH(DATE(PlanYear,4,1),0),IF(ISNUMBER($G914),$G914,$F914)&gt;=DATE(PlanYear,4,1)),1,0))</f>
        <v>0</v>
      </c>
      <c r="S914">
        <f>IF($N914=0,0,IF(AND($F914&lt;=EOMONTH(DATE(PlanYear,5,1),0),IF(ISNUMBER($G914),$G914,$F914)&gt;=DATE(PlanYear,5,1)),1,0))</f>
        <v>0</v>
      </c>
      <c r="T914">
        <f>IF($N914=0,0,IF(AND($F914&lt;=EOMONTH(DATE(PlanYear,6,1),0),IF(ISNUMBER($G914),$G914,$F914)&gt;=DATE(PlanYear,6,1)),1,0))</f>
        <v>0</v>
      </c>
      <c r="U914">
        <f>IF($N914=0,0,IF(AND($F914&lt;=EOMONTH(DATE(PlanYear,7,1),0),IF(ISNUMBER($G914),$G914,$F914)&gt;=DATE(PlanYear,7,1)),1,0))</f>
        <v>0</v>
      </c>
      <c r="V914">
        <f>IF($N914=0,0,IF(AND($F914&lt;=EOMONTH(DATE(PlanYear,8,1),0),IF(ISNUMBER($G914),$G914,$F914)&gt;=DATE(PlanYear,8,1)),1,0))</f>
        <v>0</v>
      </c>
      <c r="W914">
        <f>IF($N914=0,0,IF(AND($F914&lt;=EOMONTH(DATE(PlanYear,9,1),0),IF(ISNUMBER($G914),$G914,$F914)&gt;=DATE(PlanYear,9,1)),1,0))</f>
        <v>0</v>
      </c>
      <c r="X914">
        <f>IF($N914=0,0,IF(AND($F914&lt;=EOMONTH(DATE(PlanYear,10,1),0),IF(ISNUMBER($G914),$G914,$F914)&gt;=DATE(PlanYear,10,1)),1,0))</f>
        <v>0</v>
      </c>
      <c r="Y914">
        <f>IF($N914=0,0,IF(AND($F914&lt;=EOMONTH(DATE(PlanYear,11,1),0),IF(ISNUMBER($G914),$G914,$F914)&gt;=DATE(PlanYear,11,1)),1,0))</f>
        <v>0</v>
      </c>
      <c r="Z914">
        <f>IF($N914=0,0,IF(AND($F914&lt;=EOMONTH(DATE(PlanYear,12,1),0),IF(ISNUMBER($G914),$G914,$F914)&gt;=DATE(PlanYear,12,1)),1,0))</f>
        <v>0</v>
      </c>
      <c r="AA914">
        <f>SUM($O914:$Z914)</f>
        <v>0</v>
      </c>
    </row>
    <row r="915" spans="1:27">
      <c r="A915" s="42">
        <f>IF($B915="","","ACT-"&amp;TEXT(ROW()-4,"000"))</f>
        <v>0</v>
      </c>
      <c r="M915" s="43">
        <f>IF(COUNTA($B915:$K915)=0,"",IF($B915="","Missing activity name",IF($C915="","Missing practice",IF(COUNTIF(PracticeNames,$C915)=0,"Practice not in Lists",IF($D915="","Missing motion",IF(NOT(ISNUMBER($F915)),"Missing or invalid start date",IF(AND(ISNUMBER($G915),$G915&lt;$F915),"End date before start",IF(AND($N915=1,$AA915=0),"Outside planning year","OK"))))))))</f>
        <v>0</v>
      </c>
      <c r="N915">
        <f>IF(AND($B915&lt;&gt;"",$C915&lt;&gt;"",$D915&lt;&gt;"",ISNUMBER($F915),COUNTIF(PracticeNames,$C915)&gt;0,COUNTIF(MotionNames,$D915)&gt;0,NOT(AND(ISNUMBER($G915),$G915&lt;$F915))),IF(StatusFilter="All (excl. Cancelled)",IF($H915="Cancelled",0,1),IF(StatusFilter="All",1,IF($H915=StatusFilter,1,0))),0)</f>
        <v>0</v>
      </c>
      <c r="O915">
        <f>IF($N915=0,0,IF(AND($F915&lt;=EOMONTH(DATE(PlanYear,1,1),0),IF(ISNUMBER($G915),$G915,$F915)&gt;=DATE(PlanYear,1,1)),1,0))</f>
        <v>0</v>
      </c>
      <c r="P915">
        <f>IF($N915=0,0,IF(AND($F915&lt;=EOMONTH(DATE(PlanYear,2,1),0),IF(ISNUMBER($G915),$G915,$F915)&gt;=DATE(PlanYear,2,1)),1,0))</f>
        <v>0</v>
      </c>
      <c r="Q915">
        <f>IF($N915=0,0,IF(AND($F915&lt;=EOMONTH(DATE(PlanYear,3,1),0),IF(ISNUMBER($G915),$G915,$F915)&gt;=DATE(PlanYear,3,1)),1,0))</f>
        <v>0</v>
      </c>
      <c r="R915">
        <f>IF($N915=0,0,IF(AND($F915&lt;=EOMONTH(DATE(PlanYear,4,1),0),IF(ISNUMBER($G915),$G915,$F915)&gt;=DATE(PlanYear,4,1)),1,0))</f>
        <v>0</v>
      </c>
      <c r="S915">
        <f>IF($N915=0,0,IF(AND($F915&lt;=EOMONTH(DATE(PlanYear,5,1),0),IF(ISNUMBER($G915),$G915,$F915)&gt;=DATE(PlanYear,5,1)),1,0))</f>
        <v>0</v>
      </c>
      <c r="T915">
        <f>IF($N915=0,0,IF(AND($F915&lt;=EOMONTH(DATE(PlanYear,6,1),0),IF(ISNUMBER($G915),$G915,$F915)&gt;=DATE(PlanYear,6,1)),1,0))</f>
        <v>0</v>
      </c>
      <c r="U915">
        <f>IF($N915=0,0,IF(AND($F915&lt;=EOMONTH(DATE(PlanYear,7,1),0),IF(ISNUMBER($G915),$G915,$F915)&gt;=DATE(PlanYear,7,1)),1,0))</f>
        <v>0</v>
      </c>
      <c r="V915">
        <f>IF($N915=0,0,IF(AND($F915&lt;=EOMONTH(DATE(PlanYear,8,1),0),IF(ISNUMBER($G915),$G915,$F915)&gt;=DATE(PlanYear,8,1)),1,0))</f>
        <v>0</v>
      </c>
      <c r="W915">
        <f>IF($N915=0,0,IF(AND($F915&lt;=EOMONTH(DATE(PlanYear,9,1),0),IF(ISNUMBER($G915),$G915,$F915)&gt;=DATE(PlanYear,9,1)),1,0))</f>
        <v>0</v>
      </c>
      <c r="X915">
        <f>IF($N915=0,0,IF(AND($F915&lt;=EOMONTH(DATE(PlanYear,10,1),0),IF(ISNUMBER($G915),$G915,$F915)&gt;=DATE(PlanYear,10,1)),1,0))</f>
        <v>0</v>
      </c>
      <c r="Y915">
        <f>IF($N915=0,0,IF(AND($F915&lt;=EOMONTH(DATE(PlanYear,11,1),0),IF(ISNUMBER($G915),$G915,$F915)&gt;=DATE(PlanYear,11,1)),1,0))</f>
        <v>0</v>
      </c>
      <c r="Z915">
        <f>IF($N915=0,0,IF(AND($F915&lt;=EOMONTH(DATE(PlanYear,12,1),0),IF(ISNUMBER($G915),$G915,$F915)&gt;=DATE(PlanYear,12,1)),1,0))</f>
        <v>0</v>
      </c>
      <c r="AA915">
        <f>SUM($O915:$Z915)</f>
        <v>0</v>
      </c>
    </row>
    <row r="916" spans="1:27">
      <c r="A916" s="42">
        <f>IF($B916="","","ACT-"&amp;TEXT(ROW()-4,"000"))</f>
        <v>0</v>
      </c>
      <c r="M916" s="43">
        <f>IF(COUNTA($B916:$K916)=0,"",IF($B916="","Missing activity name",IF($C916="","Missing practice",IF(COUNTIF(PracticeNames,$C916)=0,"Practice not in Lists",IF($D916="","Missing motion",IF(NOT(ISNUMBER($F916)),"Missing or invalid start date",IF(AND(ISNUMBER($G916),$G916&lt;$F916),"End date before start",IF(AND($N916=1,$AA916=0),"Outside planning year","OK"))))))))</f>
        <v>0</v>
      </c>
      <c r="N916">
        <f>IF(AND($B916&lt;&gt;"",$C916&lt;&gt;"",$D916&lt;&gt;"",ISNUMBER($F916),COUNTIF(PracticeNames,$C916)&gt;0,COUNTIF(MotionNames,$D916)&gt;0,NOT(AND(ISNUMBER($G916),$G916&lt;$F916))),IF(StatusFilter="All (excl. Cancelled)",IF($H916="Cancelled",0,1),IF(StatusFilter="All",1,IF($H916=StatusFilter,1,0))),0)</f>
        <v>0</v>
      </c>
      <c r="O916">
        <f>IF($N916=0,0,IF(AND($F916&lt;=EOMONTH(DATE(PlanYear,1,1),0),IF(ISNUMBER($G916),$G916,$F916)&gt;=DATE(PlanYear,1,1)),1,0))</f>
        <v>0</v>
      </c>
      <c r="P916">
        <f>IF($N916=0,0,IF(AND($F916&lt;=EOMONTH(DATE(PlanYear,2,1),0),IF(ISNUMBER($G916),$G916,$F916)&gt;=DATE(PlanYear,2,1)),1,0))</f>
        <v>0</v>
      </c>
      <c r="Q916">
        <f>IF($N916=0,0,IF(AND($F916&lt;=EOMONTH(DATE(PlanYear,3,1),0),IF(ISNUMBER($G916),$G916,$F916)&gt;=DATE(PlanYear,3,1)),1,0))</f>
        <v>0</v>
      </c>
      <c r="R916">
        <f>IF($N916=0,0,IF(AND($F916&lt;=EOMONTH(DATE(PlanYear,4,1),0),IF(ISNUMBER($G916),$G916,$F916)&gt;=DATE(PlanYear,4,1)),1,0))</f>
        <v>0</v>
      </c>
      <c r="S916">
        <f>IF($N916=0,0,IF(AND($F916&lt;=EOMONTH(DATE(PlanYear,5,1),0),IF(ISNUMBER($G916),$G916,$F916)&gt;=DATE(PlanYear,5,1)),1,0))</f>
        <v>0</v>
      </c>
      <c r="T916">
        <f>IF($N916=0,0,IF(AND($F916&lt;=EOMONTH(DATE(PlanYear,6,1),0),IF(ISNUMBER($G916),$G916,$F916)&gt;=DATE(PlanYear,6,1)),1,0))</f>
        <v>0</v>
      </c>
      <c r="U916">
        <f>IF($N916=0,0,IF(AND($F916&lt;=EOMONTH(DATE(PlanYear,7,1),0),IF(ISNUMBER($G916),$G916,$F916)&gt;=DATE(PlanYear,7,1)),1,0))</f>
        <v>0</v>
      </c>
      <c r="V916">
        <f>IF($N916=0,0,IF(AND($F916&lt;=EOMONTH(DATE(PlanYear,8,1),0),IF(ISNUMBER($G916),$G916,$F916)&gt;=DATE(PlanYear,8,1)),1,0))</f>
        <v>0</v>
      </c>
      <c r="W916">
        <f>IF($N916=0,0,IF(AND($F916&lt;=EOMONTH(DATE(PlanYear,9,1),0),IF(ISNUMBER($G916),$G916,$F916)&gt;=DATE(PlanYear,9,1)),1,0))</f>
        <v>0</v>
      </c>
      <c r="X916">
        <f>IF($N916=0,0,IF(AND($F916&lt;=EOMONTH(DATE(PlanYear,10,1),0),IF(ISNUMBER($G916),$G916,$F916)&gt;=DATE(PlanYear,10,1)),1,0))</f>
        <v>0</v>
      </c>
      <c r="Y916">
        <f>IF($N916=0,0,IF(AND($F916&lt;=EOMONTH(DATE(PlanYear,11,1),0),IF(ISNUMBER($G916),$G916,$F916)&gt;=DATE(PlanYear,11,1)),1,0))</f>
        <v>0</v>
      </c>
      <c r="Z916">
        <f>IF($N916=0,0,IF(AND($F916&lt;=EOMONTH(DATE(PlanYear,12,1),0),IF(ISNUMBER($G916),$G916,$F916)&gt;=DATE(PlanYear,12,1)),1,0))</f>
        <v>0</v>
      </c>
      <c r="AA916">
        <f>SUM($O916:$Z916)</f>
        <v>0</v>
      </c>
    </row>
    <row r="917" spans="1:27">
      <c r="A917" s="42">
        <f>IF($B917="","","ACT-"&amp;TEXT(ROW()-4,"000"))</f>
        <v>0</v>
      </c>
      <c r="M917" s="43">
        <f>IF(COUNTA($B917:$K917)=0,"",IF($B917="","Missing activity name",IF($C917="","Missing practice",IF(COUNTIF(PracticeNames,$C917)=0,"Practice not in Lists",IF($D917="","Missing motion",IF(NOT(ISNUMBER($F917)),"Missing or invalid start date",IF(AND(ISNUMBER($G917),$G917&lt;$F917),"End date before start",IF(AND($N917=1,$AA917=0),"Outside planning year","OK"))))))))</f>
        <v>0</v>
      </c>
      <c r="N917">
        <f>IF(AND($B917&lt;&gt;"",$C917&lt;&gt;"",$D917&lt;&gt;"",ISNUMBER($F917),COUNTIF(PracticeNames,$C917)&gt;0,COUNTIF(MotionNames,$D917)&gt;0,NOT(AND(ISNUMBER($G917),$G917&lt;$F917))),IF(StatusFilter="All (excl. Cancelled)",IF($H917="Cancelled",0,1),IF(StatusFilter="All",1,IF($H917=StatusFilter,1,0))),0)</f>
        <v>0</v>
      </c>
      <c r="O917">
        <f>IF($N917=0,0,IF(AND($F917&lt;=EOMONTH(DATE(PlanYear,1,1),0),IF(ISNUMBER($G917),$G917,$F917)&gt;=DATE(PlanYear,1,1)),1,0))</f>
        <v>0</v>
      </c>
      <c r="P917">
        <f>IF($N917=0,0,IF(AND($F917&lt;=EOMONTH(DATE(PlanYear,2,1),0),IF(ISNUMBER($G917),$G917,$F917)&gt;=DATE(PlanYear,2,1)),1,0))</f>
        <v>0</v>
      </c>
      <c r="Q917">
        <f>IF($N917=0,0,IF(AND($F917&lt;=EOMONTH(DATE(PlanYear,3,1),0),IF(ISNUMBER($G917),$G917,$F917)&gt;=DATE(PlanYear,3,1)),1,0))</f>
        <v>0</v>
      </c>
      <c r="R917">
        <f>IF($N917=0,0,IF(AND($F917&lt;=EOMONTH(DATE(PlanYear,4,1),0),IF(ISNUMBER($G917),$G917,$F917)&gt;=DATE(PlanYear,4,1)),1,0))</f>
        <v>0</v>
      </c>
      <c r="S917">
        <f>IF($N917=0,0,IF(AND($F917&lt;=EOMONTH(DATE(PlanYear,5,1),0),IF(ISNUMBER($G917),$G917,$F917)&gt;=DATE(PlanYear,5,1)),1,0))</f>
        <v>0</v>
      </c>
      <c r="T917">
        <f>IF($N917=0,0,IF(AND($F917&lt;=EOMONTH(DATE(PlanYear,6,1),0),IF(ISNUMBER($G917),$G917,$F917)&gt;=DATE(PlanYear,6,1)),1,0))</f>
        <v>0</v>
      </c>
      <c r="U917">
        <f>IF($N917=0,0,IF(AND($F917&lt;=EOMONTH(DATE(PlanYear,7,1),0),IF(ISNUMBER($G917),$G917,$F917)&gt;=DATE(PlanYear,7,1)),1,0))</f>
        <v>0</v>
      </c>
      <c r="V917">
        <f>IF($N917=0,0,IF(AND($F917&lt;=EOMONTH(DATE(PlanYear,8,1),0),IF(ISNUMBER($G917),$G917,$F917)&gt;=DATE(PlanYear,8,1)),1,0))</f>
        <v>0</v>
      </c>
      <c r="W917">
        <f>IF($N917=0,0,IF(AND($F917&lt;=EOMONTH(DATE(PlanYear,9,1),0),IF(ISNUMBER($G917),$G917,$F917)&gt;=DATE(PlanYear,9,1)),1,0))</f>
        <v>0</v>
      </c>
      <c r="X917">
        <f>IF($N917=0,0,IF(AND($F917&lt;=EOMONTH(DATE(PlanYear,10,1),0),IF(ISNUMBER($G917),$G917,$F917)&gt;=DATE(PlanYear,10,1)),1,0))</f>
        <v>0</v>
      </c>
      <c r="Y917">
        <f>IF($N917=0,0,IF(AND($F917&lt;=EOMONTH(DATE(PlanYear,11,1),0),IF(ISNUMBER($G917),$G917,$F917)&gt;=DATE(PlanYear,11,1)),1,0))</f>
        <v>0</v>
      </c>
      <c r="Z917">
        <f>IF($N917=0,0,IF(AND($F917&lt;=EOMONTH(DATE(PlanYear,12,1),0),IF(ISNUMBER($G917),$G917,$F917)&gt;=DATE(PlanYear,12,1)),1,0))</f>
        <v>0</v>
      </c>
      <c r="AA917">
        <f>SUM($O917:$Z917)</f>
        <v>0</v>
      </c>
    </row>
    <row r="918" spans="1:27">
      <c r="A918" s="42">
        <f>IF($B918="","","ACT-"&amp;TEXT(ROW()-4,"000"))</f>
        <v>0</v>
      </c>
      <c r="M918" s="43">
        <f>IF(COUNTA($B918:$K918)=0,"",IF($B918="","Missing activity name",IF($C918="","Missing practice",IF(COUNTIF(PracticeNames,$C918)=0,"Practice not in Lists",IF($D918="","Missing motion",IF(NOT(ISNUMBER($F918)),"Missing or invalid start date",IF(AND(ISNUMBER($G918),$G918&lt;$F918),"End date before start",IF(AND($N918=1,$AA918=0),"Outside planning year","OK"))))))))</f>
        <v>0</v>
      </c>
      <c r="N918">
        <f>IF(AND($B918&lt;&gt;"",$C918&lt;&gt;"",$D918&lt;&gt;"",ISNUMBER($F918),COUNTIF(PracticeNames,$C918)&gt;0,COUNTIF(MotionNames,$D918)&gt;0,NOT(AND(ISNUMBER($G918),$G918&lt;$F918))),IF(StatusFilter="All (excl. Cancelled)",IF($H918="Cancelled",0,1),IF(StatusFilter="All",1,IF($H918=StatusFilter,1,0))),0)</f>
        <v>0</v>
      </c>
      <c r="O918">
        <f>IF($N918=0,0,IF(AND($F918&lt;=EOMONTH(DATE(PlanYear,1,1),0),IF(ISNUMBER($G918),$G918,$F918)&gt;=DATE(PlanYear,1,1)),1,0))</f>
        <v>0</v>
      </c>
      <c r="P918">
        <f>IF($N918=0,0,IF(AND($F918&lt;=EOMONTH(DATE(PlanYear,2,1),0),IF(ISNUMBER($G918),$G918,$F918)&gt;=DATE(PlanYear,2,1)),1,0))</f>
        <v>0</v>
      </c>
      <c r="Q918">
        <f>IF($N918=0,0,IF(AND($F918&lt;=EOMONTH(DATE(PlanYear,3,1),0),IF(ISNUMBER($G918),$G918,$F918)&gt;=DATE(PlanYear,3,1)),1,0))</f>
        <v>0</v>
      </c>
      <c r="R918">
        <f>IF($N918=0,0,IF(AND($F918&lt;=EOMONTH(DATE(PlanYear,4,1),0),IF(ISNUMBER($G918),$G918,$F918)&gt;=DATE(PlanYear,4,1)),1,0))</f>
        <v>0</v>
      </c>
      <c r="S918">
        <f>IF($N918=0,0,IF(AND($F918&lt;=EOMONTH(DATE(PlanYear,5,1),0),IF(ISNUMBER($G918),$G918,$F918)&gt;=DATE(PlanYear,5,1)),1,0))</f>
        <v>0</v>
      </c>
      <c r="T918">
        <f>IF($N918=0,0,IF(AND($F918&lt;=EOMONTH(DATE(PlanYear,6,1),0),IF(ISNUMBER($G918),$G918,$F918)&gt;=DATE(PlanYear,6,1)),1,0))</f>
        <v>0</v>
      </c>
      <c r="U918">
        <f>IF($N918=0,0,IF(AND($F918&lt;=EOMONTH(DATE(PlanYear,7,1),0),IF(ISNUMBER($G918),$G918,$F918)&gt;=DATE(PlanYear,7,1)),1,0))</f>
        <v>0</v>
      </c>
      <c r="V918">
        <f>IF($N918=0,0,IF(AND($F918&lt;=EOMONTH(DATE(PlanYear,8,1),0),IF(ISNUMBER($G918),$G918,$F918)&gt;=DATE(PlanYear,8,1)),1,0))</f>
        <v>0</v>
      </c>
      <c r="W918">
        <f>IF($N918=0,0,IF(AND($F918&lt;=EOMONTH(DATE(PlanYear,9,1),0),IF(ISNUMBER($G918),$G918,$F918)&gt;=DATE(PlanYear,9,1)),1,0))</f>
        <v>0</v>
      </c>
      <c r="X918">
        <f>IF($N918=0,0,IF(AND($F918&lt;=EOMONTH(DATE(PlanYear,10,1),0),IF(ISNUMBER($G918),$G918,$F918)&gt;=DATE(PlanYear,10,1)),1,0))</f>
        <v>0</v>
      </c>
      <c r="Y918">
        <f>IF($N918=0,0,IF(AND($F918&lt;=EOMONTH(DATE(PlanYear,11,1),0),IF(ISNUMBER($G918),$G918,$F918)&gt;=DATE(PlanYear,11,1)),1,0))</f>
        <v>0</v>
      </c>
      <c r="Z918">
        <f>IF($N918=0,0,IF(AND($F918&lt;=EOMONTH(DATE(PlanYear,12,1),0),IF(ISNUMBER($G918),$G918,$F918)&gt;=DATE(PlanYear,12,1)),1,0))</f>
        <v>0</v>
      </c>
      <c r="AA918">
        <f>SUM($O918:$Z918)</f>
        <v>0</v>
      </c>
    </row>
    <row r="919" spans="1:27">
      <c r="A919" s="42">
        <f>IF($B919="","","ACT-"&amp;TEXT(ROW()-4,"000"))</f>
        <v>0</v>
      </c>
      <c r="M919" s="43">
        <f>IF(COUNTA($B919:$K919)=0,"",IF($B919="","Missing activity name",IF($C919="","Missing practice",IF(COUNTIF(PracticeNames,$C919)=0,"Practice not in Lists",IF($D919="","Missing motion",IF(NOT(ISNUMBER($F919)),"Missing or invalid start date",IF(AND(ISNUMBER($G919),$G919&lt;$F919),"End date before start",IF(AND($N919=1,$AA919=0),"Outside planning year","OK"))))))))</f>
        <v>0</v>
      </c>
      <c r="N919">
        <f>IF(AND($B919&lt;&gt;"",$C919&lt;&gt;"",$D919&lt;&gt;"",ISNUMBER($F919),COUNTIF(PracticeNames,$C919)&gt;0,COUNTIF(MotionNames,$D919)&gt;0,NOT(AND(ISNUMBER($G919),$G919&lt;$F919))),IF(StatusFilter="All (excl. Cancelled)",IF($H919="Cancelled",0,1),IF(StatusFilter="All",1,IF($H919=StatusFilter,1,0))),0)</f>
        <v>0</v>
      </c>
      <c r="O919">
        <f>IF($N919=0,0,IF(AND($F919&lt;=EOMONTH(DATE(PlanYear,1,1),0),IF(ISNUMBER($G919),$G919,$F919)&gt;=DATE(PlanYear,1,1)),1,0))</f>
        <v>0</v>
      </c>
      <c r="P919">
        <f>IF($N919=0,0,IF(AND($F919&lt;=EOMONTH(DATE(PlanYear,2,1),0),IF(ISNUMBER($G919),$G919,$F919)&gt;=DATE(PlanYear,2,1)),1,0))</f>
        <v>0</v>
      </c>
      <c r="Q919">
        <f>IF($N919=0,0,IF(AND($F919&lt;=EOMONTH(DATE(PlanYear,3,1),0),IF(ISNUMBER($G919),$G919,$F919)&gt;=DATE(PlanYear,3,1)),1,0))</f>
        <v>0</v>
      </c>
      <c r="R919">
        <f>IF($N919=0,0,IF(AND($F919&lt;=EOMONTH(DATE(PlanYear,4,1),0),IF(ISNUMBER($G919),$G919,$F919)&gt;=DATE(PlanYear,4,1)),1,0))</f>
        <v>0</v>
      </c>
      <c r="S919">
        <f>IF($N919=0,0,IF(AND($F919&lt;=EOMONTH(DATE(PlanYear,5,1),0),IF(ISNUMBER($G919),$G919,$F919)&gt;=DATE(PlanYear,5,1)),1,0))</f>
        <v>0</v>
      </c>
      <c r="T919">
        <f>IF($N919=0,0,IF(AND($F919&lt;=EOMONTH(DATE(PlanYear,6,1),0),IF(ISNUMBER($G919),$G919,$F919)&gt;=DATE(PlanYear,6,1)),1,0))</f>
        <v>0</v>
      </c>
      <c r="U919">
        <f>IF($N919=0,0,IF(AND($F919&lt;=EOMONTH(DATE(PlanYear,7,1),0),IF(ISNUMBER($G919),$G919,$F919)&gt;=DATE(PlanYear,7,1)),1,0))</f>
        <v>0</v>
      </c>
      <c r="V919">
        <f>IF($N919=0,0,IF(AND($F919&lt;=EOMONTH(DATE(PlanYear,8,1),0),IF(ISNUMBER($G919),$G919,$F919)&gt;=DATE(PlanYear,8,1)),1,0))</f>
        <v>0</v>
      </c>
      <c r="W919">
        <f>IF($N919=0,0,IF(AND($F919&lt;=EOMONTH(DATE(PlanYear,9,1),0),IF(ISNUMBER($G919),$G919,$F919)&gt;=DATE(PlanYear,9,1)),1,0))</f>
        <v>0</v>
      </c>
      <c r="X919">
        <f>IF($N919=0,0,IF(AND($F919&lt;=EOMONTH(DATE(PlanYear,10,1),0),IF(ISNUMBER($G919),$G919,$F919)&gt;=DATE(PlanYear,10,1)),1,0))</f>
        <v>0</v>
      </c>
      <c r="Y919">
        <f>IF($N919=0,0,IF(AND($F919&lt;=EOMONTH(DATE(PlanYear,11,1),0),IF(ISNUMBER($G919),$G919,$F919)&gt;=DATE(PlanYear,11,1)),1,0))</f>
        <v>0</v>
      </c>
      <c r="Z919">
        <f>IF($N919=0,0,IF(AND($F919&lt;=EOMONTH(DATE(PlanYear,12,1),0),IF(ISNUMBER($G919),$G919,$F919)&gt;=DATE(PlanYear,12,1)),1,0))</f>
        <v>0</v>
      </c>
      <c r="AA919">
        <f>SUM($O919:$Z919)</f>
        <v>0</v>
      </c>
    </row>
    <row r="920" spans="1:27">
      <c r="A920" s="42">
        <f>IF($B920="","","ACT-"&amp;TEXT(ROW()-4,"000"))</f>
        <v>0</v>
      </c>
      <c r="M920" s="43">
        <f>IF(COUNTA($B920:$K920)=0,"",IF($B920="","Missing activity name",IF($C920="","Missing practice",IF(COUNTIF(PracticeNames,$C920)=0,"Practice not in Lists",IF($D920="","Missing motion",IF(NOT(ISNUMBER($F920)),"Missing or invalid start date",IF(AND(ISNUMBER($G920),$G920&lt;$F920),"End date before start",IF(AND($N920=1,$AA920=0),"Outside planning year","OK"))))))))</f>
        <v>0</v>
      </c>
      <c r="N920">
        <f>IF(AND($B920&lt;&gt;"",$C920&lt;&gt;"",$D920&lt;&gt;"",ISNUMBER($F920),COUNTIF(PracticeNames,$C920)&gt;0,COUNTIF(MotionNames,$D920)&gt;0,NOT(AND(ISNUMBER($G920),$G920&lt;$F920))),IF(StatusFilter="All (excl. Cancelled)",IF($H920="Cancelled",0,1),IF(StatusFilter="All",1,IF($H920=StatusFilter,1,0))),0)</f>
        <v>0</v>
      </c>
      <c r="O920">
        <f>IF($N920=0,0,IF(AND($F920&lt;=EOMONTH(DATE(PlanYear,1,1),0),IF(ISNUMBER($G920),$G920,$F920)&gt;=DATE(PlanYear,1,1)),1,0))</f>
        <v>0</v>
      </c>
      <c r="P920">
        <f>IF($N920=0,0,IF(AND($F920&lt;=EOMONTH(DATE(PlanYear,2,1),0),IF(ISNUMBER($G920),$G920,$F920)&gt;=DATE(PlanYear,2,1)),1,0))</f>
        <v>0</v>
      </c>
      <c r="Q920">
        <f>IF($N920=0,0,IF(AND($F920&lt;=EOMONTH(DATE(PlanYear,3,1),0),IF(ISNUMBER($G920),$G920,$F920)&gt;=DATE(PlanYear,3,1)),1,0))</f>
        <v>0</v>
      </c>
      <c r="R920">
        <f>IF($N920=0,0,IF(AND($F920&lt;=EOMONTH(DATE(PlanYear,4,1),0),IF(ISNUMBER($G920),$G920,$F920)&gt;=DATE(PlanYear,4,1)),1,0))</f>
        <v>0</v>
      </c>
      <c r="S920">
        <f>IF($N920=0,0,IF(AND($F920&lt;=EOMONTH(DATE(PlanYear,5,1),0),IF(ISNUMBER($G920),$G920,$F920)&gt;=DATE(PlanYear,5,1)),1,0))</f>
        <v>0</v>
      </c>
      <c r="T920">
        <f>IF($N920=0,0,IF(AND($F920&lt;=EOMONTH(DATE(PlanYear,6,1),0),IF(ISNUMBER($G920),$G920,$F920)&gt;=DATE(PlanYear,6,1)),1,0))</f>
        <v>0</v>
      </c>
      <c r="U920">
        <f>IF($N920=0,0,IF(AND($F920&lt;=EOMONTH(DATE(PlanYear,7,1),0),IF(ISNUMBER($G920),$G920,$F920)&gt;=DATE(PlanYear,7,1)),1,0))</f>
        <v>0</v>
      </c>
      <c r="V920">
        <f>IF($N920=0,0,IF(AND($F920&lt;=EOMONTH(DATE(PlanYear,8,1),0),IF(ISNUMBER($G920),$G920,$F920)&gt;=DATE(PlanYear,8,1)),1,0))</f>
        <v>0</v>
      </c>
      <c r="W920">
        <f>IF($N920=0,0,IF(AND($F920&lt;=EOMONTH(DATE(PlanYear,9,1),0),IF(ISNUMBER($G920),$G920,$F920)&gt;=DATE(PlanYear,9,1)),1,0))</f>
        <v>0</v>
      </c>
      <c r="X920">
        <f>IF($N920=0,0,IF(AND($F920&lt;=EOMONTH(DATE(PlanYear,10,1),0),IF(ISNUMBER($G920),$G920,$F920)&gt;=DATE(PlanYear,10,1)),1,0))</f>
        <v>0</v>
      </c>
      <c r="Y920">
        <f>IF($N920=0,0,IF(AND($F920&lt;=EOMONTH(DATE(PlanYear,11,1),0),IF(ISNUMBER($G920),$G920,$F920)&gt;=DATE(PlanYear,11,1)),1,0))</f>
        <v>0</v>
      </c>
      <c r="Z920">
        <f>IF($N920=0,0,IF(AND($F920&lt;=EOMONTH(DATE(PlanYear,12,1),0),IF(ISNUMBER($G920),$G920,$F920)&gt;=DATE(PlanYear,12,1)),1,0))</f>
        <v>0</v>
      </c>
      <c r="AA920">
        <f>SUM($O920:$Z920)</f>
        <v>0</v>
      </c>
    </row>
    <row r="921" spans="1:27">
      <c r="A921" s="42">
        <f>IF($B921="","","ACT-"&amp;TEXT(ROW()-4,"000"))</f>
        <v>0</v>
      </c>
      <c r="M921" s="43">
        <f>IF(COUNTA($B921:$K921)=0,"",IF($B921="","Missing activity name",IF($C921="","Missing practice",IF(COUNTIF(PracticeNames,$C921)=0,"Practice not in Lists",IF($D921="","Missing motion",IF(NOT(ISNUMBER($F921)),"Missing or invalid start date",IF(AND(ISNUMBER($G921),$G921&lt;$F921),"End date before start",IF(AND($N921=1,$AA921=0),"Outside planning year","OK"))))))))</f>
        <v>0</v>
      </c>
      <c r="N921">
        <f>IF(AND($B921&lt;&gt;"",$C921&lt;&gt;"",$D921&lt;&gt;"",ISNUMBER($F921),COUNTIF(PracticeNames,$C921)&gt;0,COUNTIF(MotionNames,$D921)&gt;0,NOT(AND(ISNUMBER($G921),$G921&lt;$F921))),IF(StatusFilter="All (excl. Cancelled)",IF($H921="Cancelled",0,1),IF(StatusFilter="All",1,IF($H921=StatusFilter,1,0))),0)</f>
        <v>0</v>
      </c>
      <c r="O921">
        <f>IF($N921=0,0,IF(AND($F921&lt;=EOMONTH(DATE(PlanYear,1,1),0),IF(ISNUMBER($G921),$G921,$F921)&gt;=DATE(PlanYear,1,1)),1,0))</f>
        <v>0</v>
      </c>
      <c r="P921">
        <f>IF($N921=0,0,IF(AND($F921&lt;=EOMONTH(DATE(PlanYear,2,1),0),IF(ISNUMBER($G921),$G921,$F921)&gt;=DATE(PlanYear,2,1)),1,0))</f>
        <v>0</v>
      </c>
      <c r="Q921">
        <f>IF($N921=0,0,IF(AND($F921&lt;=EOMONTH(DATE(PlanYear,3,1),0),IF(ISNUMBER($G921),$G921,$F921)&gt;=DATE(PlanYear,3,1)),1,0))</f>
        <v>0</v>
      </c>
      <c r="R921">
        <f>IF($N921=0,0,IF(AND($F921&lt;=EOMONTH(DATE(PlanYear,4,1),0),IF(ISNUMBER($G921),$G921,$F921)&gt;=DATE(PlanYear,4,1)),1,0))</f>
        <v>0</v>
      </c>
      <c r="S921">
        <f>IF($N921=0,0,IF(AND($F921&lt;=EOMONTH(DATE(PlanYear,5,1),0),IF(ISNUMBER($G921),$G921,$F921)&gt;=DATE(PlanYear,5,1)),1,0))</f>
        <v>0</v>
      </c>
      <c r="T921">
        <f>IF($N921=0,0,IF(AND($F921&lt;=EOMONTH(DATE(PlanYear,6,1),0),IF(ISNUMBER($G921),$G921,$F921)&gt;=DATE(PlanYear,6,1)),1,0))</f>
        <v>0</v>
      </c>
      <c r="U921">
        <f>IF($N921=0,0,IF(AND($F921&lt;=EOMONTH(DATE(PlanYear,7,1),0),IF(ISNUMBER($G921),$G921,$F921)&gt;=DATE(PlanYear,7,1)),1,0))</f>
        <v>0</v>
      </c>
      <c r="V921">
        <f>IF($N921=0,0,IF(AND($F921&lt;=EOMONTH(DATE(PlanYear,8,1),0),IF(ISNUMBER($G921),$G921,$F921)&gt;=DATE(PlanYear,8,1)),1,0))</f>
        <v>0</v>
      </c>
      <c r="W921">
        <f>IF($N921=0,0,IF(AND($F921&lt;=EOMONTH(DATE(PlanYear,9,1),0),IF(ISNUMBER($G921),$G921,$F921)&gt;=DATE(PlanYear,9,1)),1,0))</f>
        <v>0</v>
      </c>
      <c r="X921">
        <f>IF($N921=0,0,IF(AND($F921&lt;=EOMONTH(DATE(PlanYear,10,1),0),IF(ISNUMBER($G921),$G921,$F921)&gt;=DATE(PlanYear,10,1)),1,0))</f>
        <v>0</v>
      </c>
      <c r="Y921">
        <f>IF($N921=0,0,IF(AND($F921&lt;=EOMONTH(DATE(PlanYear,11,1),0),IF(ISNUMBER($G921),$G921,$F921)&gt;=DATE(PlanYear,11,1)),1,0))</f>
        <v>0</v>
      </c>
      <c r="Z921">
        <f>IF($N921=0,0,IF(AND($F921&lt;=EOMONTH(DATE(PlanYear,12,1),0),IF(ISNUMBER($G921),$G921,$F921)&gt;=DATE(PlanYear,12,1)),1,0))</f>
        <v>0</v>
      </c>
      <c r="AA921">
        <f>SUM($O921:$Z921)</f>
        <v>0</v>
      </c>
    </row>
    <row r="922" spans="1:27">
      <c r="A922" s="42">
        <f>IF($B922="","","ACT-"&amp;TEXT(ROW()-4,"000"))</f>
        <v>0</v>
      </c>
      <c r="M922" s="43">
        <f>IF(COUNTA($B922:$K922)=0,"",IF($B922="","Missing activity name",IF($C922="","Missing practice",IF(COUNTIF(PracticeNames,$C922)=0,"Practice not in Lists",IF($D922="","Missing motion",IF(NOT(ISNUMBER($F922)),"Missing or invalid start date",IF(AND(ISNUMBER($G922),$G922&lt;$F922),"End date before start",IF(AND($N922=1,$AA922=0),"Outside planning year","OK"))))))))</f>
        <v>0</v>
      </c>
      <c r="N922">
        <f>IF(AND($B922&lt;&gt;"",$C922&lt;&gt;"",$D922&lt;&gt;"",ISNUMBER($F922),COUNTIF(PracticeNames,$C922)&gt;0,COUNTIF(MotionNames,$D922)&gt;0,NOT(AND(ISNUMBER($G922),$G922&lt;$F922))),IF(StatusFilter="All (excl. Cancelled)",IF($H922="Cancelled",0,1),IF(StatusFilter="All",1,IF($H922=StatusFilter,1,0))),0)</f>
        <v>0</v>
      </c>
      <c r="O922">
        <f>IF($N922=0,0,IF(AND($F922&lt;=EOMONTH(DATE(PlanYear,1,1),0),IF(ISNUMBER($G922),$G922,$F922)&gt;=DATE(PlanYear,1,1)),1,0))</f>
        <v>0</v>
      </c>
      <c r="P922">
        <f>IF($N922=0,0,IF(AND($F922&lt;=EOMONTH(DATE(PlanYear,2,1),0),IF(ISNUMBER($G922),$G922,$F922)&gt;=DATE(PlanYear,2,1)),1,0))</f>
        <v>0</v>
      </c>
      <c r="Q922">
        <f>IF($N922=0,0,IF(AND($F922&lt;=EOMONTH(DATE(PlanYear,3,1),0),IF(ISNUMBER($G922),$G922,$F922)&gt;=DATE(PlanYear,3,1)),1,0))</f>
        <v>0</v>
      </c>
      <c r="R922">
        <f>IF($N922=0,0,IF(AND($F922&lt;=EOMONTH(DATE(PlanYear,4,1),0),IF(ISNUMBER($G922),$G922,$F922)&gt;=DATE(PlanYear,4,1)),1,0))</f>
        <v>0</v>
      </c>
      <c r="S922">
        <f>IF($N922=0,0,IF(AND($F922&lt;=EOMONTH(DATE(PlanYear,5,1),0),IF(ISNUMBER($G922),$G922,$F922)&gt;=DATE(PlanYear,5,1)),1,0))</f>
        <v>0</v>
      </c>
      <c r="T922">
        <f>IF($N922=0,0,IF(AND($F922&lt;=EOMONTH(DATE(PlanYear,6,1),0),IF(ISNUMBER($G922),$G922,$F922)&gt;=DATE(PlanYear,6,1)),1,0))</f>
        <v>0</v>
      </c>
      <c r="U922">
        <f>IF($N922=0,0,IF(AND($F922&lt;=EOMONTH(DATE(PlanYear,7,1),0),IF(ISNUMBER($G922),$G922,$F922)&gt;=DATE(PlanYear,7,1)),1,0))</f>
        <v>0</v>
      </c>
      <c r="V922">
        <f>IF($N922=0,0,IF(AND($F922&lt;=EOMONTH(DATE(PlanYear,8,1),0),IF(ISNUMBER($G922),$G922,$F922)&gt;=DATE(PlanYear,8,1)),1,0))</f>
        <v>0</v>
      </c>
      <c r="W922">
        <f>IF($N922=0,0,IF(AND($F922&lt;=EOMONTH(DATE(PlanYear,9,1),0),IF(ISNUMBER($G922),$G922,$F922)&gt;=DATE(PlanYear,9,1)),1,0))</f>
        <v>0</v>
      </c>
      <c r="X922">
        <f>IF($N922=0,0,IF(AND($F922&lt;=EOMONTH(DATE(PlanYear,10,1),0),IF(ISNUMBER($G922),$G922,$F922)&gt;=DATE(PlanYear,10,1)),1,0))</f>
        <v>0</v>
      </c>
      <c r="Y922">
        <f>IF($N922=0,0,IF(AND($F922&lt;=EOMONTH(DATE(PlanYear,11,1),0),IF(ISNUMBER($G922),$G922,$F922)&gt;=DATE(PlanYear,11,1)),1,0))</f>
        <v>0</v>
      </c>
      <c r="Z922">
        <f>IF($N922=0,0,IF(AND($F922&lt;=EOMONTH(DATE(PlanYear,12,1),0),IF(ISNUMBER($G922),$G922,$F922)&gt;=DATE(PlanYear,12,1)),1,0))</f>
        <v>0</v>
      </c>
      <c r="AA922">
        <f>SUM($O922:$Z922)</f>
        <v>0</v>
      </c>
    </row>
    <row r="923" spans="1:27">
      <c r="A923" s="42">
        <f>IF($B923="","","ACT-"&amp;TEXT(ROW()-4,"000"))</f>
        <v>0</v>
      </c>
      <c r="M923" s="43">
        <f>IF(COUNTA($B923:$K923)=0,"",IF($B923="","Missing activity name",IF($C923="","Missing practice",IF(COUNTIF(PracticeNames,$C923)=0,"Practice not in Lists",IF($D923="","Missing motion",IF(NOT(ISNUMBER($F923)),"Missing or invalid start date",IF(AND(ISNUMBER($G923),$G923&lt;$F923),"End date before start",IF(AND($N923=1,$AA923=0),"Outside planning year","OK"))))))))</f>
        <v>0</v>
      </c>
      <c r="N923">
        <f>IF(AND($B923&lt;&gt;"",$C923&lt;&gt;"",$D923&lt;&gt;"",ISNUMBER($F923),COUNTIF(PracticeNames,$C923)&gt;0,COUNTIF(MotionNames,$D923)&gt;0,NOT(AND(ISNUMBER($G923),$G923&lt;$F923))),IF(StatusFilter="All (excl. Cancelled)",IF($H923="Cancelled",0,1),IF(StatusFilter="All",1,IF($H923=StatusFilter,1,0))),0)</f>
        <v>0</v>
      </c>
      <c r="O923">
        <f>IF($N923=0,0,IF(AND($F923&lt;=EOMONTH(DATE(PlanYear,1,1),0),IF(ISNUMBER($G923),$G923,$F923)&gt;=DATE(PlanYear,1,1)),1,0))</f>
        <v>0</v>
      </c>
      <c r="P923">
        <f>IF($N923=0,0,IF(AND($F923&lt;=EOMONTH(DATE(PlanYear,2,1),0),IF(ISNUMBER($G923),$G923,$F923)&gt;=DATE(PlanYear,2,1)),1,0))</f>
        <v>0</v>
      </c>
      <c r="Q923">
        <f>IF($N923=0,0,IF(AND($F923&lt;=EOMONTH(DATE(PlanYear,3,1),0),IF(ISNUMBER($G923),$G923,$F923)&gt;=DATE(PlanYear,3,1)),1,0))</f>
        <v>0</v>
      </c>
      <c r="R923">
        <f>IF($N923=0,0,IF(AND($F923&lt;=EOMONTH(DATE(PlanYear,4,1),0),IF(ISNUMBER($G923),$G923,$F923)&gt;=DATE(PlanYear,4,1)),1,0))</f>
        <v>0</v>
      </c>
      <c r="S923">
        <f>IF($N923=0,0,IF(AND($F923&lt;=EOMONTH(DATE(PlanYear,5,1),0),IF(ISNUMBER($G923),$G923,$F923)&gt;=DATE(PlanYear,5,1)),1,0))</f>
        <v>0</v>
      </c>
      <c r="T923">
        <f>IF($N923=0,0,IF(AND($F923&lt;=EOMONTH(DATE(PlanYear,6,1),0),IF(ISNUMBER($G923),$G923,$F923)&gt;=DATE(PlanYear,6,1)),1,0))</f>
        <v>0</v>
      </c>
      <c r="U923">
        <f>IF($N923=0,0,IF(AND($F923&lt;=EOMONTH(DATE(PlanYear,7,1),0),IF(ISNUMBER($G923),$G923,$F923)&gt;=DATE(PlanYear,7,1)),1,0))</f>
        <v>0</v>
      </c>
      <c r="V923">
        <f>IF($N923=0,0,IF(AND($F923&lt;=EOMONTH(DATE(PlanYear,8,1),0),IF(ISNUMBER($G923),$G923,$F923)&gt;=DATE(PlanYear,8,1)),1,0))</f>
        <v>0</v>
      </c>
      <c r="W923">
        <f>IF($N923=0,0,IF(AND($F923&lt;=EOMONTH(DATE(PlanYear,9,1),0),IF(ISNUMBER($G923),$G923,$F923)&gt;=DATE(PlanYear,9,1)),1,0))</f>
        <v>0</v>
      </c>
      <c r="X923">
        <f>IF($N923=0,0,IF(AND($F923&lt;=EOMONTH(DATE(PlanYear,10,1),0),IF(ISNUMBER($G923),$G923,$F923)&gt;=DATE(PlanYear,10,1)),1,0))</f>
        <v>0</v>
      </c>
      <c r="Y923">
        <f>IF($N923=0,0,IF(AND($F923&lt;=EOMONTH(DATE(PlanYear,11,1),0),IF(ISNUMBER($G923),$G923,$F923)&gt;=DATE(PlanYear,11,1)),1,0))</f>
        <v>0</v>
      </c>
      <c r="Z923">
        <f>IF($N923=0,0,IF(AND($F923&lt;=EOMONTH(DATE(PlanYear,12,1),0),IF(ISNUMBER($G923),$G923,$F923)&gt;=DATE(PlanYear,12,1)),1,0))</f>
        <v>0</v>
      </c>
      <c r="AA923">
        <f>SUM($O923:$Z923)</f>
        <v>0</v>
      </c>
    </row>
    <row r="924" spans="1:27">
      <c r="A924" s="42">
        <f>IF($B924="","","ACT-"&amp;TEXT(ROW()-4,"000"))</f>
        <v>0</v>
      </c>
      <c r="M924" s="43">
        <f>IF(COUNTA($B924:$K924)=0,"",IF($B924="","Missing activity name",IF($C924="","Missing practice",IF(COUNTIF(PracticeNames,$C924)=0,"Practice not in Lists",IF($D924="","Missing motion",IF(NOT(ISNUMBER($F924)),"Missing or invalid start date",IF(AND(ISNUMBER($G924),$G924&lt;$F924),"End date before start",IF(AND($N924=1,$AA924=0),"Outside planning year","OK"))))))))</f>
        <v>0</v>
      </c>
      <c r="N924">
        <f>IF(AND($B924&lt;&gt;"",$C924&lt;&gt;"",$D924&lt;&gt;"",ISNUMBER($F924),COUNTIF(PracticeNames,$C924)&gt;0,COUNTIF(MotionNames,$D924)&gt;0,NOT(AND(ISNUMBER($G924),$G924&lt;$F924))),IF(StatusFilter="All (excl. Cancelled)",IF($H924="Cancelled",0,1),IF(StatusFilter="All",1,IF($H924=StatusFilter,1,0))),0)</f>
        <v>0</v>
      </c>
      <c r="O924">
        <f>IF($N924=0,0,IF(AND($F924&lt;=EOMONTH(DATE(PlanYear,1,1),0),IF(ISNUMBER($G924),$G924,$F924)&gt;=DATE(PlanYear,1,1)),1,0))</f>
        <v>0</v>
      </c>
      <c r="P924">
        <f>IF($N924=0,0,IF(AND($F924&lt;=EOMONTH(DATE(PlanYear,2,1),0),IF(ISNUMBER($G924),$G924,$F924)&gt;=DATE(PlanYear,2,1)),1,0))</f>
        <v>0</v>
      </c>
      <c r="Q924">
        <f>IF($N924=0,0,IF(AND($F924&lt;=EOMONTH(DATE(PlanYear,3,1),0),IF(ISNUMBER($G924),$G924,$F924)&gt;=DATE(PlanYear,3,1)),1,0))</f>
        <v>0</v>
      </c>
      <c r="R924">
        <f>IF($N924=0,0,IF(AND($F924&lt;=EOMONTH(DATE(PlanYear,4,1),0),IF(ISNUMBER($G924),$G924,$F924)&gt;=DATE(PlanYear,4,1)),1,0))</f>
        <v>0</v>
      </c>
      <c r="S924">
        <f>IF($N924=0,0,IF(AND($F924&lt;=EOMONTH(DATE(PlanYear,5,1),0),IF(ISNUMBER($G924),$G924,$F924)&gt;=DATE(PlanYear,5,1)),1,0))</f>
        <v>0</v>
      </c>
      <c r="T924">
        <f>IF($N924=0,0,IF(AND($F924&lt;=EOMONTH(DATE(PlanYear,6,1),0),IF(ISNUMBER($G924),$G924,$F924)&gt;=DATE(PlanYear,6,1)),1,0))</f>
        <v>0</v>
      </c>
      <c r="U924">
        <f>IF($N924=0,0,IF(AND($F924&lt;=EOMONTH(DATE(PlanYear,7,1),0),IF(ISNUMBER($G924),$G924,$F924)&gt;=DATE(PlanYear,7,1)),1,0))</f>
        <v>0</v>
      </c>
      <c r="V924">
        <f>IF($N924=0,0,IF(AND($F924&lt;=EOMONTH(DATE(PlanYear,8,1),0),IF(ISNUMBER($G924),$G924,$F924)&gt;=DATE(PlanYear,8,1)),1,0))</f>
        <v>0</v>
      </c>
      <c r="W924">
        <f>IF($N924=0,0,IF(AND($F924&lt;=EOMONTH(DATE(PlanYear,9,1),0),IF(ISNUMBER($G924),$G924,$F924)&gt;=DATE(PlanYear,9,1)),1,0))</f>
        <v>0</v>
      </c>
      <c r="X924">
        <f>IF($N924=0,0,IF(AND($F924&lt;=EOMONTH(DATE(PlanYear,10,1),0),IF(ISNUMBER($G924),$G924,$F924)&gt;=DATE(PlanYear,10,1)),1,0))</f>
        <v>0</v>
      </c>
      <c r="Y924">
        <f>IF($N924=0,0,IF(AND($F924&lt;=EOMONTH(DATE(PlanYear,11,1),0),IF(ISNUMBER($G924),$G924,$F924)&gt;=DATE(PlanYear,11,1)),1,0))</f>
        <v>0</v>
      </c>
      <c r="Z924">
        <f>IF($N924=0,0,IF(AND($F924&lt;=EOMONTH(DATE(PlanYear,12,1),0),IF(ISNUMBER($G924),$G924,$F924)&gt;=DATE(PlanYear,12,1)),1,0))</f>
        <v>0</v>
      </c>
      <c r="AA924">
        <f>SUM($O924:$Z924)</f>
        <v>0</v>
      </c>
    </row>
    <row r="925" spans="1:27">
      <c r="A925" s="42">
        <f>IF($B925="","","ACT-"&amp;TEXT(ROW()-4,"000"))</f>
        <v>0</v>
      </c>
      <c r="M925" s="43">
        <f>IF(COUNTA($B925:$K925)=0,"",IF($B925="","Missing activity name",IF($C925="","Missing practice",IF(COUNTIF(PracticeNames,$C925)=0,"Practice not in Lists",IF($D925="","Missing motion",IF(NOT(ISNUMBER($F925)),"Missing or invalid start date",IF(AND(ISNUMBER($G925),$G925&lt;$F925),"End date before start",IF(AND($N925=1,$AA925=0),"Outside planning year","OK"))))))))</f>
        <v>0</v>
      </c>
      <c r="N925">
        <f>IF(AND($B925&lt;&gt;"",$C925&lt;&gt;"",$D925&lt;&gt;"",ISNUMBER($F925),COUNTIF(PracticeNames,$C925)&gt;0,COUNTIF(MotionNames,$D925)&gt;0,NOT(AND(ISNUMBER($G925),$G925&lt;$F925))),IF(StatusFilter="All (excl. Cancelled)",IF($H925="Cancelled",0,1),IF(StatusFilter="All",1,IF($H925=StatusFilter,1,0))),0)</f>
        <v>0</v>
      </c>
      <c r="O925">
        <f>IF($N925=0,0,IF(AND($F925&lt;=EOMONTH(DATE(PlanYear,1,1),0),IF(ISNUMBER($G925),$G925,$F925)&gt;=DATE(PlanYear,1,1)),1,0))</f>
        <v>0</v>
      </c>
      <c r="P925">
        <f>IF($N925=0,0,IF(AND($F925&lt;=EOMONTH(DATE(PlanYear,2,1),0),IF(ISNUMBER($G925),$G925,$F925)&gt;=DATE(PlanYear,2,1)),1,0))</f>
        <v>0</v>
      </c>
      <c r="Q925">
        <f>IF($N925=0,0,IF(AND($F925&lt;=EOMONTH(DATE(PlanYear,3,1),0),IF(ISNUMBER($G925),$G925,$F925)&gt;=DATE(PlanYear,3,1)),1,0))</f>
        <v>0</v>
      </c>
      <c r="R925">
        <f>IF($N925=0,0,IF(AND($F925&lt;=EOMONTH(DATE(PlanYear,4,1),0),IF(ISNUMBER($G925),$G925,$F925)&gt;=DATE(PlanYear,4,1)),1,0))</f>
        <v>0</v>
      </c>
      <c r="S925">
        <f>IF($N925=0,0,IF(AND($F925&lt;=EOMONTH(DATE(PlanYear,5,1),0),IF(ISNUMBER($G925),$G925,$F925)&gt;=DATE(PlanYear,5,1)),1,0))</f>
        <v>0</v>
      </c>
      <c r="T925">
        <f>IF($N925=0,0,IF(AND($F925&lt;=EOMONTH(DATE(PlanYear,6,1),0),IF(ISNUMBER($G925),$G925,$F925)&gt;=DATE(PlanYear,6,1)),1,0))</f>
        <v>0</v>
      </c>
      <c r="U925">
        <f>IF($N925=0,0,IF(AND($F925&lt;=EOMONTH(DATE(PlanYear,7,1),0),IF(ISNUMBER($G925),$G925,$F925)&gt;=DATE(PlanYear,7,1)),1,0))</f>
        <v>0</v>
      </c>
      <c r="V925">
        <f>IF($N925=0,0,IF(AND($F925&lt;=EOMONTH(DATE(PlanYear,8,1),0),IF(ISNUMBER($G925),$G925,$F925)&gt;=DATE(PlanYear,8,1)),1,0))</f>
        <v>0</v>
      </c>
      <c r="W925">
        <f>IF($N925=0,0,IF(AND($F925&lt;=EOMONTH(DATE(PlanYear,9,1),0),IF(ISNUMBER($G925),$G925,$F925)&gt;=DATE(PlanYear,9,1)),1,0))</f>
        <v>0</v>
      </c>
      <c r="X925">
        <f>IF($N925=0,0,IF(AND($F925&lt;=EOMONTH(DATE(PlanYear,10,1),0),IF(ISNUMBER($G925),$G925,$F925)&gt;=DATE(PlanYear,10,1)),1,0))</f>
        <v>0</v>
      </c>
      <c r="Y925">
        <f>IF($N925=0,0,IF(AND($F925&lt;=EOMONTH(DATE(PlanYear,11,1),0),IF(ISNUMBER($G925),$G925,$F925)&gt;=DATE(PlanYear,11,1)),1,0))</f>
        <v>0</v>
      </c>
      <c r="Z925">
        <f>IF($N925=0,0,IF(AND($F925&lt;=EOMONTH(DATE(PlanYear,12,1),0),IF(ISNUMBER($G925),$G925,$F925)&gt;=DATE(PlanYear,12,1)),1,0))</f>
        <v>0</v>
      </c>
      <c r="AA925">
        <f>SUM($O925:$Z925)</f>
        <v>0</v>
      </c>
    </row>
    <row r="926" spans="1:27">
      <c r="A926" s="42">
        <f>IF($B926="","","ACT-"&amp;TEXT(ROW()-4,"000"))</f>
        <v>0</v>
      </c>
      <c r="M926" s="43">
        <f>IF(COUNTA($B926:$K926)=0,"",IF($B926="","Missing activity name",IF($C926="","Missing practice",IF(COUNTIF(PracticeNames,$C926)=0,"Practice not in Lists",IF($D926="","Missing motion",IF(NOT(ISNUMBER($F926)),"Missing or invalid start date",IF(AND(ISNUMBER($G926),$G926&lt;$F926),"End date before start",IF(AND($N926=1,$AA926=0),"Outside planning year","OK"))))))))</f>
        <v>0</v>
      </c>
      <c r="N926">
        <f>IF(AND($B926&lt;&gt;"",$C926&lt;&gt;"",$D926&lt;&gt;"",ISNUMBER($F926),COUNTIF(PracticeNames,$C926)&gt;0,COUNTIF(MotionNames,$D926)&gt;0,NOT(AND(ISNUMBER($G926),$G926&lt;$F926))),IF(StatusFilter="All (excl. Cancelled)",IF($H926="Cancelled",0,1),IF(StatusFilter="All",1,IF($H926=StatusFilter,1,0))),0)</f>
        <v>0</v>
      </c>
      <c r="O926">
        <f>IF($N926=0,0,IF(AND($F926&lt;=EOMONTH(DATE(PlanYear,1,1),0),IF(ISNUMBER($G926),$G926,$F926)&gt;=DATE(PlanYear,1,1)),1,0))</f>
        <v>0</v>
      </c>
      <c r="P926">
        <f>IF($N926=0,0,IF(AND($F926&lt;=EOMONTH(DATE(PlanYear,2,1),0),IF(ISNUMBER($G926),$G926,$F926)&gt;=DATE(PlanYear,2,1)),1,0))</f>
        <v>0</v>
      </c>
      <c r="Q926">
        <f>IF($N926=0,0,IF(AND($F926&lt;=EOMONTH(DATE(PlanYear,3,1),0),IF(ISNUMBER($G926),$G926,$F926)&gt;=DATE(PlanYear,3,1)),1,0))</f>
        <v>0</v>
      </c>
      <c r="R926">
        <f>IF($N926=0,0,IF(AND($F926&lt;=EOMONTH(DATE(PlanYear,4,1),0),IF(ISNUMBER($G926),$G926,$F926)&gt;=DATE(PlanYear,4,1)),1,0))</f>
        <v>0</v>
      </c>
      <c r="S926">
        <f>IF($N926=0,0,IF(AND($F926&lt;=EOMONTH(DATE(PlanYear,5,1),0),IF(ISNUMBER($G926),$G926,$F926)&gt;=DATE(PlanYear,5,1)),1,0))</f>
        <v>0</v>
      </c>
      <c r="T926">
        <f>IF($N926=0,0,IF(AND($F926&lt;=EOMONTH(DATE(PlanYear,6,1),0),IF(ISNUMBER($G926),$G926,$F926)&gt;=DATE(PlanYear,6,1)),1,0))</f>
        <v>0</v>
      </c>
      <c r="U926">
        <f>IF($N926=0,0,IF(AND($F926&lt;=EOMONTH(DATE(PlanYear,7,1),0),IF(ISNUMBER($G926),$G926,$F926)&gt;=DATE(PlanYear,7,1)),1,0))</f>
        <v>0</v>
      </c>
      <c r="V926">
        <f>IF($N926=0,0,IF(AND($F926&lt;=EOMONTH(DATE(PlanYear,8,1),0),IF(ISNUMBER($G926),$G926,$F926)&gt;=DATE(PlanYear,8,1)),1,0))</f>
        <v>0</v>
      </c>
      <c r="W926">
        <f>IF($N926=0,0,IF(AND($F926&lt;=EOMONTH(DATE(PlanYear,9,1),0),IF(ISNUMBER($G926),$G926,$F926)&gt;=DATE(PlanYear,9,1)),1,0))</f>
        <v>0</v>
      </c>
      <c r="X926">
        <f>IF($N926=0,0,IF(AND($F926&lt;=EOMONTH(DATE(PlanYear,10,1),0),IF(ISNUMBER($G926),$G926,$F926)&gt;=DATE(PlanYear,10,1)),1,0))</f>
        <v>0</v>
      </c>
      <c r="Y926">
        <f>IF($N926=0,0,IF(AND($F926&lt;=EOMONTH(DATE(PlanYear,11,1),0),IF(ISNUMBER($G926),$G926,$F926)&gt;=DATE(PlanYear,11,1)),1,0))</f>
        <v>0</v>
      </c>
      <c r="Z926">
        <f>IF($N926=0,0,IF(AND($F926&lt;=EOMONTH(DATE(PlanYear,12,1),0),IF(ISNUMBER($G926),$G926,$F926)&gt;=DATE(PlanYear,12,1)),1,0))</f>
        <v>0</v>
      </c>
      <c r="AA926">
        <f>SUM($O926:$Z926)</f>
        <v>0</v>
      </c>
    </row>
    <row r="927" spans="1:27">
      <c r="A927" s="42">
        <f>IF($B927="","","ACT-"&amp;TEXT(ROW()-4,"000"))</f>
        <v>0</v>
      </c>
      <c r="M927" s="43">
        <f>IF(COUNTA($B927:$K927)=0,"",IF($B927="","Missing activity name",IF($C927="","Missing practice",IF(COUNTIF(PracticeNames,$C927)=0,"Practice not in Lists",IF($D927="","Missing motion",IF(NOT(ISNUMBER($F927)),"Missing or invalid start date",IF(AND(ISNUMBER($G927),$G927&lt;$F927),"End date before start",IF(AND($N927=1,$AA927=0),"Outside planning year","OK"))))))))</f>
        <v>0</v>
      </c>
      <c r="N927">
        <f>IF(AND($B927&lt;&gt;"",$C927&lt;&gt;"",$D927&lt;&gt;"",ISNUMBER($F927),COUNTIF(PracticeNames,$C927)&gt;0,COUNTIF(MotionNames,$D927)&gt;0,NOT(AND(ISNUMBER($G927),$G927&lt;$F927))),IF(StatusFilter="All (excl. Cancelled)",IF($H927="Cancelled",0,1),IF(StatusFilter="All",1,IF($H927=StatusFilter,1,0))),0)</f>
        <v>0</v>
      </c>
      <c r="O927">
        <f>IF($N927=0,0,IF(AND($F927&lt;=EOMONTH(DATE(PlanYear,1,1),0),IF(ISNUMBER($G927),$G927,$F927)&gt;=DATE(PlanYear,1,1)),1,0))</f>
        <v>0</v>
      </c>
      <c r="P927">
        <f>IF($N927=0,0,IF(AND($F927&lt;=EOMONTH(DATE(PlanYear,2,1),0),IF(ISNUMBER($G927),$G927,$F927)&gt;=DATE(PlanYear,2,1)),1,0))</f>
        <v>0</v>
      </c>
      <c r="Q927">
        <f>IF($N927=0,0,IF(AND($F927&lt;=EOMONTH(DATE(PlanYear,3,1),0),IF(ISNUMBER($G927),$G927,$F927)&gt;=DATE(PlanYear,3,1)),1,0))</f>
        <v>0</v>
      </c>
      <c r="R927">
        <f>IF($N927=0,0,IF(AND($F927&lt;=EOMONTH(DATE(PlanYear,4,1),0),IF(ISNUMBER($G927),$G927,$F927)&gt;=DATE(PlanYear,4,1)),1,0))</f>
        <v>0</v>
      </c>
      <c r="S927">
        <f>IF($N927=0,0,IF(AND($F927&lt;=EOMONTH(DATE(PlanYear,5,1),0),IF(ISNUMBER($G927),$G927,$F927)&gt;=DATE(PlanYear,5,1)),1,0))</f>
        <v>0</v>
      </c>
      <c r="T927">
        <f>IF($N927=0,0,IF(AND($F927&lt;=EOMONTH(DATE(PlanYear,6,1),0),IF(ISNUMBER($G927),$G927,$F927)&gt;=DATE(PlanYear,6,1)),1,0))</f>
        <v>0</v>
      </c>
      <c r="U927">
        <f>IF($N927=0,0,IF(AND($F927&lt;=EOMONTH(DATE(PlanYear,7,1),0),IF(ISNUMBER($G927),$G927,$F927)&gt;=DATE(PlanYear,7,1)),1,0))</f>
        <v>0</v>
      </c>
      <c r="V927">
        <f>IF($N927=0,0,IF(AND($F927&lt;=EOMONTH(DATE(PlanYear,8,1),0),IF(ISNUMBER($G927),$G927,$F927)&gt;=DATE(PlanYear,8,1)),1,0))</f>
        <v>0</v>
      </c>
      <c r="W927">
        <f>IF($N927=0,0,IF(AND($F927&lt;=EOMONTH(DATE(PlanYear,9,1),0),IF(ISNUMBER($G927),$G927,$F927)&gt;=DATE(PlanYear,9,1)),1,0))</f>
        <v>0</v>
      </c>
      <c r="X927">
        <f>IF($N927=0,0,IF(AND($F927&lt;=EOMONTH(DATE(PlanYear,10,1),0),IF(ISNUMBER($G927),$G927,$F927)&gt;=DATE(PlanYear,10,1)),1,0))</f>
        <v>0</v>
      </c>
      <c r="Y927">
        <f>IF($N927=0,0,IF(AND($F927&lt;=EOMONTH(DATE(PlanYear,11,1),0),IF(ISNUMBER($G927),$G927,$F927)&gt;=DATE(PlanYear,11,1)),1,0))</f>
        <v>0</v>
      </c>
      <c r="Z927">
        <f>IF($N927=0,0,IF(AND($F927&lt;=EOMONTH(DATE(PlanYear,12,1),0),IF(ISNUMBER($G927),$G927,$F927)&gt;=DATE(PlanYear,12,1)),1,0))</f>
        <v>0</v>
      </c>
      <c r="AA927">
        <f>SUM($O927:$Z927)</f>
        <v>0</v>
      </c>
    </row>
    <row r="928" spans="1:27">
      <c r="A928" s="42">
        <f>IF($B928="","","ACT-"&amp;TEXT(ROW()-4,"000"))</f>
        <v>0</v>
      </c>
      <c r="M928" s="43">
        <f>IF(COUNTA($B928:$K928)=0,"",IF($B928="","Missing activity name",IF($C928="","Missing practice",IF(COUNTIF(PracticeNames,$C928)=0,"Practice not in Lists",IF($D928="","Missing motion",IF(NOT(ISNUMBER($F928)),"Missing or invalid start date",IF(AND(ISNUMBER($G928),$G928&lt;$F928),"End date before start",IF(AND($N928=1,$AA928=0),"Outside planning year","OK"))))))))</f>
        <v>0</v>
      </c>
      <c r="N928">
        <f>IF(AND($B928&lt;&gt;"",$C928&lt;&gt;"",$D928&lt;&gt;"",ISNUMBER($F928),COUNTIF(PracticeNames,$C928)&gt;0,COUNTIF(MotionNames,$D928)&gt;0,NOT(AND(ISNUMBER($G928),$G928&lt;$F928))),IF(StatusFilter="All (excl. Cancelled)",IF($H928="Cancelled",0,1),IF(StatusFilter="All",1,IF($H928=StatusFilter,1,0))),0)</f>
        <v>0</v>
      </c>
      <c r="O928">
        <f>IF($N928=0,0,IF(AND($F928&lt;=EOMONTH(DATE(PlanYear,1,1),0),IF(ISNUMBER($G928),$G928,$F928)&gt;=DATE(PlanYear,1,1)),1,0))</f>
        <v>0</v>
      </c>
      <c r="P928">
        <f>IF($N928=0,0,IF(AND($F928&lt;=EOMONTH(DATE(PlanYear,2,1),0),IF(ISNUMBER($G928),$G928,$F928)&gt;=DATE(PlanYear,2,1)),1,0))</f>
        <v>0</v>
      </c>
      <c r="Q928">
        <f>IF($N928=0,0,IF(AND($F928&lt;=EOMONTH(DATE(PlanYear,3,1),0),IF(ISNUMBER($G928),$G928,$F928)&gt;=DATE(PlanYear,3,1)),1,0))</f>
        <v>0</v>
      </c>
      <c r="R928">
        <f>IF($N928=0,0,IF(AND($F928&lt;=EOMONTH(DATE(PlanYear,4,1),0),IF(ISNUMBER($G928),$G928,$F928)&gt;=DATE(PlanYear,4,1)),1,0))</f>
        <v>0</v>
      </c>
      <c r="S928">
        <f>IF($N928=0,0,IF(AND($F928&lt;=EOMONTH(DATE(PlanYear,5,1),0),IF(ISNUMBER($G928),$G928,$F928)&gt;=DATE(PlanYear,5,1)),1,0))</f>
        <v>0</v>
      </c>
      <c r="T928">
        <f>IF($N928=0,0,IF(AND($F928&lt;=EOMONTH(DATE(PlanYear,6,1),0),IF(ISNUMBER($G928),$G928,$F928)&gt;=DATE(PlanYear,6,1)),1,0))</f>
        <v>0</v>
      </c>
      <c r="U928">
        <f>IF($N928=0,0,IF(AND($F928&lt;=EOMONTH(DATE(PlanYear,7,1),0),IF(ISNUMBER($G928),$G928,$F928)&gt;=DATE(PlanYear,7,1)),1,0))</f>
        <v>0</v>
      </c>
      <c r="V928">
        <f>IF($N928=0,0,IF(AND($F928&lt;=EOMONTH(DATE(PlanYear,8,1),0),IF(ISNUMBER($G928),$G928,$F928)&gt;=DATE(PlanYear,8,1)),1,0))</f>
        <v>0</v>
      </c>
      <c r="W928">
        <f>IF($N928=0,0,IF(AND($F928&lt;=EOMONTH(DATE(PlanYear,9,1),0),IF(ISNUMBER($G928),$G928,$F928)&gt;=DATE(PlanYear,9,1)),1,0))</f>
        <v>0</v>
      </c>
      <c r="X928">
        <f>IF($N928=0,0,IF(AND($F928&lt;=EOMONTH(DATE(PlanYear,10,1),0),IF(ISNUMBER($G928),$G928,$F928)&gt;=DATE(PlanYear,10,1)),1,0))</f>
        <v>0</v>
      </c>
      <c r="Y928">
        <f>IF($N928=0,0,IF(AND($F928&lt;=EOMONTH(DATE(PlanYear,11,1),0),IF(ISNUMBER($G928),$G928,$F928)&gt;=DATE(PlanYear,11,1)),1,0))</f>
        <v>0</v>
      </c>
      <c r="Z928">
        <f>IF($N928=0,0,IF(AND($F928&lt;=EOMONTH(DATE(PlanYear,12,1),0),IF(ISNUMBER($G928),$G928,$F928)&gt;=DATE(PlanYear,12,1)),1,0))</f>
        <v>0</v>
      </c>
      <c r="AA928">
        <f>SUM($O928:$Z928)</f>
        <v>0</v>
      </c>
    </row>
    <row r="929" spans="1:27">
      <c r="A929" s="42">
        <f>IF($B929="","","ACT-"&amp;TEXT(ROW()-4,"000"))</f>
        <v>0</v>
      </c>
      <c r="M929" s="43">
        <f>IF(COUNTA($B929:$K929)=0,"",IF($B929="","Missing activity name",IF($C929="","Missing practice",IF(COUNTIF(PracticeNames,$C929)=0,"Practice not in Lists",IF($D929="","Missing motion",IF(NOT(ISNUMBER($F929)),"Missing or invalid start date",IF(AND(ISNUMBER($G929),$G929&lt;$F929),"End date before start",IF(AND($N929=1,$AA929=0),"Outside planning year","OK"))))))))</f>
        <v>0</v>
      </c>
      <c r="N929">
        <f>IF(AND($B929&lt;&gt;"",$C929&lt;&gt;"",$D929&lt;&gt;"",ISNUMBER($F929),COUNTIF(PracticeNames,$C929)&gt;0,COUNTIF(MotionNames,$D929)&gt;0,NOT(AND(ISNUMBER($G929),$G929&lt;$F929))),IF(StatusFilter="All (excl. Cancelled)",IF($H929="Cancelled",0,1),IF(StatusFilter="All",1,IF($H929=StatusFilter,1,0))),0)</f>
        <v>0</v>
      </c>
      <c r="O929">
        <f>IF($N929=0,0,IF(AND($F929&lt;=EOMONTH(DATE(PlanYear,1,1),0),IF(ISNUMBER($G929),$G929,$F929)&gt;=DATE(PlanYear,1,1)),1,0))</f>
        <v>0</v>
      </c>
      <c r="P929">
        <f>IF($N929=0,0,IF(AND($F929&lt;=EOMONTH(DATE(PlanYear,2,1),0),IF(ISNUMBER($G929),$G929,$F929)&gt;=DATE(PlanYear,2,1)),1,0))</f>
        <v>0</v>
      </c>
      <c r="Q929">
        <f>IF($N929=0,0,IF(AND($F929&lt;=EOMONTH(DATE(PlanYear,3,1),0),IF(ISNUMBER($G929),$G929,$F929)&gt;=DATE(PlanYear,3,1)),1,0))</f>
        <v>0</v>
      </c>
      <c r="R929">
        <f>IF($N929=0,0,IF(AND($F929&lt;=EOMONTH(DATE(PlanYear,4,1),0),IF(ISNUMBER($G929),$G929,$F929)&gt;=DATE(PlanYear,4,1)),1,0))</f>
        <v>0</v>
      </c>
      <c r="S929">
        <f>IF($N929=0,0,IF(AND($F929&lt;=EOMONTH(DATE(PlanYear,5,1),0),IF(ISNUMBER($G929),$G929,$F929)&gt;=DATE(PlanYear,5,1)),1,0))</f>
        <v>0</v>
      </c>
      <c r="T929">
        <f>IF($N929=0,0,IF(AND($F929&lt;=EOMONTH(DATE(PlanYear,6,1),0),IF(ISNUMBER($G929),$G929,$F929)&gt;=DATE(PlanYear,6,1)),1,0))</f>
        <v>0</v>
      </c>
      <c r="U929">
        <f>IF($N929=0,0,IF(AND($F929&lt;=EOMONTH(DATE(PlanYear,7,1),0),IF(ISNUMBER($G929),$G929,$F929)&gt;=DATE(PlanYear,7,1)),1,0))</f>
        <v>0</v>
      </c>
      <c r="V929">
        <f>IF($N929=0,0,IF(AND($F929&lt;=EOMONTH(DATE(PlanYear,8,1),0),IF(ISNUMBER($G929),$G929,$F929)&gt;=DATE(PlanYear,8,1)),1,0))</f>
        <v>0</v>
      </c>
      <c r="W929">
        <f>IF($N929=0,0,IF(AND($F929&lt;=EOMONTH(DATE(PlanYear,9,1),0),IF(ISNUMBER($G929),$G929,$F929)&gt;=DATE(PlanYear,9,1)),1,0))</f>
        <v>0</v>
      </c>
      <c r="X929">
        <f>IF($N929=0,0,IF(AND($F929&lt;=EOMONTH(DATE(PlanYear,10,1),0),IF(ISNUMBER($G929),$G929,$F929)&gt;=DATE(PlanYear,10,1)),1,0))</f>
        <v>0</v>
      </c>
      <c r="Y929">
        <f>IF($N929=0,0,IF(AND($F929&lt;=EOMONTH(DATE(PlanYear,11,1),0),IF(ISNUMBER($G929),$G929,$F929)&gt;=DATE(PlanYear,11,1)),1,0))</f>
        <v>0</v>
      </c>
      <c r="Z929">
        <f>IF($N929=0,0,IF(AND($F929&lt;=EOMONTH(DATE(PlanYear,12,1),0),IF(ISNUMBER($G929),$G929,$F929)&gt;=DATE(PlanYear,12,1)),1,0))</f>
        <v>0</v>
      </c>
      <c r="AA929">
        <f>SUM($O929:$Z929)</f>
        <v>0</v>
      </c>
    </row>
    <row r="930" spans="1:27">
      <c r="A930" s="42">
        <f>IF($B930="","","ACT-"&amp;TEXT(ROW()-4,"000"))</f>
        <v>0</v>
      </c>
      <c r="M930" s="43">
        <f>IF(COUNTA($B930:$K930)=0,"",IF($B930="","Missing activity name",IF($C930="","Missing practice",IF(COUNTIF(PracticeNames,$C930)=0,"Practice not in Lists",IF($D930="","Missing motion",IF(NOT(ISNUMBER($F930)),"Missing or invalid start date",IF(AND(ISNUMBER($G930),$G930&lt;$F930),"End date before start",IF(AND($N930=1,$AA930=0),"Outside planning year","OK"))))))))</f>
        <v>0</v>
      </c>
      <c r="N930">
        <f>IF(AND($B930&lt;&gt;"",$C930&lt;&gt;"",$D930&lt;&gt;"",ISNUMBER($F930),COUNTIF(PracticeNames,$C930)&gt;0,COUNTIF(MotionNames,$D930)&gt;0,NOT(AND(ISNUMBER($G930),$G930&lt;$F930))),IF(StatusFilter="All (excl. Cancelled)",IF($H930="Cancelled",0,1),IF(StatusFilter="All",1,IF($H930=StatusFilter,1,0))),0)</f>
        <v>0</v>
      </c>
      <c r="O930">
        <f>IF($N930=0,0,IF(AND($F930&lt;=EOMONTH(DATE(PlanYear,1,1),0),IF(ISNUMBER($G930),$G930,$F930)&gt;=DATE(PlanYear,1,1)),1,0))</f>
        <v>0</v>
      </c>
      <c r="P930">
        <f>IF($N930=0,0,IF(AND($F930&lt;=EOMONTH(DATE(PlanYear,2,1),0),IF(ISNUMBER($G930),$G930,$F930)&gt;=DATE(PlanYear,2,1)),1,0))</f>
        <v>0</v>
      </c>
      <c r="Q930">
        <f>IF($N930=0,0,IF(AND($F930&lt;=EOMONTH(DATE(PlanYear,3,1),0),IF(ISNUMBER($G930),$G930,$F930)&gt;=DATE(PlanYear,3,1)),1,0))</f>
        <v>0</v>
      </c>
      <c r="R930">
        <f>IF($N930=0,0,IF(AND($F930&lt;=EOMONTH(DATE(PlanYear,4,1),0),IF(ISNUMBER($G930),$G930,$F930)&gt;=DATE(PlanYear,4,1)),1,0))</f>
        <v>0</v>
      </c>
      <c r="S930">
        <f>IF($N930=0,0,IF(AND($F930&lt;=EOMONTH(DATE(PlanYear,5,1),0),IF(ISNUMBER($G930),$G930,$F930)&gt;=DATE(PlanYear,5,1)),1,0))</f>
        <v>0</v>
      </c>
      <c r="T930">
        <f>IF($N930=0,0,IF(AND($F930&lt;=EOMONTH(DATE(PlanYear,6,1),0),IF(ISNUMBER($G930),$G930,$F930)&gt;=DATE(PlanYear,6,1)),1,0))</f>
        <v>0</v>
      </c>
      <c r="U930">
        <f>IF($N930=0,0,IF(AND($F930&lt;=EOMONTH(DATE(PlanYear,7,1),0),IF(ISNUMBER($G930),$G930,$F930)&gt;=DATE(PlanYear,7,1)),1,0))</f>
        <v>0</v>
      </c>
      <c r="V930">
        <f>IF($N930=0,0,IF(AND($F930&lt;=EOMONTH(DATE(PlanYear,8,1),0),IF(ISNUMBER($G930),$G930,$F930)&gt;=DATE(PlanYear,8,1)),1,0))</f>
        <v>0</v>
      </c>
      <c r="W930">
        <f>IF($N930=0,0,IF(AND($F930&lt;=EOMONTH(DATE(PlanYear,9,1),0),IF(ISNUMBER($G930),$G930,$F930)&gt;=DATE(PlanYear,9,1)),1,0))</f>
        <v>0</v>
      </c>
      <c r="X930">
        <f>IF($N930=0,0,IF(AND($F930&lt;=EOMONTH(DATE(PlanYear,10,1),0),IF(ISNUMBER($G930),$G930,$F930)&gt;=DATE(PlanYear,10,1)),1,0))</f>
        <v>0</v>
      </c>
      <c r="Y930">
        <f>IF($N930=0,0,IF(AND($F930&lt;=EOMONTH(DATE(PlanYear,11,1),0),IF(ISNUMBER($G930),$G930,$F930)&gt;=DATE(PlanYear,11,1)),1,0))</f>
        <v>0</v>
      </c>
      <c r="Z930">
        <f>IF($N930=0,0,IF(AND($F930&lt;=EOMONTH(DATE(PlanYear,12,1),0),IF(ISNUMBER($G930),$G930,$F930)&gt;=DATE(PlanYear,12,1)),1,0))</f>
        <v>0</v>
      </c>
      <c r="AA930">
        <f>SUM($O930:$Z930)</f>
        <v>0</v>
      </c>
    </row>
    <row r="931" spans="1:27">
      <c r="A931" s="42">
        <f>IF($B931="","","ACT-"&amp;TEXT(ROW()-4,"000"))</f>
        <v>0</v>
      </c>
      <c r="M931" s="43">
        <f>IF(COUNTA($B931:$K931)=0,"",IF($B931="","Missing activity name",IF($C931="","Missing practice",IF(COUNTIF(PracticeNames,$C931)=0,"Practice not in Lists",IF($D931="","Missing motion",IF(NOT(ISNUMBER($F931)),"Missing or invalid start date",IF(AND(ISNUMBER($G931),$G931&lt;$F931),"End date before start",IF(AND($N931=1,$AA931=0),"Outside planning year","OK"))))))))</f>
        <v>0</v>
      </c>
      <c r="N931">
        <f>IF(AND($B931&lt;&gt;"",$C931&lt;&gt;"",$D931&lt;&gt;"",ISNUMBER($F931),COUNTIF(PracticeNames,$C931)&gt;0,COUNTIF(MotionNames,$D931)&gt;0,NOT(AND(ISNUMBER($G931),$G931&lt;$F931))),IF(StatusFilter="All (excl. Cancelled)",IF($H931="Cancelled",0,1),IF(StatusFilter="All",1,IF($H931=StatusFilter,1,0))),0)</f>
        <v>0</v>
      </c>
      <c r="O931">
        <f>IF($N931=0,0,IF(AND($F931&lt;=EOMONTH(DATE(PlanYear,1,1),0),IF(ISNUMBER($G931),$G931,$F931)&gt;=DATE(PlanYear,1,1)),1,0))</f>
        <v>0</v>
      </c>
      <c r="P931">
        <f>IF($N931=0,0,IF(AND($F931&lt;=EOMONTH(DATE(PlanYear,2,1),0),IF(ISNUMBER($G931),$G931,$F931)&gt;=DATE(PlanYear,2,1)),1,0))</f>
        <v>0</v>
      </c>
      <c r="Q931">
        <f>IF($N931=0,0,IF(AND($F931&lt;=EOMONTH(DATE(PlanYear,3,1),0),IF(ISNUMBER($G931),$G931,$F931)&gt;=DATE(PlanYear,3,1)),1,0))</f>
        <v>0</v>
      </c>
      <c r="R931">
        <f>IF($N931=0,0,IF(AND($F931&lt;=EOMONTH(DATE(PlanYear,4,1),0),IF(ISNUMBER($G931),$G931,$F931)&gt;=DATE(PlanYear,4,1)),1,0))</f>
        <v>0</v>
      </c>
      <c r="S931">
        <f>IF($N931=0,0,IF(AND($F931&lt;=EOMONTH(DATE(PlanYear,5,1),0),IF(ISNUMBER($G931),$G931,$F931)&gt;=DATE(PlanYear,5,1)),1,0))</f>
        <v>0</v>
      </c>
      <c r="T931">
        <f>IF($N931=0,0,IF(AND($F931&lt;=EOMONTH(DATE(PlanYear,6,1),0),IF(ISNUMBER($G931),$G931,$F931)&gt;=DATE(PlanYear,6,1)),1,0))</f>
        <v>0</v>
      </c>
      <c r="U931">
        <f>IF($N931=0,0,IF(AND($F931&lt;=EOMONTH(DATE(PlanYear,7,1),0),IF(ISNUMBER($G931),$G931,$F931)&gt;=DATE(PlanYear,7,1)),1,0))</f>
        <v>0</v>
      </c>
      <c r="V931">
        <f>IF($N931=0,0,IF(AND($F931&lt;=EOMONTH(DATE(PlanYear,8,1),0),IF(ISNUMBER($G931),$G931,$F931)&gt;=DATE(PlanYear,8,1)),1,0))</f>
        <v>0</v>
      </c>
      <c r="W931">
        <f>IF($N931=0,0,IF(AND($F931&lt;=EOMONTH(DATE(PlanYear,9,1),0),IF(ISNUMBER($G931),$G931,$F931)&gt;=DATE(PlanYear,9,1)),1,0))</f>
        <v>0</v>
      </c>
      <c r="X931">
        <f>IF($N931=0,0,IF(AND($F931&lt;=EOMONTH(DATE(PlanYear,10,1),0),IF(ISNUMBER($G931),$G931,$F931)&gt;=DATE(PlanYear,10,1)),1,0))</f>
        <v>0</v>
      </c>
      <c r="Y931">
        <f>IF($N931=0,0,IF(AND($F931&lt;=EOMONTH(DATE(PlanYear,11,1),0),IF(ISNUMBER($G931),$G931,$F931)&gt;=DATE(PlanYear,11,1)),1,0))</f>
        <v>0</v>
      </c>
      <c r="Z931">
        <f>IF($N931=0,0,IF(AND($F931&lt;=EOMONTH(DATE(PlanYear,12,1),0),IF(ISNUMBER($G931),$G931,$F931)&gt;=DATE(PlanYear,12,1)),1,0))</f>
        <v>0</v>
      </c>
      <c r="AA931">
        <f>SUM($O931:$Z931)</f>
        <v>0</v>
      </c>
    </row>
    <row r="932" spans="1:27">
      <c r="A932" s="42">
        <f>IF($B932="","","ACT-"&amp;TEXT(ROW()-4,"000"))</f>
        <v>0</v>
      </c>
      <c r="M932" s="43">
        <f>IF(COUNTA($B932:$K932)=0,"",IF($B932="","Missing activity name",IF($C932="","Missing practice",IF(COUNTIF(PracticeNames,$C932)=0,"Practice not in Lists",IF($D932="","Missing motion",IF(NOT(ISNUMBER($F932)),"Missing or invalid start date",IF(AND(ISNUMBER($G932),$G932&lt;$F932),"End date before start",IF(AND($N932=1,$AA932=0),"Outside planning year","OK"))))))))</f>
        <v>0</v>
      </c>
      <c r="N932">
        <f>IF(AND($B932&lt;&gt;"",$C932&lt;&gt;"",$D932&lt;&gt;"",ISNUMBER($F932),COUNTIF(PracticeNames,$C932)&gt;0,COUNTIF(MotionNames,$D932)&gt;0,NOT(AND(ISNUMBER($G932),$G932&lt;$F932))),IF(StatusFilter="All (excl. Cancelled)",IF($H932="Cancelled",0,1),IF(StatusFilter="All",1,IF($H932=StatusFilter,1,0))),0)</f>
        <v>0</v>
      </c>
      <c r="O932">
        <f>IF($N932=0,0,IF(AND($F932&lt;=EOMONTH(DATE(PlanYear,1,1),0),IF(ISNUMBER($G932),$G932,$F932)&gt;=DATE(PlanYear,1,1)),1,0))</f>
        <v>0</v>
      </c>
      <c r="P932">
        <f>IF($N932=0,0,IF(AND($F932&lt;=EOMONTH(DATE(PlanYear,2,1),0),IF(ISNUMBER($G932),$G932,$F932)&gt;=DATE(PlanYear,2,1)),1,0))</f>
        <v>0</v>
      </c>
      <c r="Q932">
        <f>IF($N932=0,0,IF(AND($F932&lt;=EOMONTH(DATE(PlanYear,3,1),0),IF(ISNUMBER($G932),$G932,$F932)&gt;=DATE(PlanYear,3,1)),1,0))</f>
        <v>0</v>
      </c>
      <c r="R932">
        <f>IF($N932=0,0,IF(AND($F932&lt;=EOMONTH(DATE(PlanYear,4,1),0),IF(ISNUMBER($G932),$G932,$F932)&gt;=DATE(PlanYear,4,1)),1,0))</f>
        <v>0</v>
      </c>
      <c r="S932">
        <f>IF($N932=0,0,IF(AND($F932&lt;=EOMONTH(DATE(PlanYear,5,1),0),IF(ISNUMBER($G932),$G932,$F932)&gt;=DATE(PlanYear,5,1)),1,0))</f>
        <v>0</v>
      </c>
      <c r="T932">
        <f>IF($N932=0,0,IF(AND($F932&lt;=EOMONTH(DATE(PlanYear,6,1),0),IF(ISNUMBER($G932),$G932,$F932)&gt;=DATE(PlanYear,6,1)),1,0))</f>
        <v>0</v>
      </c>
      <c r="U932">
        <f>IF($N932=0,0,IF(AND($F932&lt;=EOMONTH(DATE(PlanYear,7,1),0),IF(ISNUMBER($G932),$G932,$F932)&gt;=DATE(PlanYear,7,1)),1,0))</f>
        <v>0</v>
      </c>
      <c r="V932">
        <f>IF($N932=0,0,IF(AND($F932&lt;=EOMONTH(DATE(PlanYear,8,1),0),IF(ISNUMBER($G932),$G932,$F932)&gt;=DATE(PlanYear,8,1)),1,0))</f>
        <v>0</v>
      </c>
      <c r="W932">
        <f>IF($N932=0,0,IF(AND($F932&lt;=EOMONTH(DATE(PlanYear,9,1),0),IF(ISNUMBER($G932),$G932,$F932)&gt;=DATE(PlanYear,9,1)),1,0))</f>
        <v>0</v>
      </c>
      <c r="X932">
        <f>IF($N932=0,0,IF(AND($F932&lt;=EOMONTH(DATE(PlanYear,10,1),0),IF(ISNUMBER($G932),$G932,$F932)&gt;=DATE(PlanYear,10,1)),1,0))</f>
        <v>0</v>
      </c>
      <c r="Y932">
        <f>IF($N932=0,0,IF(AND($F932&lt;=EOMONTH(DATE(PlanYear,11,1),0),IF(ISNUMBER($G932),$G932,$F932)&gt;=DATE(PlanYear,11,1)),1,0))</f>
        <v>0</v>
      </c>
      <c r="Z932">
        <f>IF($N932=0,0,IF(AND($F932&lt;=EOMONTH(DATE(PlanYear,12,1),0),IF(ISNUMBER($G932),$G932,$F932)&gt;=DATE(PlanYear,12,1)),1,0))</f>
        <v>0</v>
      </c>
      <c r="AA932">
        <f>SUM($O932:$Z932)</f>
        <v>0</v>
      </c>
    </row>
    <row r="933" spans="1:27">
      <c r="A933" s="42">
        <f>IF($B933="","","ACT-"&amp;TEXT(ROW()-4,"000"))</f>
        <v>0</v>
      </c>
      <c r="M933" s="43">
        <f>IF(COUNTA($B933:$K933)=0,"",IF($B933="","Missing activity name",IF($C933="","Missing practice",IF(COUNTIF(PracticeNames,$C933)=0,"Practice not in Lists",IF($D933="","Missing motion",IF(NOT(ISNUMBER($F933)),"Missing or invalid start date",IF(AND(ISNUMBER($G933),$G933&lt;$F933),"End date before start",IF(AND($N933=1,$AA933=0),"Outside planning year","OK"))))))))</f>
        <v>0</v>
      </c>
      <c r="N933">
        <f>IF(AND($B933&lt;&gt;"",$C933&lt;&gt;"",$D933&lt;&gt;"",ISNUMBER($F933),COUNTIF(PracticeNames,$C933)&gt;0,COUNTIF(MotionNames,$D933)&gt;0,NOT(AND(ISNUMBER($G933),$G933&lt;$F933))),IF(StatusFilter="All (excl. Cancelled)",IF($H933="Cancelled",0,1),IF(StatusFilter="All",1,IF($H933=StatusFilter,1,0))),0)</f>
        <v>0</v>
      </c>
      <c r="O933">
        <f>IF($N933=0,0,IF(AND($F933&lt;=EOMONTH(DATE(PlanYear,1,1),0),IF(ISNUMBER($G933),$G933,$F933)&gt;=DATE(PlanYear,1,1)),1,0))</f>
        <v>0</v>
      </c>
      <c r="P933">
        <f>IF($N933=0,0,IF(AND($F933&lt;=EOMONTH(DATE(PlanYear,2,1),0),IF(ISNUMBER($G933),$G933,$F933)&gt;=DATE(PlanYear,2,1)),1,0))</f>
        <v>0</v>
      </c>
      <c r="Q933">
        <f>IF($N933=0,0,IF(AND($F933&lt;=EOMONTH(DATE(PlanYear,3,1),0),IF(ISNUMBER($G933),$G933,$F933)&gt;=DATE(PlanYear,3,1)),1,0))</f>
        <v>0</v>
      </c>
      <c r="R933">
        <f>IF($N933=0,0,IF(AND($F933&lt;=EOMONTH(DATE(PlanYear,4,1),0),IF(ISNUMBER($G933),$G933,$F933)&gt;=DATE(PlanYear,4,1)),1,0))</f>
        <v>0</v>
      </c>
      <c r="S933">
        <f>IF($N933=0,0,IF(AND($F933&lt;=EOMONTH(DATE(PlanYear,5,1),0),IF(ISNUMBER($G933),$G933,$F933)&gt;=DATE(PlanYear,5,1)),1,0))</f>
        <v>0</v>
      </c>
      <c r="T933">
        <f>IF($N933=0,0,IF(AND($F933&lt;=EOMONTH(DATE(PlanYear,6,1),0),IF(ISNUMBER($G933),$G933,$F933)&gt;=DATE(PlanYear,6,1)),1,0))</f>
        <v>0</v>
      </c>
      <c r="U933">
        <f>IF($N933=0,0,IF(AND($F933&lt;=EOMONTH(DATE(PlanYear,7,1),0),IF(ISNUMBER($G933),$G933,$F933)&gt;=DATE(PlanYear,7,1)),1,0))</f>
        <v>0</v>
      </c>
      <c r="V933">
        <f>IF($N933=0,0,IF(AND($F933&lt;=EOMONTH(DATE(PlanYear,8,1),0),IF(ISNUMBER($G933),$G933,$F933)&gt;=DATE(PlanYear,8,1)),1,0))</f>
        <v>0</v>
      </c>
      <c r="W933">
        <f>IF($N933=0,0,IF(AND($F933&lt;=EOMONTH(DATE(PlanYear,9,1),0),IF(ISNUMBER($G933),$G933,$F933)&gt;=DATE(PlanYear,9,1)),1,0))</f>
        <v>0</v>
      </c>
      <c r="X933">
        <f>IF($N933=0,0,IF(AND($F933&lt;=EOMONTH(DATE(PlanYear,10,1),0),IF(ISNUMBER($G933),$G933,$F933)&gt;=DATE(PlanYear,10,1)),1,0))</f>
        <v>0</v>
      </c>
      <c r="Y933">
        <f>IF($N933=0,0,IF(AND($F933&lt;=EOMONTH(DATE(PlanYear,11,1),0),IF(ISNUMBER($G933),$G933,$F933)&gt;=DATE(PlanYear,11,1)),1,0))</f>
        <v>0</v>
      </c>
      <c r="Z933">
        <f>IF($N933=0,0,IF(AND($F933&lt;=EOMONTH(DATE(PlanYear,12,1),0),IF(ISNUMBER($G933),$G933,$F933)&gt;=DATE(PlanYear,12,1)),1,0))</f>
        <v>0</v>
      </c>
      <c r="AA933">
        <f>SUM($O933:$Z933)</f>
        <v>0</v>
      </c>
    </row>
    <row r="934" spans="1:27">
      <c r="A934" s="42">
        <f>IF($B934="","","ACT-"&amp;TEXT(ROW()-4,"000"))</f>
        <v>0</v>
      </c>
      <c r="M934" s="43">
        <f>IF(COUNTA($B934:$K934)=0,"",IF($B934="","Missing activity name",IF($C934="","Missing practice",IF(COUNTIF(PracticeNames,$C934)=0,"Practice not in Lists",IF($D934="","Missing motion",IF(NOT(ISNUMBER($F934)),"Missing or invalid start date",IF(AND(ISNUMBER($G934),$G934&lt;$F934),"End date before start",IF(AND($N934=1,$AA934=0),"Outside planning year","OK"))))))))</f>
        <v>0</v>
      </c>
      <c r="N934">
        <f>IF(AND($B934&lt;&gt;"",$C934&lt;&gt;"",$D934&lt;&gt;"",ISNUMBER($F934),COUNTIF(PracticeNames,$C934)&gt;0,COUNTIF(MotionNames,$D934)&gt;0,NOT(AND(ISNUMBER($G934),$G934&lt;$F934))),IF(StatusFilter="All (excl. Cancelled)",IF($H934="Cancelled",0,1),IF(StatusFilter="All",1,IF($H934=StatusFilter,1,0))),0)</f>
        <v>0</v>
      </c>
      <c r="O934">
        <f>IF($N934=0,0,IF(AND($F934&lt;=EOMONTH(DATE(PlanYear,1,1),0),IF(ISNUMBER($G934),$G934,$F934)&gt;=DATE(PlanYear,1,1)),1,0))</f>
        <v>0</v>
      </c>
      <c r="P934">
        <f>IF($N934=0,0,IF(AND($F934&lt;=EOMONTH(DATE(PlanYear,2,1),0),IF(ISNUMBER($G934),$G934,$F934)&gt;=DATE(PlanYear,2,1)),1,0))</f>
        <v>0</v>
      </c>
      <c r="Q934">
        <f>IF($N934=0,0,IF(AND($F934&lt;=EOMONTH(DATE(PlanYear,3,1),0),IF(ISNUMBER($G934),$G934,$F934)&gt;=DATE(PlanYear,3,1)),1,0))</f>
        <v>0</v>
      </c>
      <c r="R934">
        <f>IF($N934=0,0,IF(AND($F934&lt;=EOMONTH(DATE(PlanYear,4,1),0),IF(ISNUMBER($G934),$G934,$F934)&gt;=DATE(PlanYear,4,1)),1,0))</f>
        <v>0</v>
      </c>
      <c r="S934">
        <f>IF($N934=0,0,IF(AND($F934&lt;=EOMONTH(DATE(PlanYear,5,1),0),IF(ISNUMBER($G934),$G934,$F934)&gt;=DATE(PlanYear,5,1)),1,0))</f>
        <v>0</v>
      </c>
      <c r="T934">
        <f>IF($N934=0,0,IF(AND($F934&lt;=EOMONTH(DATE(PlanYear,6,1),0),IF(ISNUMBER($G934),$G934,$F934)&gt;=DATE(PlanYear,6,1)),1,0))</f>
        <v>0</v>
      </c>
      <c r="U934">
        <f>IF($N934=0,0,IF(AND($F934&lt;=EOMONTH(DATE(PlanYear,7,1),0),IF(ISNUMBER($G934),$G934,$F934)&gt;=DATE(PlanYear,7,1)),1,0))</f>
        <v>0</v>
      </c>
      <c r="V934">
        <f>IF($N934=0,0,IF(AND($F934&lt;=EOMONTH(DATE(PlanYear,8,1),0),IF(ISNUMBER($G934),$G934,$F934)&gt;=DATE(PlanYear,8,1)),1,0))</f>
        <v>0</v>
      </c>
      <c r="W934">
        <f>IF($N934=0,0,IF(AND($F934&lt;=EOMONTH(DATE(PlanYear,9,1),0),IF(ISNUMBER($G934),$G934,$F934)&gt;=DATE(PlanYear,9,1)),1,0))</f>
        <v>0</v>
      </c>
      <c r="X934">
        <f>IF($N934=0,0,IF(AND($F934&lt;=EOMONTH(DATE(PlanYear,10,1),0),IF(ISNUMBER($G934),$G934,$F934)&gt;=DATE(PlanYear,10,1)),1,0))</f>
        <v>0</v>
      </c>
      <c r="Y934">
        <f>IF($N934=0,0,IF(AND($F934&lt;=EOMONTH(DATE(PlanYear,11,1),0),IF(ISNUMBER($G934),$G934,$F934)&gt;=DATE(PlanYear,11,1)),1,0))</f>
        <v>0</v>
      </c>
      <c r="Z934">
        <f>IF($N934=0,0,IF(AND($F934&lt;=EOMONTH(DATE(PlanYear,12,1),0),IF(ISNUMBER($G934),$G934,$F934)&gt;=DATE(PlanYear,12,1)),1,0))</f>
        <v>0</v>
      </c>
      <c r="AA934">
        <f>SUM($O934:$Z934)</f>
        <v>0</v>
      </c>
    </row>
    <row r="935" spans="1:27">
      <c r="A935" s="42">
        <f>IF($B935="","","ACT-"&amp;TEXT(ROW()-4,"000"))</f>
        <v>0</v>
      </c>
      <c r="M935" s="43">
        <f>IF(COUNTA($B935:$K935)=0,"",IF($B935="","Missing activity name",IF($C935="","Missing practice",IF(COUNTIF(PracticeNames,$C935)=0,"Practice not in Lists",IF($D935="","Missing motion",IF(NOT(ISNUMBER($F935)),"Missing or invalid start date",IF(AND(ISNUMBER($G935),$G935&lt;$F935),"End date before start",IF(AND($N935=1,$AA935=0),"Outside planning year","OK"))))))))</f>
        <v>0</v>
      </c>
      <c r="N935">
        <f>IF(AND($B935&lt;&gt;"",$C935&lt;&gt;"",$D935&lt;&gt;"",ISNUMBER($F935),COUNTIF(PracticeNames,$C935)&gt;0,COUNTIF(MotionNames,$D935)&gt;0,NOT(AND(ISNUMBER($G935),$G935&lt;$F935))),IF(StatusFilter="All (excl. Cancelled)",IF($H935="Cancelled",0,1),IF(StatusFilter="All",1,IF($H935=StatusFilter,1,0))),0)</f>
        <v>0</v>
      </c>
      <c r="O935">
        <f>IF($N935=0,0,IF(AND($F935&lt;=EOMONTH(DATE(PlanYear,1,1),0),IF(ISNUMBER($G935),$G935,$F935)&gt;=DATE(PlanYear,1,1)),1,0))</f>
        <v>0</v>
      </c>
      <c r="P935">
        <f>IF($N935=0,0,IF(AND($F935&lt;=EOMONTH(DATE(PlanYear,2,1),0),IF(ISNUMBER($G935),$G935,$F935)&gt;=DATE(PlanYear,2,1)),1,0))</f>
        <v>0</v>
      </c>
      <c r="Q935">
        <f>IF($N935=0,0,IF(AND($F935&lt;=EOMONTH(DATE(PlanYear,3,1),0),IF(ISNUMBER($G935),$G935,$F935)&gt;=DATE(PlanYear,3,1)),1,0))</f>
        <v>0</v>
      </c>
      <c r="R935">
        <f>IF($N935=0,0,IF(AND($F935&lt;=EOMONTH(DATE(PlanYear,4,1),0),IF(ISNUMBER($G935),$G935,$F935)&gt;=DATE(PlanYear,4,1)),1,0))</f>
        <v>0</v>
      </c>
      <c r="S935">
        <f>IF($N935=0,0,IF(AND($F935&lt;=EOMONTH(DATE(PlanYear,5,1),0),IF(ISNUMBER($G935),$G935,$F935)&gt;=DATE(PlanYear,5,1)),1,0))</f>
        <v>0</v>
      </c>
      <c r="T935">
        <f>IF($N935=0,0,IF(AND($F935&lt;=EOMONTH(DATE(PlanYear,6,1),0),IF(ISNUMBER($G935),$G935,$F935)&gt;=DATE(PlanYear,6,1)),1,0))</f>
        <v>0</v>
      </c>
      <c r="U935">
        <f>IF($N935=0,0,IF(AND($F935&lt;=EOMONTH(DATE(PlanYear,7,1),0),IF(ISNUMBER($G935),$G935,$F935)&gt;=DATE(PlanYear,7,1)),1,0))</f>
        <v>0</v>
      </c>
      <c r="V935">
        <f>IF($N935=0,0,IF(AND($F935&lt;=EOMONTH(DATE(PlanYear,8,1),0),IF(ISNUMBER($G935),$G935,$F935)&gt;=DATE(PlanYear,8,1)),1,0))</f>
        <v>0</v>
      </c>
      <c r="W935">
        <f>IF($N935=0,0,IF(AND($F935&lt;=EOMONTH(DATE(PlanYear,9,1),0),IF(ISNUMBER($G935),$G935,$F935)&gt;=DATE(PlanYear,9,1)),1,0))</f>
        <v>0</v>
      </c>
      <c r="X935">
        <f>IF($N935=0,0,IF(AND($F935&lt;=EOMONTH(DATE(PlanYear,10,1),0),IF(ISNUMBER($G935),$G935,$F935)&gt;=DATE(PlanYear,10,1)),1,0))</f>
        <v>0</v>
      </c>
      <c r="Y935">
        <f>IF($N935=0,0,IF(AND($F935&lt;=EOMONTH(DATE(PlanYear,11,1),0),IF(ISNUMBER($G935),$G935,$F935)&gt;=DATE(PlanYear,11,1)),1,0))</f>
        <v>0</v>
      </c>
      <c r="Z935">
        <f>IF($N935=0,0,IF(AND($F935&lt;=EOMONTH(DATE(PlanYear,12,1),0),IF(ISNUMBER($G935),$G935,$F935)&gt;=DATE(PlanYear,12,1)),1,0))</f>
        <v>0</v>
      </c>
      <c r="AA935">
        <f>SUM($O935:$Z935)</f>
        <v>0</v>
      </c>
    </row>
    <row r="936" spans="1:27">
      <c r="A936" s="42">
        <f>IF($B936="","","ACT-"&amp;TEXT(ROW()-4,"000"))</f>
        <v>0</v>
      </c>
      <c r="M936" s="43">
        <f>IF(COUNTA($B936:$K936)=0,"",IF($B936="","Missing activity name",IF($C936="","Missing practice",IF(COUNTIF(PracticeNames,$C936)=0,"Practice not in Lists",IF($D936="","Missing motion",IF(NOT(ISNUMBER($F936)),"Missing or invalid start date",IF(AND(ISNUMBER($G936),$G936&lt;$F936),"End date before start",IF(AND($N936=1,$AA936=0),"Outside planning year","OK"))))))))</f>
        <v>0</v>
      </c>
      <c r="N936">
        <f>IF(AND($B936&lt;&gt;"",$C936&lt;&gt;"",$D936&lt;&gt;"",ISNUMBER($F936),COUNTIF(PracticeNames,$C936)&gt;0,COUNTIF(MotionNames,$D936)&gt;0,NOT(AND(ISNUMBER($G936),$G936&lt;$F936))),IF(StatusFilter="All (excl. Cancelled)",IF($H936="Cancelled",0,1),IF(StatusFilter="All",1,IF($H936=StatusFilter,1,0))),0)</f>
        <v>0</v>
      </c>
      <c r="O936">
        <f>IF($N936=0,0,IF(AND($F936&lt;=EOMONTH(DATE(PlanYear,1,1),0),IF(ISNUMBER($G936),$G936,$F936)&gt;=DATE(PlanYear,1,1)),1,0))</f>
        <v>0</v>
      </c>
      <c r="P936">
        <f>IF($N936=0,0,IF(AND($F936&lt;=EOMONTH(DATE(PlanYear,2,1),0),IF(ISNUMBER($G936),$G936,$F936)&gt;=DATE(PlanYear,2,1)),1,0))</f>
        <v>0</v>
      </c>
      <c r="Q936">
        <f>IF($N936=0,0,IF(AND($F936&lt;=EOMONTH(DATE(PlanYear,3,1),0),IF(ISNUMBER($G936),$G936,$F936)&gt;=DATE(PlanYear,3,1)),1,0))</f>
        <v>0</v>
      </c>
      <c r="R936">
        <f>IF($N936=0,0,IF(AND($F936&lt;=EOMONTH(DATE(PlanYear,4,1),0),IF(ISNUMBER($G936),$G936,$F936)&gt;=DATE(PlanYear,4,1)),1,0))</f>
        <v>0</v>
      </c>
      <c r="S936">
        <f>IF($N936=0,0,IF(AND($F936&lt;=EOMONTH(DATE(PlanYear,5,1),0),IF(ISNUMBER($G936),$G936,$F936)&gt;=DATE(PlanYear,5,1)),1,0))</f>
        <v>0</v>
      </c>
      <c r="T936">
        <f>IF($N936=0,0,IF(AND($F936&lt;=EOMONTH(DATE(PlanYear,6,1),0),IF(ISNUMBER($G936),$G936,$F936)&gt;=DATE(PlanYear,6,1)),1,0))</f>
        <v>0</v>
      </c>
      <c r="U936">
        <f>IF($N936=0,0,IF(AND($F936&lt;=EOMONTH(DATE(PlanYear,7,1),0),IF(ISNUMBER($G936),$G936,$F936)&gt;=DATE(PlanYear,7,1)),1,0))</f>
        <v>0</v>
      </c>
      <c r="V936">
        <f>IF($N936=0,0,IF(AND($F936&lt;=EOMONTH(DATE(PlanYear,8,1),0),IF(ISNUMBER($G936),$G936,$F936)&gt;=DATE(PlanYear,8,1)),1,0))</f>
        <v>0</v>
      </c>
      <c r="W936">
        <f>IF($N936=0,0,IF(AND($F936&lt;=EOMONTH(DATE(PlanYear,9,1),0),IF(ISNUMBER($G936),$G936,$F936)&gt;=DATE(PlanYear,9,1)),1,0))</f>
        <v>0</v>
      </c>
      <c r="X936">
        <f>IF($N936=0,0,IF(AND($F936&lt;=EOMONTH(DATE(PlanYear,10,1),0),IF(ISNUMBER($G936),$G936,$F936)&gt;=DATE(PlanYear,10,1)),1,0))</f>
        <v>0</v>
      </c>
      <c r="Y936">
        <f>IF($N936=0,0,IF(AND($F936&lt;=EOMONTH(DATE(PlanYear,11,1),0),IF(ISNUMBER($G936),$G936,$F936)&gt;=DATE(PlanYear,11,1)),1,0))</f>
        <v>0</v>
      </c>
      <c r="Z936">
        <f>IF($N936=0,0,IF(AND($F936&lt;=EOMONTH(DATE(PlanYear,12,1),0),IF(ISNUMBER($G936),$G936,$F936)&gt;=DATE(PlanYear,12,1)),1,0))</f>
        <v>0</v>
      </c>
      <c r="AA936">
        <f>SUM($O936:$Z936)</f>
        <v>0</v>
      </c>
    </row>
    <row r="937" spans="1:27">
      <c r="A937" s="42">
        <f>IF($B937="","","ACT-"&amp;TEXT(ROW()-4,"000"))</f>
        <v>0</v>
      </c>
      <c r="M937" s="43">
        <f>IF(COUNTA($B937:$K937)=0,"",IF($B937="","Missing activity name",IF($C937="","Missing practice",IF(COUNTIF(PracticeNames,$C937)=0,"Practice not in Lists",IF($D937="","Missing motion",IF(NOT(ISNUMBER($F937)),"Missing or invalid start date",IF(AND(ISNUMBER($G937),$G937&lt;$F937),"End date before start",IF(AND($N937=1,$AA937=0),"Outside planning year","OK"))))))))</f>
        <v>0</v>
      </c>
      <c r="N937">
        <f>IF(AND($B937&lt;&gt;"",$C937&lt;&gt;"",$D937&lt;&gt;"",ISNUMBER($F937),COUNTIF(PracticeNames,$C937)&gt;0,COUNTIF(MotionNames,$D937)&gt;0,NOT(AND(ISNUMBER($G937),$G937&lt;$F937))),IF(StatusFilter="All (excl. Cancelled)",IF($H937="Cancelled",0,1),IF(StatusFilter="All",1,IF($H937=StatusFilter,1,0))),0)</f>
        <v>0</v>
      </c>
      <c r="O937">
        <f>IF($N937=0,0,IF(AND($F937&lt;=EOMONTH(DATE(PlanYear,1,1),0),IF(ISNUMBER($G937),$G937,$F937)&gt;=DATE(PlanYear,1,1)),1,0))</f>
        <v>0</v>
      </c>
      <c r="P937">
        <f>IF($N937=0,0,IF(AND($F937&lt;=EOMONTH(DATE(PlanYear,2,1),0),IF(ISNUMBER($G937),$G937,$F937)&gt;=DATE(PlanYear,2,1)),1,0))</f>
        <v>0</v>
      </c>
      <c r="Q937">
        <f>IF($N937=0,0,IF(AND($F937&lt;=EOMONTH(DATE(PlanYear,3,1),0),IF(ISNUMBER($G937),$G937,$F937)&gt;=DATE(PlanYear,3,1)),1,0))</f>
        <v>0</v>
      </c>
      <c r="R937">
        <f>IF($N937=0,0,IF(AND($F937&lt;=EOMONTH(DATE(PlanYear,4,1),0),IF(ISNUMBER($G937),$G937,$F937)&gt;=DATE(PlanYear,4,1)),1,0))</f>
        <v>0</v>
      </c>
      <c r="S937">
        <f>IF($N937=0,0,IF(AND($F937&lt;=EOMONTH(DATE(PlanYear,5,1),0),IF(ISNUMBER($G937),$G937,$F937)&gt;=DATE(PlanYear,5,1)),1,0))</f>
        <v>0</v>
      </c>
      <c r="T937">
        <f>IF($N937=0,0,IF(AND($F937&lt;=EOMONTH(DATE(PlanYear,6,1),0),IF(ISNUMBER($G937),$G937,$F937)&gt;=DATE(PlanYear,6,1)),1,0))</f>
        <v>0</v>
      </c>
      <c r="U937">
        <f>IF($N937=0,0,IF(AND($F937&lt;=EOMONTH(DATE(PlanYear,7,1),0),IF(ISNUMBER($G937),$G937,$F937)&gt;=DATE(PlanYear,7,1)),1,0))</f>
        <v>0</v>
      </c>
      <c r="V937">
        <f>IF($N937=0,0,IF(AND($F937&lt;=EOMONTH(DATE(PlanYear,8,1),0),IF(ISNUMBER($G937),$G937,$F937)&gt;=DATE(PlanYear,8,1)),1,0))</f>
        <v>0</v>
      </c>
      <c r="W937">
        <f>IF($N937=0,0,IF(AND($F937&lt;=EOMONTH(DATE(PlanYear,9,1),0),IF(ISNUMBER($G937),$G937,$F937)&gt;=DATE(PlanYear,9,1)),1,0))</f>
        <v>0</v>
      </c>
      <c r="X937">
        <f>IF($N937=0,0,IF(AND($F937&lt;=EOMONTH(DATE(PlanYear,10,1),0),IF(ISNUMBER($G937),$G937,$F937)&gt;=DATE(PlanYear,10,1)),1,0))</f>
        <v>0</v>
      </c>
      <c r="Y937">
        <f>IF($N937=0,0,IF(AND($F937&lt;=EOMONTH(DATE(PlanYear,11,1),0),IF(ISNUMBER($G937),$G937,$F937)&gt;=DATE(PlanYear,11,1)),1,0))</f>
        <v>0</v>
      </c>
      <c r="Z937">
        <f>IF($N937=0,0,IF(AND($F937&lt;=EOMONTH(DATE(PlanYear,12,1),0),IF(ISNUMBER($G937),$G937,$F937)&gt;=DATE(PlanYear,12,1)),1,0))</f>
        <v>0</v>
      </c>
      <c r="AA937">
        <f>SUM($O937:$Z937)</f>
        <v>0</v>
      </c>
    </row>
    <row r="938" spans="1:27">
      <c r="A938" s="42">
        <f>IF($B938="","","ACT-"&amp;TEXT(ROW()-4,"000"))</f>
        <v>0</v>
      </c>
      <c r="M938" s="43">
        <f>IF(COUNTA($B938:$K938)=0,"",IF($B938="","Missing activity name",IF($C938="","Missing practice",IF(COUNTIF(PracticeNames,$C938)=0,"Practice not in Lists",IF($D938="","Missing motion",IF(NOT(ISNUMBER($F938)),"Missing or invalid start date",IF(AND(ISNUMBER($G938),$G938&lt;$F938),"End date before start",IF(AND($N938=1,$AA938=0),"Outside planning year","OK"))))))))</f>
        <v>0</v>
      </c>
      <c r="N938">
        <f>IF(AND($B938&lt;&gt;"",$C938&lt;&gt;"",$D938&lt;&gt;"",ISNUMBER($F938),COUNTIF(PracticeNames,$C938)&gt;0,COUNTIF(MotionNames,$D938)&gt;0,NOT(AND(ISNUMBER($G938),$G938&lt;$F938))),IF(StatusFilter="All (excl. Cancelled)",IF($H938="Cancelled",0,1),IF(StatusFilter="All",1,IF($H938=StatusFilter,1,0))),0)</f>
        <v>0</v>
      </c>
      <c r="O938">
        <f>IF($N938=0,0,IF(AND($F938&lt;=EOMONTH(DATE(PlanYear,1,1),0),IF(ISNUMBER($G938),$G938,$F938)&gt;=DATE(PlanYear,1,1)),1,0))</f>
        <v>0</v>
      </c>
      <c r="P938">
        <f>IF($N938=0,0,IF(AND($F938&lt;=EOMONTH(DATE(PlanYear,2,1),0),IF(ISNUMBER($G938),$G938,$F938)&gt;=DATE(PlanYear,2,1)),1,0))</f>
        <v>0</v>
      </c>
      <c r="Q938">
        <f>IF($N938=0,0,IF(AND($F938&lt;=EOMONTH(DATE(PlanYear,3,1),0),IF(ISNUMBER($G938),$G938,$F938)&gt;=DATE(PlanYear,3,1)),1,0))</f>
        <v>0</v>
      </c>
      <c r="R938">
        <f>IF($N938=0,0,IF(AND($F938&lt;=EOMONTH(DATE(PlanYear,4,1),0),IF(ISNUMBER($G938),$G938,$F938)&gt;=DATE(PlanYear,4,1)),1,0))</f>
        <v>0</v>
      </c>
      <c r="S938">
        <f>IF($N938=0,0,IF(AND($F938&lt;=EOMONTH(DATE(PlanYear,5,1),0),IF(ISNUMBER($G938),$G938,$F938)&gt;=DATE(PlanYear,5,1)),1,0))</f>
        <v>0</v>
      </c>
      <c r="T938">
        <f>IF($N938=0,0,IF(AND($F938&lt;=EOMONTH(DATE(PlanYear,6,1),0),IF(ISNUMBER($G938),$G938,$F938)&gt;=DATE(PlanYear,6,1)),1,0))</f>
        <v>0</v>
      </c>
      <c r="U938">
        <f>IF($N938=0,0,IF(AND($F938&lt;=EOMONTH(DATE(PlanYear,7,1),0),IF(ISNUMBER($G938),$G938,$F938)&gt;=DATE(PlanYear,7,1)),1,0))</f>
        <v>0</v>
      </c>
      <c r="V938">
        <f>IF($N938=0,0,IF(AND($F938&lt;=EOMONTH(DATE(PlanYear,8,1),0),IF(ISNUMBER($G938),$G938,$F938)&gt;=DATE(PlanYear,8,1)),1,0))</f>
        <v>0</v>
      </c>
      <c r="W938">
        <f>IF($N938=0,0,IF(AND($F938&lt;=EOMONTH(DATE(PlanYear,9,1),0),IF(ISNUMBER($G938),$G938,$F938)&gt;=DATE(PlanYear,9,1)),1,0))</f>
        <v>0</v>
      </c>
      <c r="X938">
        <f>IF($N938=0,0,IF(AND($F938&lt;=EOMONTH(DATE(PlanYear,10,1),0),IF(ISNUMBER($G938),$G938,$F938)&gt;=DATE(PlanYear,10,1)),1,0))</f>
        <v>0</v>
      </c>
      <c r="Y938">
        <f>IF($N938=0,0,IF(AND($F938&lt;=EOMONTH(DATE(PlanYear,11,1),0),IF(ISNUMBER($G938),$G938,$F938)&gt;=DATE(PlanYear,11,1)),1,0))</f>
        <v>0</v>
      </c>
      <c r="Z938">
        <f>IF($N938=0,0,IF(AND($F938&lt;=EOMONTH(DATE(PlanYear,12,1),0),IF(ISNUMBER($G938),$G938,$F938)&gt;=DATE(PlanYear,12,1)),1,0))</f>
        <v>0</v>
      </c>
      <c r="AA938">
        <f>SUM($O938:$Z938)</f>
        <v>0</v>
      </c>
    </row>
    <row r="939" spans="1:27">
      <c r="A939" s="42">
        <f>IF($B939="","","ACT-"&amp;TEXT(ROW()-4,"000"))</f>
        <v>0</v>
      </c>
      <c r="M939" s="43">
        <f>IF(COUNTA($B939:$K939)=0,"",IF($B939="","Missing activity name",IF($C939="","Missing practice",IF(COUNTIF(PracticeNames,$C939)=0,"Practice not in Lists",IF($D939="","Missing motion",IF(NOT(ISNUMBER($F939)),"Missing or invalid start date",IF(AND(ISNUMBER($G939),$G939&lt;$F939),"End date before start",IF(AND($N939=1,$AA939=0),"Outside planning year","OK"))))))))</f>
        <v>0</v>
      </c>
      <c r="N939">
        <f>IF(AND($B939&lt;&gt;"",$C939&lt;&gt;"",$D939&lt;&gt;"",ISNUMBER($F939),COUNTIF(PracticeNames,$C939)&gt;0,COUNTIF(MotionNames,$D939)&gt;0,NOT(AND(ISNUMBER($G939),$G939&lt;$F939))),IF(StatusFilter="All (excl. Cancelled)",IF($H939="Cancelled",0,1),IF(StatusFilter="All",1,IF($H939=StatusFilter,1,0))),0)</f>
        <v>0</v>
      </c>
      <c r="O939">
        <f>IF($N939=0,0,IF(AND($F939&lt;=EOMONTH(DATE(PlanYear,1,1),0),IF(ISNUMBER($G939),$G939,$F939)&gt;=DATE(PlanYear,1,1)),1,0))</f>
        <v>0</v>
      </c>
      <c r="P939">
        <f>IF($N939=0,0,IF(AND($F939&lt;=EOMONTH(DATE(PlanYear,2,1),0),IF(ISNUMBER($G939),$G939,$F939)&gt;=DATE(PlanYear,2,1)),1,0))</f>
        <v>0</v>
      </c>
      <c r="Q939">
        <f>IF($N939=0,0,IF(AND($F939&lt;=EOMONTH(DATE(PlanYear,3,1),0),IF(ISNUMBER($G939),$G939,$F939)&gt;=DATE(PlanYear,3,1)),1,0))</f>
        <v>0</v>
      </c>
      <c r="R939">
        <f>IF($N939=0,0,IF(AND($F939&lt;=EOMONTH(DATE(PlanYear,4,1),0),IF(ISNUMBER($G939),$G939,$F939)&gt;=DATE(PlanYear,4,1)),1,0))</f>
        <v>0</v>
      </c>
      <c r="S939">
        <f>IF($N939=0,0,IF(AND($F939&lt;=EOMONTH(DATE(PlanYear,5,1),0),IF(ISNUMBER($G939),$G939,$F939)&gt;=DATE(PlanYear,5,1)),1,0))</f>
        <v>0</v>
      </c>
      <c r="T939">
        <f>IF($N939=0,0,IF(AND($F939&lt;=EOMONTH(DATE(PlanYear,6,1),0),IF(ISNUMBER($G939),$G939,$F939)&gt;=DATE(PlanYear,6,1)),1,0))</f>
        <v>0</v>
      </c>
      <c r="U939">
        <f>IF($N939=0,0,IF(AND($F939&lt;=EOMONTH(DATE(PlanYear,7,1),0),IF(ISNUMBER($G939),$G939,$F939)&gt;=DATE(PlanYear,7,1)),1,0))</f>
        <v>0</v>
      </c>
      <c r="V939">
        <f>IF($N939=0,0,IF(AND($F939&lt;=EOMONTH(DATE(PlanYear,8,1),0),IF(ISNUMBER($G939),$G939,$F939)&gt;=DATE(PlanYear,8,1)),1,0))</f>
        <v>0</v>
      </c>
      <c r="W939">
        <f>IF($N939=0,0,IF(AND($F939&lt;=EOMONTH(DATE(PlanYear,9,1),0),IF(ISNUMBER($G939),$G939,$F939)&gt;=DATE(PlanYear,9,1)),1,0))</f>
        <v>0</v>
      </c>
      <c r="X939">
        <f>IF($N939=0,0,IF(AND($F939&lt;=EOMONTH(DATE(PlanYear,10,1),0),IF(ISNUMBER($G939),$G939,$F939)&gt;=DATE(PlanYear,10,1)),1,0))</f>
        <v>0</v>
      </c>
      <c r="Y939">
        <f>IF($N939=0,0,IF(AND($F939&lt;=EOMONTH(DATE(PlanYear,11,1),0),IF(ISNUMBER($G939),$G939,$F939)&gt;=DATE(PlanYear,11,1)),1,0))</f>
        <v>0</v>
      </c>
      <c r="Z939">
        <f>IF($N939=0,0,IF(AND($F939&lt;=EOMONTH(DATE(PlanYear,12,1),0),IF(ISNUMBER($G939),$G939,$F939)&gt;=DATE(PlanYear,12,1)),1,0))</f>
        <v>0</v>
      </c>
      <c r="AA939">
        <f>SUM($O939:$Z939)</f>
        <v>0</v>
      </c>
    </row>
    <row r="940" spans="1:27">
      <c r="A940" s="42">
        <f>IF($B940="","","ACT-"&amp;TEXT(ROW()-4,"000"))</f>
        <v>0</v>
      </c>
      <c r="M940" s="43">
        <f>IF(COUNTA($B940:$K940)=0,"",IF($B940="","Missing activity name",IF($C940="","Missing practice",IF(COUNTIF(PracticeNames,$C940)=0,"Practice not in Lists",IF($D940="","Missing motion",IF(NOT(ISNUMBER($F940)),"Missing or invalid start date",IF(AND(ISNUMBER($G940),$G940&lt;$F940),"End date before start",IF(AND($N940=1,$AA940=0),"Outside planning year","OK"))))))))</f>
        <v>0</v>
      </c>
      <c r="N940">
        <f>IF(AND($B940&lt;&gt;"",$C940&lt;&gt;"",$D940&lt;&gt;"",ISNUMBER($F940),COUNTIF(PracticeNames,$C940)&gt;0,COUNTIF(MotionNames,$D940)&gt;0,NOT(AND(ISNUMBER($G940),$G940&lt;$F940))),IF(StatusFilter="All (excl. Cancelled)",IF($H940="Cancelled",0,1),IF(StatusFilter="All",1,IF($H940=StatusFilter,1,0))),0)</f>
        <v>0</v>
      </c>
      <c r="O940">
        <f>IF($N940=0,0,IF(AND($F940&lt;=EOMONTH(DATE(PlanYear,1,1),0),IF(ISNUMBER($G940),$G940,$F940)&gt;=DATE(PlanYear,1,1)),1,0))</f>
        <v>0</v>
      </c>
      <c r="P940">
        <f>IF($N940=0,0,IF(AND($F940&lt;=EOMONTH(DATE(PlanYear,2,1),0),IF(ISNUMBER($G940),$G940,$F940)&gt;=DATE(PlanYear,2,1)),1,0))</f>
        <v>0</v>
      </c>
      <c r="Q940">
        <f>IF($N940=0,0,IF(AND($F940&lt;=EOMONTH(DATE(PlanYear,3,1),0),IF(ISNUMBER($G940),$G940,$F940)&gt;=DATE(PlanYear,3,1)),1,0))</f>
        <v>0</v>
      </c>
      <c r="R940">
        <f>IF($N940=0,0,IF(AND($F940&lt;=EOMONTH(DATE(PlanYear,4,1),0),IF(ISNUMBER($G940),$G940,$F940)&gt;=DATE(PlanYear,4,1)),1,0))</f>
        <v>0</v>
      </c>
      <c r="S940">
        <f>IF($N940=0,0,IF(AND($F940&lt;=EOMONTH(DATE(PlanYear,5,1),0),IF(ISNUMBER($G940),$G940,$F940)&gt;=DATE(PlanYear,5,1)),1,0))</f>
        <v>0</v>
      </c>
      <c r="T940">
        <f>IF($N940=0,0,IF(AND($F940&lt;=EOMONTH(DATE(PlanYear,6,1),0),IF(ISNUMBER($G940),$G940,$F940)&gt;=DATE(PlanYear,6,1)),1,0))</f>
        <v>0</v>
      </c>
      <c r="U940">
        <f>IF($N940=0,0,IF(AND($F940&lt;=EOMONTH(DATE(PlanYear,7,1),0),IF(ISNUMBER($G940),$G940,$F940)&gt;=DATE(PlanYear,7,1)),1,0))</f>
        <v>0</v>
      </c>
      <c r="V940">
        <f>IF($N940=0,0,IF(AND($F940&lt;=EOMONTH(DATE(PlanYear,8,1),0),IF(ISNUMBER($G940),$G940,$F940)&gt;=DATE(PlanYear,8,1)),1,0))</f>
        <v>0</v>
      </c>
      <c r="W940">
        <f>IF($N940=0,0,IF(AND($F940&lt;=EOMONTH(DATE(PlanYear,9,1),0),IF(ISNUMBER($G940),$G940,$F940)&gt;=DATE(PlanYear,9,1)),1,0))</f>
        <v>0</v>
      </c>
      <c r="X940">
        <f>IF($N940=0,0,IF(AND($F940&lt;=EOMONTH(DATE(PlanYear,10,1),0),IF(ISNUMBER($G940),$G940,$F940)&gt;=DATE(PlanYear,10,1)),1,0))</f>
        <v>0</v>
      </c>
      <c r="Y940">
        <f>IF($N940=0,0,IF(AND($F940&lt;=EOMONTH(DATE(PlanYear,11,1),0),IF(ISNUMBER($G940),$G940,$F940)&gt;=DATE(PlanYear,11,1)),1,0))</f>
        <v>0</v>
      </c>
      <c r="Z940">
        <f>IF($N940=0,0,IF(AND($F940&lt;=EOMONTH(DATE(PlanYear,12,1),0),IF(ISNUMBER($G940),$G940,$F940)&gt;=DATE(PlanYear,12,1)),1,0))</f>
        <v>0</v>
      </c>
      <c r="AA940">
        <f>SUM($O940:$Z940)</f>
        <v>0</v>
      </c>
    </row>
    <row r="941" spans="1:27">
      <c r="A941" s="42">
        <f>IF($B941="","","ACT-"&amp;TEXT(ROW()-4,"000"))</f>
        <v>0</v>
      </c>
      <c r="M941" s="43">
        <f>IF(COUNTA($B941:$K941)=0,"",IF($B941="","Missing activity name",IF($C941="","Missing practice",IF(COUNTIF(PracticeNames,$C941)=0,"Practice not in Lists",IF($D941="","Missing motion",IF(NOT(ISNUMBER($F941)),"Missing or invalid start date",IF(AND(ISNUMBER($G941),$G941&lt;$F941),"End date before start",IF(AND($N941=1,$AA941=0),"Outside planning year","OK"))))))))</f>
        <v>0</v>
      </c>
      <c r="N941">
        <f>IF(AND($B941&lt;&gt;"",$C941&lt;&gt;"",$D941&lt;&gt;"",ISNUMBER($F941),COUNTIF(PracticeNames,$C941)&gt;0,COUNTIF(MotionNames,$D941)&gt;0,NOT(AND(ISNUMBER($G941),$G941&lt;$F941))),IF(StatusFilter="All (excl. Cancelled)",IF($H941="Cancelled",0,1),IF(StatusFilter="All",1,IF($H941=StatusFilter,1,0))),0)</f>
        <v>0</v>
      </c>
      <c r="O941">
        <f>IF($N941=0,0,IF(AND($F941&lt;=EOMONTH(DATE(PlanYear,1,1),0),IF(ISNUMBER($G941),$G941,$F941)&gt;=DATE(PlanYear,1,1)),1,0))</f>
        <v>0</v>
      </c>
      <c r="P941">
        <f>IF($N941=0,0,IF(AND($F941&lt;=EOMONTH(DATE(PlanYear,2,1),0),IF(ISNUMBER($G941),$G941,$F941)&gt;=DATE(PlanYear,2,1)),1,0))</f>
        <v>0</v>
      </c>
      <c r="Q941">
        <f>IF($N941=0,0,IF(AND($F941&lt;=EOMONTH(DATE(PlanYear,3,1),0),IF(ISNUMBER($G941),$G941,$F941)&gt;=DATE(PlanYear,3,1)),1,0))</f>
        <v>0</v>
      </c>
      <c r="R941">
        <f>IF($N941=0,0,IF(AND($F941&lt;=EOMONTH(DATE(PlanYear,4,1),0),IF(ISNUMBER($G941),$G941,$F941)&gt;=DATE(PlanYear,4,1)),1,0))</f>
        <v>0</v>
      </c>
      <c r="S941">
        <f>IF($N941=0,0,IF(AND($F941&lt;=EOMONTH(DATE(PlanYear,5,1),0),IF(ISNUMBER($G941),$G941,$F941)&gt;=DATE(PlanYear,5,1)),1,0))</f>
        <v>0</v>
      </c>
      <c r="T941">
        <f>IF($N941=0,0,IF(AND($F941&lt;=EOMONTH(DATE(PlanYear,6,1),0),IF(ISNUMBER($G941),$G941,$F941)&gt;=DATE(PlanYear,6,1)),1,0))</f>
        <v>0</v>
      </c>
      <c r="U941">
        <f>IF($N941=0,0,IF(AND($F941&lt;=EOMONTH(DATE(PlanYear,7,1),0),IF(ISNUMBER($G941),$G941,$F941)&gt;=DATE(PlanYear,7,1)),1,0))</f>
        <v>0</v>
      </c>
      <c r="V941">
        <f>IF($N941=0,0,IF(AND($F941&lt;=EOMONTH(DATE(PlanYear,8,1),0),IF(ISNUMBER($G941),$G941,$F941)&gt;=DATE(PlanYear,8,1)),1,0))</f>
        <v>0</v>
      </c>
      <c r="W941">
        <f>IF($N941=0,0,IF(AND($F941&lt;=EOMONTH(DATE(PlanYear,9,1),0),IF(ISNUMBER($G941),$G941,$F941)&gt;=DATE(PlanYear,9,1)),1,0))</f>
        <v>0</v>
      </c>
      <c r="X941">
        <f>IF($N941=0,0,IF(AND($F941&lt;=EOMONTH(DATE(PlanYear,10,1),0),IF(ISNUMBER($G941),$G941,$F941)&gt;=DATE(PlanYear,10,1)),1,0))</f>
        <v>0</v>
      </c>
      <c r="Y941">
        <f>IF($N941=0,0,IF(AND($F941&lt;=EOMONTH(DATE(PlanYear,11,1),0),IF(ISNUMBER($G941),$G941,$F941)&gt;=DATE(PlanYear,11,1)),1,0))</f>
        <v>0</v>
      </c>
      <c r="Z941">
        <f>IF($N941=0,0,IF(AND($F941&lt;=EOMONTH(DATE(PlanYear,12,1),0),IF(ISNUMBER($G941),$G941,$F941)&gt;=DATE(PlanYear,12,1)),1,0))</f>
        <v>0</v>
      </c>
      <c r="AA941">
        <f>SUM($O941:$Z941)</f>
        <v>0</v>
      </c>
    </row>
    <row r="942" spans="1:27">
      <c r="A942" s="42">
        <f>IF($B942="","","ACT-"&amp;TEXT(ROW()-4,"000"))</f>
        <v>0</v>
      </c>
      <c r="M942" s="43">
        <f>IF(COUNTA($B942:$K942)=0,"",IF($B942="","Missing activity name",IF($C942="","Missing practice",IF(COUNTIF(PracticeNames,$C942)=0,"Practice not in Lists",IF($D942="","Missing motion",IF(NOT(ISNUMBER($F942)),"Missing or invalid start date",IF(AND(ISNUMBER($G942),$G942&lt;$F942),"End date before start",IF(AND($N942=1,$AA942=0),"Outside planning year","OK"))))))))</f>
        <v>0</v>
      </c>
      <c r="N942">
        <f>IF(AND($B942&lt;&gt;"",$C942&lt;&gt;"",$D942&lt;&gt;"",ISNUMBER($F942),COUNTIF(PracticeNames,$C942)&gt;0,COUNTIF(MotionNames,$D942)&gt;0,NOT(AND(ISNUMBER($G942),$G942&lt;$F942))),IF(StatusFilter="All (excl. Cancelled)",IF($H942="Cancelled",0,1),IF(StatusFilter="All",1,IF($H942=StatusFilter,1,0))),0)</f>
        <v>0</v>
      </c>
      <c r="O942">
        <f>IF($N942=0,0,IF(AND($F942&lt;=EOMONTH(DATE(PlanYear,1,1),0),IF(ISNUMBER($G942),$G942,$F942)&gt;=DATE(PlanYear,1,1)),1,0))</f>
        <v>0</v>
      </c>
      <c r="P942">
        <f>IF($N942=0,0,IF(AND($F942&lt;=EOMONTH(DATE(PlanYear,2,1),0),IF(ISNUMBER($G942),$G942,$F942)&gt;=DATE(PlanYear,2,1)),1,0))</f>
        <v>0</v>
      </c>
      <c r="Q942">
        <f>IF($N942=0,0,IF(AND($F942&lt;=EOMONTH(DATE(PlanYear,3,1),0),IF(ISNUMBER($G942),$G942,$F942)&gt;=DATE(PlanYear,3,1)),1,0))</f>
        <v>0</v>
      </c>
      <c r="R942">
        <f>IF($N942=0,0,IF(AND($F942&lt;=EOMONTH(DATE(PlanYear,4,1),0),IF(ISNUMBER($G942),$G942,$F942)&gt;=DATE(PlanYear,4,1)),1,0))</f>
        <v>0</v>
      </c>
      <c r="S942">
        <f>IF($N942=0,0,IF(AND($F942&lt;=EOMONTH(DATE(PlanYear,5,1),0),IF(ISNUMBER($G942),$G942,$F942)&gt;=DATE(PlanYear,5,1)),1,0))</f>
        <v>0</v>
      </c>
      <c r="T942">
        <f>IF($N942=0,0,IF(AND($F942&lt;=EOMONTH(DATE(PlanYear,6,1),0),IF(ISNUMBER($G942),$G942,$F942)&gt;=DATE(PlanYear,6,1)),1,0))</f>
        <v>0</v>
      </c>
      <c r="U942">
        <f>IF($N942=0,0,IF(AND($F942&lt;=EOMONTH(DATE(PlanYear,7,1),0),IF(ISNUMBER($G942),$G942,$F942)&gt;=DATE(PlanYear,7,1)),1,0))</f>
        <v>0</v>
      </c>
      <c r="V942">
        <f>IF($N942=0,0,IF(AND($F942&lt;=EOMONTH(DATE(PlanYear,8,1),0),IF(ISNUMBER($G942),$G942,$F942)&gt;=DATE(PlanYear,8,1)),1,0))</f>
        <v>0</v>
      </c>
      <c r="W942">
        <f>IF($N942=0,0,IF(AND($F942&lt;=EOMONTH(DATE(PlanYear,9,1),0),IF(ISNUMBER($G942),$G942,$F942)&gt;=DATE(PlanYear,9,1)),1,0))</f>
        <v>0</v>
      </c>
      <c r="X942">
        <f>IF($N942=0,0,IF(AND($F942&lt;=EOMONTH(DATE(PlanYear,10,1),0),IF(ISNUMBER($G942),$G942,$F942)&gt;=DATE(PlanYear,10,1)),1,0))</f>
        <v>0</v>
      </c>
      <c r="Y942">
        <f>IF($N942=0,0,IF(AND($F942&lt;=EOMONTH(DATE(PlanYear,11,1),0),IF(ISNUMBER($G942),$G942,$F942)&gt;=DATE(PlanYear,11,1)),1,0))</f>
        <v>0</v>
      </c>
      <c r="Z942">
        <f>IF($N942=0,0,IF(AND($F942&lt;=EOMONTH(DATE(PlanYear,12,1),0),IF(ISNUMBER($G942),$G942,$F942)&gt;=DATE(PlanYear,12,1)),1,0))</f>
        <v>0</v>
      </c>
      <c r="AA942">
        <f>SUM($O942:$Z942)</f>
        <v>0</v>
      </c>
    </row>
    <row r="943" spans="1:27">
      <c r="A943" s="42">
        <f>IF($B943="","","ACT-"&amp;TEXT(ROW()-4,"000"))</f>
        <v>0</v>
      </c>
      <c r="M943" s="43">
        <f>IF(COUNTA($B943:$K943)=0,"",IF($B943="","Missing activity name",IF($C943="","Missing practice",IF(COUNTIF(PracticeNames,$C943)=0,"Practice not in Lists",IF($D943="","Missing motion",IF(NOT(ISNUMBER($F943)),"Missing or invalid start date",IF(AND(ISNUMBER($G943),$G943&lt;$F943),"End date before start",IF(AND($N943=1,$AA943=0),"Outside planning year","OK"))))))))</f>
        <v>0</v>
      </c>
      <c r="N943">
        <f>IF(AND($B943&lt;&gt;"",$C943&lt;&gt;"",$D943&lt;&gt;"",ISNUMBER($F943),COUNTIF(PracticeNames,$C943)&gt;0,COUNTIF(MotionNames,$D943)&gt;0,NOT(AND(ISNUMBER($G943),$G943&lt;$F943))),IF(StatusFilter="All (excl. Cancelled)",IF($H943="Cancelled",0,1),IF(StatusFilter="All",1,IF($H943=StatusFilter,1,0))),0)</f>
        <v>0</v>
      </c>
      <c r="O943">
        <f>IF($N943=0,0,IF(AND($F943&lt;=EOMONTH(DATE(PlanYear,1,1),0),IF(ISNUMBER($G943),$G943,$F943)&gt;=DATE(PlanYear,1,1)),1,0))</f>
        <v>0</v>
      </c>
      <c r="P943">
        <f>IF($N943=0,0,IF(AND($F943&lt;=EOMONTH(DATE(PlanYear,2,1),0),IF(ISNUMBER($G943),$G943,$F943)&gt;=DATE(PlanYear,2,1)),1,0))</f>
        <v>0</v>
      </c>
      <c r="Q943">
        <f>IF($N943=0,0,IF(AND($F943&lt;=EOMONTH(DATE(PlanYear,3,1),0),IF(ISNUMBER($G943),$G943,$F943)&gt;=DATE(PlanYear,3,1)),1,0))</f>
        <v>0</v>
      </c>
      <c r="R943">
        <f>IF($N943=0,0,IF(AND($F943&lt;=EOMONTH(DATE(PlanYear,4,1),0),IF(ISNUMBER($G943),$G943,$F943)&gt;=DATE(PlanYear,4,1)),1,0))</f>
        <v>0</v>
      </c>
      <c r="S943">
        <f>IF($N943=0,0,IF(AND($F943&lt;=EOMONTH(DATE(PlanYear,5,1),0),IF(ISNUMBER($G943),$G943,$F943)&gt;=DATE(PlanYear,5,1)),1,0))</f>
        <v>0</v>
      </c>
      <c r="T943">
        <f>IF($N943=0,0,IF(AND($F943&lt;=EOMONTH(DATE(PlanYear,6,1),0),IF(ISNUMBER($G943),$G943,$F943)&gt;=DATE(PlanYear,6,1)),1,0))</f>
        <v>0</v>
      </c>
      <c r="U943">
        <f>IF($N943=0,0,IF(AND($F943&lt;=EOMONTH(DATE(PlanYear,7,1),0),IF(ISNUMBER($G943),$G943,$F943)&gt;=DATE(PlanYear,7,1)),1,0))</f>
        <v>0</v>
      </c>
      <c r="V943">
        <f>IF($N943=0,0,IF(AND($F943&lt;=EOMONTH(DATE(PlanYear,8,1),0),IF(ISNUMBER($G943),$G943,$F943)&gt;=DATE(PlanYear,8,1)),1,0))</f>
        <v>0</v>
      </c>
      <c r="W943">
        <f>IF($N943=0,0,IF(AND($F943&lt;=EOMONTH(DATE(PlanYear,9,1),0),IF(ISNUMBER($G943),$G943,$F943)&gt;=DATE(PlanYear,9,1)),1,0))</f>
        <v>0</v>
      </c>
      <c r="X943">
        <f>IF($N943=0,0,IF(AND($F943&lt;=EOMONTH(DATE(PlanYear,10,1),0),IF(ISNUMBER($G943),$G943,$F943)&gt;=DATE(PlanYear,10,1)),1,0))</f>
        <v>0</v>
      </c>
      <c r="Y943">
        <f>IF($N943=0,0,IF(AND($F943&lt;=EOMONTH(DATE(PlanYear,11,1),0),IF(ISNUMBER($G943),$G943,$F943)&gt;=DATE(PlanYear,11,1)),1,0))</f>
        <v>0</v>
      </c>
      <c r="Z943">
        <f>IF($N943=0,0,IF(AND($F943&lt;=EOMONTH(DATE(PlanYear,12,1),0),IF(ISNUMBER($G943),$G943,$F943)&gt;=DATE(PlanYear,12,1)),1,0))</f>
        <v>0</v>
      </c>
      <c r="AA943">
        <f>SUM($O943:$Z943)</f>
        <v>0</v>
      </c>
    </row>
    <row r="944" spans="1:27">
      <c r="A944" s="42">
        <f>IF($B944="","","ACT-"&amp;TEXT(ROW()-4,"000"))</f>
        <v>0</v>
      </c>
      <c r="M944" s="43">
        <f>IF(COUNTA($B944:$K944)=0,"",IF($B944="","Missing activity name",IF($C944="","Missing practice",IF(COUNTIF(PracticeNames,$C944)=0,"Practice not in Lists",IF($D944="","Missing motion",IF(NOT(ISNUMBER($F944)),"Missing or invalid start date",IF(AND(ISNUMBER($G944),$G944&lt;$F944),"End date before start",IF(AND($N944=1,$AA944=0),"Outside planning year","OK"))))))))</f>
        <v>0</v>
      </c>
      <c r="N944">
        <f>IF(AND($B944&lt;&gt;"",$C944&lt;&gt;"",$D944&lt;&gt;"",ISNUMBER($F944),COUNTIF(PracticeNames,$C944)&gt;0,COUNTIF(MotionNames,$D944)&gt;0,NOT(AND(ISNUMBER($G944),$G944&lt;$F944))),IF(StatusFilter="All (excl. Cancelled)",IF($H944="Cancelled",0,1),IF(StatusFilter="All",1,IF($H944=StatusFilter,1,0))),0)</f>
        <v>0</v>
      </c>
      <c r="O944">
        <f>IF($N944=0,0,IF(AND($F944&lt;=EOMONTH(DATE(PlanYear,1,1),0),IF(ISNUMBER($G944),$G944,$F944)&gt;=DATE(PlanYear,1,1)),1,0))</f>
        <v>0</v>
      </c>
      <c r="P944">
        <f>IF($N944=0,0,IF(AND($F944&lt;=EOMONTH(DATE(PlanYear,2,1),0),IF(ISNUMBER($G944),$G944,$F944)&gt;=DATE(PlanYear,2,1)),1,0))</f>
        <v>0</v>
      </c>
      <c r="Q944">
        <f>IF($N944=0,0,IF(AND($F944&lt;=EOMONTH(DATE(PlanYear,3,1),0),IF(ISNUMBER($G944),$G944,$F944)&gt;=DATE(PlanYear,3,1)),1,0))</f>
        <v>0</v>
      </c>
      <c r="R944">
        <f>IF($N944=0,0,IF(AND($F944&lt;=EOMONTH(DATE(PlanYear,4,1),0),IF(ISNUMBER($G944),$G944,$F944)&gt;=DATE(PlanYear,4,1)),1,0))</f>
        <v>0</v>
      </c>
      <c r="S944">
        <f>IF($N944=0,0,IF(AND($F944&lt;=EOMONTH(DATE(PlanYear,5,1),0),IF(ISNUMBER($G944),$G944,$F944)&gt;=DATE(PlanYear,5,1)),1,0))</f>
        <v>0</v>
      </c>
      <c r="T944">
        <f>IF($N944=0,0,IF(AND($F944&lt;=EOMONTH(DATE(PlanYear,6,1),0),IF(ISNUMBER($G944),$G944,$F944)&gt;=DATE(PlanYear,6,1)),1,0))</f>
        <v>0</v>
      </c>
      <c r="U944">
        <f>IF($N944=0,0,IF(AND($F944&lt;=EOMONTH(DATE(PlanYear,7,1),0),IF(ISNUMBER($G944),$G944,$F944)&gt;=DATE(PlanYear,7,1)),1,0))</f>
        <v>0</v>
      </c>
      <c r="V944">
        <f>IF($N944=0,0,IF(AND($F944&lt;=EOMONTH(DATE(PlanYear,8,1),0),IF(ISNUMBER($G944),$G944,$F944)&gt;=DATE(PlanYear,8,1)),1,0))</f>
        <v>0</v>
      </c>
      <c r="W944">
        <f>IF($N944=0,0,IF(AND($F944&lt;=EOMONTH(DATE(PlanYear,9,1),0),IF(ISNUMBER($G944),$G944,$F944)&gt;=DATE(PlanYear,9,1)),1,0))</f>
        <v>0</v>
      </c>
      <c r="X944">
        <f>IF($N944=0,0,IF(AND($F944&lt;=EOMONTH(DATE(PlanYear,10,1),0),IF(ISNUMBER($G944),$G944,$F944)&gt;=DATE(PlanYear,10,1)),1,0))</f>
        <v>0</v>
      </c>
      <c r="Y944">
        <f>IF($N944=0,0,IF(AND($F944&lt;=EOMONTH(DATE(PlanYear,11,1),0),IF(ISNUMBER($G944),$G944,$F944)&gt;=DATE(PlanYear,11,1)),1,0))</f>
        <v>0</v>
      </c>
      <c r="Z944">
        <f>IF($N944=0,0,IF(AND($F944&lt;=EOMONTH(DATE(PlanYear,12,1),0),IF(ISNUMBER($G944),$G944,$F944)&gt;=DATE(PlanYear,12,1)),1,0))</f>
        <v>0</v>
      </c>
      <c r="AA944">
        <f>SUM($O944:$Z944)</f>
        <v>0</v>
      </c>
    </row>
    <row r="945" spans="1:27">
      <c r="A945" s="42">
        <f>IF($B945="","","ACT-"&amp;TEXT(ROW()-4,"000"))</f>
        <v>0</v>
      </c>
      <c r="M945" s="43">
        <f>IF(COUNTA($B945:$K945)=0,"",IF($B945="","Missing activity name",IF($C945="","Missing practice",IF(COUNTIF(PracticeNames,$C945)=0,"Practice not in Lists",IF($D945="","Missing motion",IF(NOT(ISNUMBER($F945)),"Missing or invalid start date",IF(AND(ISNUMBER($G945),$G945&lt;$F945),"End date before start",IF(AND($N945=1,$AA945=0),"Outside planning year","OK"))))))))</f>
        <v>0</v>
      </c>
      <c r="N945">
        <f>IF(AND($B945&lt;&gt;"",$C945&lt;&gt;"",$D945&lt;&gt;"",ISNUMBER($F945),COUNTIF(PracticeNames,$C945)&gt;0,COUNTIF(MotionNames,$D945)&gt;0,NOT(AND(ISNUMBER($G945),$G945&lt;$F945))),IF(StatusFilter="All (excl. Cancelled)",IF($H945="Cancelled",0,1),IF(StatusFilter="All",1,IF($H945=StatusFilter,1,0))),0)</f>
        <v>0</v>
      </c>
      <c r="O945">
        <f>IF($N945=0,0,IF(AND($F945&lt;=EOMONTH(DATE(PlanYear,1,1),0),IF(ISNUMBER($G945),$G945,$F945)&gt;=DATE(PlanYear,1,1)),1,0))</f>
        <v>0</v>
      </c>
      <c r="P945">
        <f>IF($N945=0,0,IF(AND($F945&lt;=EOMONTH(DATE(PlanYear,2,1),0),IF(ISNUMBER($G945),$G945,$F945)&gt;=DATE(PlanYear,2,1)),1,0))</f>
        <v>0</v>
      </c>
      <c r="Q945">
        <f>IF($N945=0,0,IF(AND($F945&lt;=EOMONTH(DATE(PlanYear,3,1),0),IF(ISNUMBER($G945),$G945,$F945)&gt;=DATE(PlanYear,3,1)),1,0))</f>
        <v>0</v>
      </c>
      <c r="R945">
        <f>IF($N945=0,0,IF(AND($F945&lt;=EOMONTH(DATE(PlanYear,4,1),0),IF(ISNUMBER($G945),$G945,$F945)&gt;=DATE(PlanYear,4,1)),1,0))</f>
        <v>0</v>
      </c>
      <c r="S945">
        <f>IF($N945=0,0,IF(AND($F945&lt;=EOMONTH(DATE(PlanYear,5,1),0),IF(ISNUMBER($G945),$G945,$F945)&gt;=DATE(PlanYear,5,1)),1,0))</f>
        <v>0</v>
      </c>
      <c r="T945">
        <f>IF($N945=0,0,IF(AND($F945&lt;=EOMONTH(DATE(PlanYear,6,1),0),IF(ISNUMBER($G945),$G945,$F945)&gt;=DATE(PlanYear,6,1)),1,0))</f>
        <v>0</v>
      </c>
      <c r="U945">
        <f>IF($N945=0,0,IF(AND($F945&lt;=EOMONTH(DATE(PlanYear,7,1),0),IF(ISNUMBER($G945),$G945,$F945)&gt;=DATE(PlanYear,7,1)),1,0))</f>
        <v>0</v>
      </c>
      <c r="V945">
        <f>IF($N945=0,0,IF(AND($F945&lt;=EOMONTH(DATE(PlanYear,8,1),0),IF(ISNUMBER($G945),$G945,$F945)&gt;=DATE(PlanYear,8,1)),1,0))</f>
        <v>0</v>
      </c>
      <c r="W945">
        <f>IF($N945=0,0,IF(AND($F945&lt;=EOMONTH(DATE(PlanYear,9,1),0),IF(ISNUMBER($G945),$G945,$F945)&gt;=DATE(PlanYear,9,1)),1,0))</f>
        <v>0</v>
      </c>
      <c r="X945">
        <f>IF($N945=0,0,IF(AND($F945&lt;=EOMONTH(DATE(PlanYear,10,1),0),IF(ISNUMBER($G945),$G945,$F945)&gt;=DATE(PlanYear,10,1)),1,0))</f>
        <v>0</v>
      </c>
      <c r="Y945">
        <f>IF($N945=0,0,IF(AND($F945&lt;=EOMONTH(DATE(PlanYear,11,1),0),IF(ISNUMBER($G945),$G945,$F945)&gt;=DATE(PlanYear,11,1)),1,0))</f>
        <v>0</v>
      </c>
      <c r="Z945">
        <f>IF($N945=0,0,IF(AND($F945&lt;=EOMONTH(DATE(PlanYear,12,1),0),IF(ISNUMBER($G945),$G945,$F945)&gt;=DATE(PlanYear,12,1)),1,0))</f>
        <v>0</v>
      </c>
      <c r="AA945">
        <f>SUM($O945:$Z945)</f>
        <v>0</v>
      </c>
    </row>
    <row r="946" spans="1:27">
      <c r="A946" s="42">
        <f>IF($B946="","","ACT-"&amp;TEXT(ROW()-4,"000"))</f>
        <v>0</v>
      </c>
      <c r="M946" s="43">
        <f>IF(COUNTA($B946:$K946)=0,"",IF($B946="","Missing activity name",IF($C946="","Missing practice",IF(COUNTIF(PracticeNames,$C946)=0,"Practice not in Lists",IF($D946="","Missing motion",IF(NOT(ISNUMBER($F946)),"Missing or invalid start date",IF(AND(ISNUMBER($G946),$G946&lt;$F946),"End date before start",IF(AND($N946=1,$AA946=0),"Outside planning year","OK"))))))))</f>
        <v>0</v>
      </c>
      <c r="N946">
        <f>IF(AND($B946&lt;&gt;"",$C946&lt;&gt;"",$D946&lt;&gt;"",ISNUMBER($F946),COUNTIF(PracticeNames,$C946)&gt;0,COUNTIF(MotionNames,$D946)&gt;0,NOT(AND(ISNUMBER($G946),$G946&lt;$F946))),IF(StatusFilter="All (excl. Cancelled)",IF($H946="Cancelled",0,1),IF(StatusFilter="All",1,IF($H946=StatusFilter,1,0))),0)</f>
        <v>0</v>
      </c>
      <c r="O946">
        <f>IF($N946=0,0,IF(AND($F946&lt;=EOMONTH(DATE(PlanYear,1,1),0),IF(ISNUMBER($G946),$G946,$F946)&gt;=DATE(PlanYear,1,1)),1,0))</f>
        <v>0</v>
      </c>
      <c r="P946">
        <f>IF($N946=0,0,IF(AND($F946&lt;=EOMONTH(DATE(PlanYear,2,1),0),IF(ISNUMBER($G946),$G946,$F946)&gt;=DATE(PlanYear,2,1)),1,0))</f>
        <v>0</v>
      </c>
      <c r="Q946">
        <f>IF($N946=0,0,IF(AND($F946&lt;=EOMONTH(DATE(PlanYear,3,1),0),IF(ISNUMBER($G946),$G946,$F946)&gt;=DATE(PlanYear,3,1)),1,0))</f>
        <v>0</v>
      </c>
      <c r="R946">
        <f>IF($N946=0,0,IF(AND($F946&lt;=EOMONTH(DATE(PlanYear,4,1),0),IF(ISNUMBER($G946),$G946,$F946)&gt;=DATE(PlanYear,4,1)),1,0))</f>
        <v>0</v>
      </c>
      <c r="S946">
        <f>IF($N946=0,0,IF(AND($F946&lt;=EOMONTH(DATE(PlanYear,5,1),0),IF(ISNUMBER($G946),$G946,$F946)&gt;=DATE(PlanYear,5,1)),1,0))</f>
        <v>0</v>
      </c>
      <c r="T946">
        <f>IF($N946=0,0,IF(AND($F946&lt;=EOMONTH(DATE(PlanYear,6,1),0),IF(ISNUMBER($G946),$G946,$F946)&gt;=DATE(PlanYear,6,1)),1,0))</f>
        <v>0</v>
      </c>
      <c r="U946">
        <f>IF($N946=0,0,IF(AND($F946&lt;=EOMONTH(DATE(PlanYear,7,1),0),IF(ISNUMBER($G946),$G946,$F946)&gt;=DATE(PlanYear,7,1)),1,0))</f>
        <v>0</v>
      </c>
      <c r="V946">
        <f>IF($N946=0,0,IF(AND($F946&lt;=EOMONTH(DATE(PlanYear,8,1),0),IF(ISNUMBER($G946),$G946,$F946)&gt;=DATE(PlanYear,8,1)),1,0))</f>
        <v>0</v>
      </c>
      <c r="W946">
        <f>IF($N946=0,0,IF(AND($F946&lt;=EOMONTH(DATE(PlanYear,9,1),0),IF(ISNUMBER($G946),$G946,$F946)&gt;=DATE(PlanYear,9,1)),1,0))</f>
        <v>0</v>
      </c>
      <c r="X946">
        <f>IF($N946=0,0,IF(AND($F946&lt;=EOMONTH(DATE(PlanYear,10,1),0),IF(ISNUMBER($G946),$G946,$F946)&gt;=DATE(PlanYear,10,1)),1,0))</f>
        <v>0</v>
      </c>
      <c r="Y946">
        <f>IF($N946=0,0,IF(AND($F946&lt;=EOMONTH(DATE(PlanYear,11,1),0),IF(ISNUMBER($G946),$G946,$F946)&gt;=DATE(PlanYear,11,1)),1,0))</f>
        <v>0</v>
      </c>
      <c r="Z946">
        <f>IF($N946=0,0,IF(AND($F946&lt;=EOMONTH(DATE(PlanYear,12,1),0),IF(ISNUMBER($G946),$G946,$F946)&gt;=DATE(PlanYear,12,1)),1,0))</f>
        <v>0</v>
      </c>
      <c r="AA946">
        <f>SUM($O946:$Z946)</f>
        <v>0</v>
      </c>
    </row>
    <row r="947" spans="1:27">
      <c r="A947" s="42">
        <f>IF($B947="","","ACT-"&amp;TEXT(ROW()-4,"000"))</f>
        <v>0</v>
      </c>
      <c r="M947" s="43">
        <f>IF(COUNTA($B947:$K947)=0,"",IF($B947="","Missing activity name",IF($C947="","Missing practice",IF(COUNTIF(PracticeNames,$C947)=0,"Practice not in Lists",IF($D947="","Missing motion",IF(NOT(ISNUMBER($F947)),"Missing or invalid start date",IF(AND(ISNUMBER($G947),$G947&lt;$F947),"End date before start",IF(AND($N947=1,$AA947=0),"Outside planning year","OK"))))))))</f>
        <v>0</v>
      </c>
      <c r="N947">
        <f>IF(AND($B947&lt;&gt;"",$C947&lt;&gt;"",$D947&lt;&gt;"",ISNUMBER($F947),COUNTIF(PracticeNames,$C947)&gt;0,COUNTIF(MotionNames,$D947)&gt;0,NOT(AND(ISNUMBER($G947),$G947&lt;$F947))),IF(StatusFilter="All (excl. Cancelled)",IF($H947="Cancelled",0,1),IF(StatusFilter="All",1,IF($H947=StatusFilter,1,0))),0)</f>
        <v>0</v>
      </c>
      <c r="O947">
        <f>IF($N947=0,0,IF(AND($F947&lt;=EOMONTH(DATE(PlanYear,1,1),0),IF(ISNUMBER($G947),$G947,$F947)&gt;=DATE(PlanYear,1,1)),1,0))</f>
        <v>0</v>
      </c>
      <c r="P947">
        <f>IF($N947=0,0,IF(AND($F947&lt;=EOMONTH(DATE(PlanYear,2,1),0),IF(ISNUMBER($G947),$G947,$F947)&gt;=DATE(PlanYear,2,1)),1,0))</f>
        <v>0</v>
      </c>
      <c r="Q947">
        <f>IF($N947=0,0,IF(AND($F947&lt;=EOMONTH(DATE(PlanYear,3,1),0),IF(ISNUMBER($G947),$G947,$F947)&gt;=DATE(PlanYear,3,1)),1,0))</f>
        <v>0</v>
      </c>
      <c r="R947">
        <f>IF($N947=0,0,IF(AND($F947&lt;=EOMONTH(DATE(PlanYear,4,1),0),IF(ISNUMBER($G947),$G947,$F947)&gt;=DATE(PlanYear,4,1)),1,0))</f>
        <v>0</v>
      </c>
      <c r="S947">
        <f>IF($N947=0,0,IF(AND($F947&lt;=EOMONTH(DATE(PlanYear,5,1),0),IF(ISNUMBER($G947),$G947,$F947)&gt;=DATE(PlanYear,5,1)),1,0))</f>
        <v>0</v>
      </c>
      <c r="T947">
        <f>IF($N947=0,0,IF(AND($F947&lt;=EOMONTH(DATE(PlanYear,6,1),0),IF(ISNUMBER($G947),$G947,$F947)&gt;=DATE(PlanYear,6,1)),1,0))</f>
        <v>0</v>
      </c>
      <c r="U947">
        <f>IF($N947=0,0,IF(AND($F947&lt;=EOMONTH(DATE(PlanYear,7,1),0),IF(ISNUMBER($G947),$G947,$F947)&gt;=DATE(PlanYear,7,1)),1,0))</f>
        <v>0</v>
      </c>
      <c r="V947">
        <f>IF($N947=0,0,IF(AND($F947&lt;=EOMONTH(DATE(PlanYear,8,1),0),IF(ISNUMBER($G947),$G947,$F947)&gt;=DATE(PlanYear,8,1)),1,0))</f>
        <v>0</v>
      </c>
      <c r="W947">
        <f>IF($N947=0,0,IF(AND($F947&lt;=EOMONTH(DATE(PlanYear,9,1),0),IF(ISNUMBER($G947),$G947,$F947)&gt;=DATE(PlanYear,9,1)),1,0))</f>
        <v>0</v>
      </c>
      <c r="X947">
        <f>IF($N947=0,0,IF(AND($F947&lt;=EOMONTH(DATE(PlanYear,10,1),0),IF(ISNUMBER($G947),$G947,$F947)&gt;=DATE(PlanYear,10,1)),1,0))</f>
        <v>0</v>
      </c>
      <c r="Y947">
        <f>IF($N947=0,0,IF(AND($F947&lt;=EOMONTH(DATE(PlanYear,11,1),0),IF(ISNUMBER($G947),$G947,$F947)&gt;=DATE(PlanYear,11,1)),1,0))</f>
        <v>0</v>
      </c>
      <c r="Z947">
        <f>IF($N947=0,0,IF(AND($F947&lt;=EOMONTH(DATE(PlanYear,12,1),0),IF(ISNUMBER($G947),$G947,$F947)&gt;=DATE(PlanYear,12,1)),1,0))</f>
        <v>0</v>
      </c>
      <c r="AA947">
        <f>SUM($O947:$Z947)</f>
        <v>0</v>
      </c>
    </row>
    <row r="948" spans="1:27">
      <c r="A948" s="42">
        <f>IF($B948="","","ACT-"&amp;TEXT(ROW()-4,"000"))</f>
        <v>0</v>
      </c>
      <c r="M948" s="43">
        <f>IF(COUNTA($B948:$K948)=0,"",IF($B948="","Missing activity name",IF($C948="","Missing practice",IF(COUNTIF(PracticeNames,$C948)=0,"Practice not in Lists",IF($D948="","Missing motion",IF(NOT(ISNUMBER($F948)),"Missing or invalid start date",IF(AND(ISNUMBER($G948),$G948&lt;$F948),"End date before start",IF(AND($N948=1,$AA948=0),"Outside planning year","OK"))))))))</f>
        <v>0</v>
      </c>
      <c r="N948">
        <f>IF(AND($B948&lt;&gt;"",$C948&lt;&gt;"",$D948&lt;&gt;"",ISNUMBER($F948),COUNTIF(PracticeNames,$C948)&gt;0,COUNTIF(MotionNames,$D948)&gt;0,NOT(AND(ISNUMBER($G948),$G948&lt;$F948))),IF(StatusFilter="All (excl. Cancelled)",IF($H948="Cancelled",0,1),IF(StatusFilter="All",1,IF($H948=StatusFilter,1,0))),0)</f>
        <v>0</v>
      </c>
      <c r="O948">
        <f>IF($N948=0,0,IF(AND($F948&lt;=EOMONTH(DATE(PlanYear,1,1),0),IF(ISNUMBER($G948),$G948,$F948)&gt;=DATE(PlanYear,1,1)),1,0))</f>
        <v>0</v>
      </c>
      <c r="P948">
        <f>IF($N948=0,0,IF(AND($F948&lt;=EOMONTH(DATE(PlanYear,2,1),0),IF(ISNUMBER($G948),$G948,$F948)&gt;=DATE(PlanYear,2,1)),1,0))</f>
        <v>0</v>
      </c>
      <c r="Q948">
        <f>IF($N948=0,0,IF(AND($F948&lt;=EOMONTH(DATE(PlanYear,3,1),0),IF(ISNUMBER($G948),$G948,$F948)&gt;=DATE(PlanYear,3,1)),1,0))</f>
        <v>0</v>
      </c>
      <c r="R948">
        <f>IF($N948=0,0,IF(AND($F948&lt;=EOMONTH(DATE(PlanYear,4,1),0),IF(ISNUMBER($G948),$G948,$F948)&gt;=DATE(PlanYear,4,1)),1,0))</f>
        <v>0</v>
      </c>
      <c r="S948">
        <f>IF($N948=0,0,IF(AND($F948&lt;=EOMONTH(DATE(PlanYear,5,1),0),IF(ISNUMBER($G948),$G948,$F948)&gt;=DATE(PlanYear,5,1)),1,0))</f>
        <v>0</v>
      </c>
      <c r="T948">
        <f>IF($N948=0,0,IF(AND($F948&lt;=EOMONTH(DATE(PlanYear,6,1),0),IF(ISNUMBER($G948),$G948,$F948)&gt;=DATE(PlanYear,6,1)),1,0))</f>
        <v>0</v>
      </c>
      <c r="U948">
        <f>IF($N948=0,0,IF(AND($F948&lt;=EOMONTH(DATE(PlanYear,7,1),0),IF(ISNUMBER($G948),$G948,$F948)&gt;=DATE(PlanYear,7,1)),1,0))</f>
        <v>0</v>
      </c>
      <c r="V948">
        <f>IF($N948=0,0,IF(AND($F948&lt;=EOMONTH(DATE(PlanYear,8,1),0),IF(ISNUMBER($G948),$G948,$F948)&gt;=DATE(PlanYear,8,1)),1,0))</f>
        <v>0</v>
      </c>
      <c r="W948">
        <f>IF($N948=0,0,IF(AND($F948&lt;=EOMONTH(DATE(PlanYear,9,1),0),IF(ISNUMBER($G948),$G948,$F948)&gt;=DATE(PlanYear,9,1)),1,0))</f>
        <v>0</v>
      </c>
      <c r="X948">
        <f>IF($N948=0,0,IF(AND($F948&lt;=EOMONTH(DATE(PlanYear,10,1),0),IF(ISNUMBER($G948),$G948,$F948)&gt;=DATE(PlanYear,10,1)),1,0))</f>
        <v>0</v>
      </c>
      <c r="Y948">
        <f>IF($N948=0,0,IF(AND($F948&lt;=EOMONTH(DATE(PlanYear,11,1),0),IF(ISNUMBER($G948),$G948,$F948)&gt;=DATE(PlanYear,11,1)),1,0))</f>
        <v>0</v>
      </c>
      <c r="Z948">
        <f>IF($N948=0,0,IF(AND($F948&lt;=EOMONTH(DATE(PlanYear,12,1),0),IF(ISNUMBER($G948),$G948,$F948)&gt;=DATE(PlanYear,12,1)),1,0))</f>
        <v>0</v>
      </c>
      <c r="AA948">
        <f>SUM($O948:$Z948)</f>
        <v>0</v>
      </c>
    </row>
    <row r="949" spans="1:27">
      <c r="A949" s="42">
        <f>IF($B949="","","ACT-"&amp;TEXT(ROW()-4,"000"))</f>
        <v>0</v>
      </c>
      <c r="M949" s="43">
        <f>IF(COUNTA($B949:$K949)=0,"",IF($B949="","Missing activity name",IF($C949="","Missing practice",IF(COUNTIF(PracticeNames,$C949)=0,"Practice not in Lists",IF($D949="","Missing motion",IF(NOT(ISNUMBER($F949)),"Missing or invalid start date",IF(AND(ISNUMBER($G949),$G949&lt;$F949),"End date before start",IF(AND($N949=1,$AA949=0),"Outside planning year","OK"))))))))</f>
        <v>0</v>
      </c>
      <c r="N949">
        <f>IF(AND($B949&lt;&gt;"",$C949&lt;&gt;"",$D949&lt;&gt;"",ISNUMBER($F949),COUNTIF(PracticeNames,$C949)&gt;0,COUNTIF(MotionNames,$D949)&gt;0,NOT(AND(ISNUMBER($G949),$G949&lt;$F949))),IF(StatusFilter="All (excl. Cancelled)",IF($H949="Cancelled",0,1),IF(StatusFilter="All",1,IF($H949=StatusFilter,1,0))),0)</f>
        <v>0</v>
      </c>
      <c r="O949">
        <f>IF($N949=0,0,IF(AND($F949&lt;=EOMONTH(DATE(PlanYear,1,1),0),IF(ISNUMBER($G949),$G949,$F949)&gt;=DATE(PlanYear,1,1)),1,0))</f>
        <v>0</v>
      </c>
      <c r="P949">
        <f>IF($N949=0,0,IF(AND($F949&lt;=EOMONTH(DATE(PlanYear,2,1),0),IF(ISNUMBER($G949),$G949,$F949)&gt;=DATE(PlanYear,2,1)),1,0))</f>
        <v>0</v>
      </c>
      <c r="Q949">
        <f>IF($N949=0,0,IF(AND($F949&lt;=EOMONTH(DATE(PlanYear,3,1),0),IF(ISNUMBER($G949),$G949,$F949)&gt;=DATE(PlanYear,3,1)),1,0))</f>
        <v>0</v>
      </c>
      <c r="R949">
        <f>IF($N949=0,0,IF(AND($F949&lt;=EOMONTH(DATE(PlanYear,4,1),0),IF(ISNUMBER($G949),$G949,$F949)&gt;=DATE(PlanYear,4,1)),1,0))</f>
        <v>0</v>
      </c>
      <c r="S949">
        <f>IF($N949=0,0,IF(AND($F949&lt;=EOMONTH(DATE(PlanYear,5,1),0),IF(ISNUMBER($G949),$G949,$F949)&gt;=DATE(PlanYear,5,1)),1,0))</f>
        <v>0</v>
      </c>
      <c r="T949">
        <f>IF($N949=0,0,IF(AND($F949&lt;=EOMONTH(DATE(PlanYear,6,1),0),IF(ISNUMBER($G949),$G949,$F949)&gt;=DATE(PlanYear,6,1)),1,0))</f>
        <v>0</v>
      </c>
      <c r="U949">
        <f>IF($N949=0,0,IF(AND($F949&lt;=EOMONTH(DATE(PlanYear,7,1),0),IF(ISNUMBER($G949),$G949,$F949)&gt;=DATE(PlanYear,7,1)),1,0))</f>
        <v>0</v>
      </c>
      <c r="V949">
        <f>IF($N949=0,0,IF(AND($F949&lt;=EOMONTH(DATE(PlanYear,8,1),0),IF(ISNUMBER($G949),$G949,$F949)&gt;=DATE(PlanYear,8,1)),1,0))</f>
        <v>0</v>
      </c>
      <c r="W949">
        <f>IF($N949=0,0,IF(AND($F949&lt;=EOMONTH(DATE(PlanYear,9,1),0),IF(ISNUMBER($G949),$G949,$F949)&gt;=DATE(PlanYear,9,1)),1,0))</f>
        <v>0</v>
      </c>
      <c r="X949">
        <f>IF($N949=0,0,IF(AND($F949&lt;=EOMONTH(DATE(PlanYear,10,1),0),IF(ISNUMBER($G949),$G949,$F949)&gt;=DATE(PlanYear,10,1)),1,0))</f>
        <v>0</v>
      </c>
      <c r="Y949">
        <f>IF($N949=0,0,IF(AND($F949&lt;=EOMONTH(DATE(PlanYear,11,1),0),IF(ISNUMBER($G949),$G949,$F949)&gt;=DATE(PlanYear,11,1)),1,0))</f>
        <v>0</v>
      </c>
      <c r="Z949">
        <f>IF($N949=0,0,IF(AND($F949&lt;=EOMONTH(DATE(PlanYear,12,1),0),IF(ISNUMBER($G949),$G949,$F949)&gt;=DATE(PlanYear,12,1)),1,0))</f>
        <v>0</v>
      </c>
      <c r="AA949">
        <f>SUM($O949:$Z949)</f>
        <v>0</v>
      </c>
    </row>
    <row r="950" spans="1:27">
      <c r="A950" s="42">
        <f>IF($B950="","","ACT-"&amp;TEXT(ROW()-4,"000"))</f>
        <v>0</v>
      </c>
      <c r="M950" s="43">
        <f>IF(COUNTA($B950:$K950)=0,"",IF($B950="","Missing activity name",IF($C950="","Missing practice",IF(COUNTIF(PracticeNames,$C950)=0,"Practice not in Lists",IF($D950="","Missing motion",IF(NOT(ISNUMBER($F950)),"Missing or invalid start date",IF(AND(ISNUMBER($G950),$G950&lt;$F950),"End date before start",IF(AND($N950=1,$AA950=0),"Outside planning year","OK"))))))))</f>
        <v>0</v>
      </c>
      <c r="N950">
        <f>IF(AND($B950&lt;&gt;"",$C950&lt;&gt;"",$D950&lt;&gt;"",ISNUMBER($F950),COUNTIF(PracticeNames,$C950)&gt;0,COUNTIF(MotionNames,$D950)&gt;0,NOT(AND(ISNUMBER($G950),$G950&lt;$F950))),IF(StatusFilter="All (excl. Cancelled)",IF($H950="Cancelled",0,1),IF(StatusFilter="All",1,IF($H950=StatusFilter,1,0))),0)</f>
        <v>0</v>
      </c>
      <c r="O950">
        <f>IF($N950=0,0,IF(AND($F950&lt;=EOMONTH(DATE(PlanYear,1,1),0),IF(ISNUMBER($G950),$G950,$F950)&gt;=DATE(PlanYear,1,1)),1,0))</f>
        <v>0</v>
      </c>
      <c r="P950">
        <f>IF($N950=0,0,IF(AND($F950&lt;=EOMONTH(DATE(PlanYear,2,1),0),IF(ISNUMBER($G950),$G950,$F950)&gt;=DATE(PlanYear,2,1)),1,0))</f>
        <v>0</v>
      </c>
      <c r="Q950">
        <f>IF($N950=0,0,IF(AND($F950&lt;=EOMONTH(DATE(PlanYear,3,1),0),IF(ISNUMBER($G950),$G950,$F950)&gt;=DATE(PlanYear,3,1)),1,0))</f>
        <v>0</v>
      </c>
      <c r="R950">
        <f>IF($N950=0,0,IF(AND($F950&lt;=EOMONTH(DATE(PlanYear,4,1),0),IF(ISNUMBER($G950),$G950,$F950)&gt;=DATE(PlanYear,4,1)),1,0))</f>
        <v>0</v>
      </c>
      <c r="S950">
        <f>IF($N950=0,0,IF(AND($F950&lt;=EOMONTH(DATE(PlanYear,5,1),0),IF(ISNUMBER($G950),$G950,$F950)&gt;=DATE(PlanYear,5,1)),1,0))</f>
        <v>0</v>
      </c>
      <c r="T950">
        <f>IF($N950=0,0,IF(AND($F950&lt;=EOMONTH(DATE(PlanYear,6,1),0),IF(ISNUMBER($G950),$G950,$F950)&gt;=DATE(PlanYear,6,1)),1,0))</f>
        <v>0</v>
      </c>
      <c r="U950">
        <f>IF($N950=0,0,IF(AND($F950&lt;=EOMONTH(DATE(PlanYear,7,1),0),IF(ISNUMBER($G950),$G950,$F950)&gt;=DATE(PlanYear,7,1)),1,0))</f>
        <v>0</v>
      </c>
      <c r="V950">
        <f>IF($N950=0,0,IF(AND($F950&lt;=EOMONTH(DATE(PlanYear,8,1),0),IF(ISNUMBER($G950),$G950,$F950)&gt;=DATE(PlanYear,8,1)),1,0))</f>
        <v>0</v>
      </c>
      <c r="W950">
        <f>IF($N950=0,0,IF(AND($F950&lt;=EOMONTH(DATE(PlanYear,9,1),0),IF(ISNUMBER($G950),$G950,$F950)&gt;=DATE(PlanYear,9,1)),1,0))</f>
        <v>0</v>
      </c>
      <c r="X950">
        <f>IF($N950=0,0,IF(AND($F950&lt;=EOMONTH(DATE(PlanYear,10,1),0),IF(ISNUMBER($G950),$G950,$F950)&gt;=DATE(PlanYear,10,1)),1,0))</f>
        <v>0</v>
      </c>
      <c r="Y950">
        <f>IF($N950=0,0,IF(AND($F950&lt;=EOMONTH(DATE(PlanYear,11,1),0),IF(ISNUMBER($G950),$G950,$F950)&gt;=DATE(PlanYear,11,1)),1,0))</f>
        <v>0</v>
      </c>
      <c r="Z950">
        <f>IF($N950=0,0,IF(AND($F950&lt;=EOMONTH(DATE(PlanYear,12,1),0),IF(ISNUMBER($G950),$G950,$F950)&gt;=DATE(PlanYear,12,1)),1,0))</f>
        <v>0</v>
      </c>
      <c r="AA950">
        <f>SUM($O950:$Z950)</f>
        <v>0</v>
      </c>
    </row>
    <row r="951" spans="1:27">
      <c r="A951" s="42">
        <f>IF($B951="","","ACT-"&amp;TEXT(ROW()-4,"000"))</f>
        <v>0</v>
      </c>
      <c r="M951" s="43">
        <f>IF(COUNTA($B951:$K951)=0,"",IF($B951="","Missing activity name",IF($C951="","Missing practice",IF(COUNTIF(PracticeNames,$C951)=0,"Practice not in Lists",IF($D951="","Missing motion",IF(NOT(ISNUMBER($F951)),"Missing or invalid start date",IF(AND(ISNUMBER($G951),$G951&lt;$F951),"End date before start",IF(AND($N951=1,$AA951=0),"Outside planning year","OK"))))))))</f>
        <v>0</v>
      </c>
      <c r="N951">
        <f>IF(AND($B951&lt;&gt;"",$C951&lt;&gt;"",$D951&lt;&gt;"",ISNUMBER($F951),COUNTIF(PracticeNames,$C951)&gt;0,COUNTIF(MotionNames,$D951)&gt;0,NOT(AND(ISNUMBER($G951),$G951&lt;$F951))),IF(StatusFilter="All (excl. Cancelled)",IF($H951="Cancelled",0,1),IF(StatusFilter="All",1,IF($H951=StatusFilter,1,0))),0)</f>
        <v>0</v>
      </c>
      <c r="O951">
        <f>IF($N951=0,0,IF(AND($F951&lt;=EOMONTH(DATE(PlanYear,1,1),0),IF(ISNUMBER($G951),$G951,$F951)&gt;=DATE(PlanYear,1,1)),1,0))</f>
        <v>0</v>
      </c>
      <c r="P951">
        <f>IF($N951=0,0,IF(AND($F951&lt;=EOMONTH(DATE(PlanYear,2,1),0),IF(ISNUMBER($G951),$G951,$F951)&gt;=DATE(PlanYear,2,1)),1,0))</f>
        <v>0</v>
      </c>
      <c r="Q951">
        <f>IF($N951=0,0,IF(AND($F951&lt;=EOMONTH(DATE(PlanYear,3,1),0),IF(ISNUMBER($G951),$G951,$F951)&gt;=DATE(PlanYear,3,1)),1,0))</f>
        <v>0</v>
      </c>
      <c r="R951">
        <f>IF($N951=0,0,IF(AND($F951&lt;=EOMONTH(DATE(PlanYear,4,1),0),IF(ISNUMBER($G951),$G951,$F951)&gt;=DATE(PlanYear,4,1)),1,0))</f>
        <v>0</v>
      </c>
      <c r="S951">
        <f>IF($N951=0,0,IF(AND($F951&lt;=EOMONTH(DATE(PlanYear,5,1),0),IF(ISNUMBER($G951),$G951,$F951)&gt;=DATE(PlanYear,5,1)),1,0))</f>
        <v>0</v>
      </c>
      <c r="T951">
        <f>IF($N951=0,0,IF(AND($F951&lt;=EOMONTH(DATE(PlanYear,6,1),0),IF(ISNUMBER($G951),$G951,$F951)&gt;=DATE(PlanYear,6,1)),1,0))</f>
        <v>0</v>
      </c>
      <c r="U951">
        <f>IF($N951=0,0,IF(AND($F951&lt;=EOMONTH(DATE(PlanYear,7,1),0),IF(ISNUMBER($G951),$G951,$F951)&gt;=DATE(PlanYear,7,1)),1,0))</f>
        <v>0</v>
      </c>
      <c r="V951">
        <f>IF($N951=0,0,IF(AND($F951&lt;=EOMONTH(DATE(PlanYear,8,1),0),IF(ISNUMBER($G951),$G951,$F951)&gt;=DATE(PlanYear,8,1)),1,0))</f>
        <v>0</v>
      </c>
      <c r="W951">
        <f>IF($N951=0,0,IF(AND($F951&lt;=EOMONTH(DATE(PlanYear,9,1),0),IF(ISNUMBER($G951),$G951,$F951)&gt;=DATE(PlanYear,9,1)),1,0))</f>
        <v>0</v>
      </c>
      <c r="X951">
        <f>IF($N951=0,0,IF(AND($F951&lt;=EOMONTH(DATE(PlanYear,10,1),0),IF(ISNUMBER($G951),$G951,$F951)&gt;=DATE(PlanYear,10,1)),1,0))</f>
        <v>0</v>
      </c>
      <c r="Y951">
        <f>IF($N951=0,0,IF(AND($F951&lt;=EOMONTH(DATE(PlanYear,11,1),0),IF(ISNUMBER($G951),$G951,$F951)&gt;=DATE(PlanYear,11,1)),1,0))</f>
        <v>0</v>
      </c>
      <c r="Z951">
        <f>IF($N951=0,0,IF(AND($F951&lt;=EOMONTH(DATE(PlanYear,12,1),0),IF(ISNUMBER($G951),$G951,$F951)&gt;=DATE(PlanYear,12,1)),1,0))</f>
        <v>0</v>
      </c>
      <c r="AA951">
        <f>SUM($O951:$Z951)</f>
        <v>0</v>
      </c>
    </row>
    <row r="952" spans="1:27">
      <c r="A952" s="42">
        <f>IF($B952="","","ACT-"&amp;TEXT(ROW()-4,"000"))</f>
        <v>0</v>
      </c>
      <c r="M952" s="43">
        <f>IF(COUNTA($B952:$K952)=0,"",IF($B952="","Missing activity name",IF($C952="","Missing practice",IF(COUNTIF(PracticeNames,$C952)=0,"Practice not in Lists",IF($D952="","Missing motion",IF(NOT(ISNUMBER($F952)),"Missing or invalid start date",IF(AND(ISNUMBER($G952),$G952&lt;$F952),"End date before start",IF(AND($N952=1,$AA952=0),"Outside planning year","OK"))))))))</f>
        <v>0</v>
      </c>
      <c r="N952">
        <f>IF(AND($B952&lt;&gt;"",$C952&lt;&gt;"",$D952&lt;&gt;"",ISNUMBER($F952),COUNTIF(PracticeNames,$C952)&gt;0,COUNTIF(MotionNames,$D952)&gt;0,NOT(AND(ISNUMBER($G952),$G952&lt;$F952))),IF(StatusFilter="All (excl. Cancelled)",IF($H952="Cancelled",0,1),IF(StatusFilter="All",1,IF($H952=StatusFilter,1,0))),0)</f>
        <v>0</v>
      </c>
      <c r="O952">
        <f>IF($N952=0,0,IF(AND($F952&lt;=EOMONTH(DATE(PlanYear,1,1),0),IF(ISNUMBER($G952),$G952,$F952)&gt;=DATE(PlanYear,1,1)),1,0))</f>
        <v>0</v>
      </c>
      <c r="P952">
        <f>IF($N952=0,0,IF(AND($F952&lt;=EOMONTH(DATE(PlanYear,2,1),0),IF(ISNUMBER($G952),$G952,$F952)&gt;=DATE(PlanYear,2,1)),1,0))</f>
        <v>0</v>
      </c>
      <c r="Q952">
        <f>IF($N952=0,0,IF(AND($F952&lt;=EOMONTH(DATE(PlanYear,3,1),0),IF(ISNUMBER($G952),$G952,$F952)&gt;=DATE(PlanYear,3,1)),1,0))</f>
        <v>0</v>
      </c>
      <c r="R952">
        <f>IF($N952=0,0,IF(AND($F952&lt;=EOMONTH(DATE(PlanYear,4,1),0),IF(ISNUMBER($G952),$G952,$F952)&gt;=DATE(PlanYear,4,1)),1,0))</f>
        <v>0</v>
      </c>
      <c r="S952">
        <f>IF($N952=0,0,IF(AND($F952&lt;=EOMONTH(DATE(PlanYear,5,1),0),IF(ISNUMBER($G952),$G952,$F952)&gt;=DATE(PlanYear,5,1)),1,0))</f>
        <v>0</v>
      </c>
      <c r="T952">
        <f>IF($N952=0,0,IF(AND($F952&lt;=EOMONTH(DATE(PlanYear,6,1),0),IF(ISNUMBER($G952),$G952,$F952)&gt;=DATE(PlanYear,6,1)),1,0))</f>
        <v>0</v>
      </c>
      <c r="U952">
        <f>IF($N952=0,0,IF(AND($F952&lt;=EOMONTH(DATE(PlanYear,7,1),0),IF(ISNUMBER($G952),$G952,$F952)&gt;=DATE(PlanYear,7,1)),1,0))</f>
        <v>0</v>
      </c>
      <c r="V952">
        <f>IF($N952=0,0,IF(AND($F952&lt;=EOMONTH(DATE(PlanYear,8,1),0),IF(ISNUMBER($G952),$G952,$F952)&gt;=DATE(PlanYear,8,1)),1,0))</f>
        <v>0</v>
      </c>
      <c r="W952">
        <f>IF($N952=0,0,IF(AND($F952&lt;=EOMONTH(DATE(PlanYear,9,1),0),IF(ISNUMBER($G952),$G952,$F952)&gt;=DATE(PlanYear,9,1)),1,0))</f>
        <v>0</v>
      </c>
      <c r="X952">
        <f>IF($N952=0,0,IF(AND($F952&lt;=EOMONTH(DATE(PlanYear,10,1),0),IF(ISNUMBER($G952),$G952,$F952)&gt;=DATE(PlanYear,10,1)),1,0))</f>
        <v>0</v>
      </c>
      <c r="Y952">
        <f>IF($N952=0,0,IF(AND($F952&lt;=EOMONTH(DATE(PlanYear,11,1),0),IF(ISNUMBER($G952),$G952,$F952)&gt;=DATE(PlanYear,11,1)),1,0))</f>
        <v>0</v>
      </c>
      <c r="Z952">
        <f>IF($N952=0,0,IF(AND($F952&lt;=EOMONTH(DATE(PlanYear,12,1),0),IF(ISNUMBER($G952),$G952,$F952)&gt;=DATE(PlanYear,12,1)),1,0))</f>
        <v>0</v>
      </c>
      <c r="AA952">
        <f>SUM($O952:$Z952)</f>
        <v>0</v>
      </c>
    </row>
    <row r="953" spans="1:27">
      <c r="A953" s="42">
        <f>IF($B953="","","ACT-"&amp;TEXT(ROW()-4,"000"))</f>
        <v>0</v>
      </c>
      <c r="M953" s="43">
        <f>IF(COUNTA($B953:$K953)=0,"",IF($B953="","Missing activity name",IF($C953="","Missing practice",IF(COUNTIF(PracticeNames,$C953)=0,"Practice not in Lists",IF($D953="","Missing motion",IF(NOT(ISNUMBER($F953)),"Missing or invalid start date",IF(AND(ISNUMBER($G953),$G953&lt;$F953),"End date before start",IF(AND($N953=1,$AA953=0),"Outside planning year","OK"))))))))</f>
        <v>0</v>
      </c>
      <c r="N953">
        <f>IF(AND($B953&lt;&gt;"",$C953&lt;&gt;"",$D953&lt;&gt;"",ISNUMBER($F953),COUNTIF(PracticeNames,$C953)&gt;0,COUNTIF(MotionNames,$D953)&gt;0,NOT(AND(ISNUMBER($G953),$G953&lt;$F953))),IF(StatusFilter="All (excl. Cancelled)",IF($H953="Cancelled",0,1),IF(StatusFilter="All",1,IF($H953=StatusFilter,1,0))),0)</f>
        <v>0</v>
      </c>
      <c r="O953">
        <f>IF($N953=0,0,IF(AND($F953&lt;=EOMONTH(DATE(PlanYear,1,1),0),IF(ISNUMBER($G953),$G953,$F953)&gt;=DATE(PlanYear,1,1)),1,0))</f>
        <v>0</v>
      </c>
      <c r="P953">
        <f>IF($N953=0,0,IF(AND($F953&lt;=EOMONTH(DATE(PlanYear,2,1),0),IF(ISNUMBER($G953),$G953,$F953)&gt;=DATE(PlanYear,2,1)),1,0))</f>
        <v>0</v>
      </c>
      <c r="Q953">
        <f>IF($N953=0,0,IF(AND($F953&lt;=EOMONTH(DATE(PlanYear,3,1),0),IF(ISNUMBER($G953),$G953,$F953)&gt;=DATE(PlanYear,3,1)),1,0))</f>
        <v>0</v>
      </c>
      <c r="R953">
        <f>IF($N953=0,0,IF(AND($F953&lt;=EOMONTH(DATE(PlanYear,4,1),0),IF(ISNUMBER($G953),$G953,$F953)&gt;=DATE(PlanYear,4,1)),1,0))</f>
        <v>0</v>
      </c>
      <c r="S953">
        <f>IF($N953=0,0,IF(AND($F953&lt;=EOMONTH(DATE(PlanYear,5,1),0),IF(ISNUMBER($G953),$G953,$F953)&gt;=DATE(PlanYear,5,1)),1,0))</f>
        <v>0</v>
      </c>
      <c r="T953">
        <f>IF($N953=0,0,IF(AND($F953&lt;=EOMONTH(DATE(PlanYear,6,1),0),IF(ISNUMBER($G953),$G953,$F953)&gt;=DATE(PlanYear,6,1)),1,0))</f>
        <v>0</v>
      </c>
      <c r="U953">
        <f>IF($N953=0,0,IF(AND($F953&lt;=EOMONTH(DATE(PlanYear,7,1),0),IF(ISNUMBER($G953),$G953,$F953)&gt;=DATE(PlanYear,7,1)),1,0))</f>
        <v>0</v>
      </c>
      <c r="V953">
        <f>IF($N953=0,0,IF(AND($F953&lt;=EOMONTH(DATE(PlanYear,8,1),0),IF(ISNUMBER($G953),$G953,$F953)&gt;=DATE(PlanYear,8,1)),1,0))</f>
        <v>0</v>
      </c>
      <c r="W953">
        <f>IF($N953=0,0,IF(AND($F953&lt;=EOMONTH(DATE(PlanYear,9,1),0),IF(ISNUMBER($G953),$G953,$F953)&gt;=DATE(PlanYear,9,1)),1,0))</f>
        <v>0</v>
      </c>
      <c r="X953">
        <f>IF($N953=0,0,IF(AND($F953&lt;=EOMONTH(DATE(PlanYear,10,1),0),IF(ISNUMBER($G953),$G953,$F953)&gt;=DATE(PlanYear,10,1)),1,0))</f>
        <v>0</v>
      </c>
      <c r="Y953">
        <f>IF($N953=0,0,IF(AND($F953&lt;=EOMONTH(DATE(PlanYear,11,1),0),IF(ISNUMBER($G953),$G953,$F953)&gt;=DATE(PlanYear,11,1)),1,0))</f>
        <v>0</v>
      </c>
      <c r="Z953">
        <f>IF($N953=0,0,IF(AND($F953&lt;=EOMONTH(DATE(PlanYear,12,1),0),IF(ISNUMBER($G953),$G953,$F953)&gt;=DATE(PlanYear,12,1)),1,0))</f>
        <v>0</v>
      </c>
      <c r="AA953">
        <f>SUM($O953:$Z953)</f>
        <v>0</v>
      </c>
    </row>
    <row r="954" spans="1:27">
      <c r="A954" s="42">
        <f>IF($B954="","","ACT-"&amp;TEXT(ROW()-4,"000"))</f>
        <v>0</v>
      </c>
      <c r="M954" s="43">
        <f>IF(COUNTA($B954:$K954)=0,"",IF($B954="","Missing activity name",IF($C954="","Missing practice",IF(COUNTIF(PracticeNames,$C954)=0,"Practice not in Lists",IF($D954="","Missing motion",IF(NOT(ISNUMBER($F954)),"Missing or invalid start date",IF(AND(ISNUMBER($G954),$G954&lt;$F954),"End date before start",IF(AND($N954=1,$AA954=0),"Outside planning year","OK"))))))))</f>
        <v>0</v>
      </c>
      <c r="N954">
        <f>IF(AND($B954&lt;&gt;"",$C954&lt;&gt;"",$D954&lt;&gt;"",ISNUMBER($F954),COUNTIF(PracticeNames,$C954)&gt;0,COUNTIF(MotionNames,$D954)&gt;0,NOT(AND(ISNUMBER($G954),$G954&lt;$F954))),IF(StatusFilter="All (excl. Cancelled)",IF($H954="Cancelled",0,1),IF(StatusFilter="All",1,IF($H954=StatusFilter,1,0))),0)</f>
        <v>0</v>
      </c>
      <c r="O954">
        <f>IF($N954=0,0,IF(AND($F954&lt;=EOMONTH(DATE(PlanYear,1,1),0),IF(ISNUMBER($G954),$G954,$F954)&gt;=DATE(PlanYear,1,1)),1,0))</f>
        <v>0</v>
      </c>
      <c r="P954">
        <f>IF($N954=0,0,IF(AND($F954&lt;=EOMONTH(DATE(PlanYear,2,1),0),IF(ISNUMBER($G954),$G954,$F954)&gt;=DATE(PlanYear,2,1)),1,0))</f>
        <v>0</v>
      </c>
      <c r="Q954">
        <f>IF($N954=0,0,IF(AND($F954&lt;=EOMONTH(DATE(PlanYear,3,1),0),IF(ISNUMBER($G954),$G954,$F954)&gt;=DATE(PlanYear,3,1)),1,0))</f>
        <v>0</v>
      </c>
      <c r="R954">
        <f>IF($N954=0,0,IF(AND($F954&lt;=EOMONTH(DATE(PlanYear,4,1),0),IF(ISNUMBER($G954),$G954,$F954)&gt;=DATE(PlanYear,4,1)),1,0))</f>
        <v>0</v>
      </c>
      <c r="S954">
        <f>IF($N954=0,0,IF(AND($F954&lt;=EOMONTH(DATE(PlanYear,5,1),0),IF(ISNUMBER($G954),$G954,$F954)&gt;=DATE(PlanYear,5,1)),1,0))</f>
        <v>0</v>
      </c>
      <c r="T954">
        <f>IF($N954=0,0,IF(AND($F954&lt;=EOMONTH(DATE(PlanYear,6,1),0),IF(ISNUMBER($G954),$G954,$F954)&gt;=DATE(PlanYear,6,1)),1,0))</f>
        <v>0</v>
      </c>
      <c r="U954">
        <f>IF($N954=0,0,IF(AND($F954&lt;=EOMONTH(DATE(PlanYear,7,1),0),IF(ISNUMBER($G954),$G954,$F954)&gt;=DATE(PlanYear,7,1)),1,0))</f>
        <v>0</v>
      </c>
      <c r="V954">
        <f>IF($N954=0,0,IF(AND($F954&lt;=EOMONTH(DATE(PlanYear,8,1),0),IF(ISNUMBER($G954),$G954,$F954)&gt;=DATE(PlanYear,8,1)),1,0))</f>
        <v>0</v>
      </c>
      <c r="W954">
        <f>IF($N954=0,0,IF(AND($F954&lt;=EOMONTH(DATE(PlanYear,9,1),0),IF(ISNUMBER($G954),$G954,$F954)&gt;=DATE(PlanYear,9,1)),1,0))</f>
        <v>0</v>
      </c>
      <c r="X954">
        <f>IF($N954=0,0,IF(AND($F954&lt;=EOMONTH(DATE(PlanYear,10,1),0),IF(ISNUMBER($G954),$G954,$F954)&gt;=DATE(PlanYear,10,1)),1,0))</f>
        <v>0</v>
      </c>
      <c r="Y954">
        <f>IF($N954=0,0,IF(AND($F954&lt;=EOMONTH(DATE(PlanYear,11,1),0),IF(ISNUMBER($G954),$G954,$F954)&gt;=DATE(PlanYear,11,1)),1,0))</f>
        <v>0</v>
      </c>
      <c r="Z954">
        <f>IF($N954=0,0,IF(AND($F954&lt;=EOMONTH(DATE(PlanYear,12,1),0),IF(ISNUMBER($G954),$G954,$F954)&gt;=DATE(PlanYear,12,1)),1,0))</f>
        <v>0</v>
      </c>
      <c r="AA954">
        <f>SUM($O954:$Z954)</f>
        <v>0</v>
      </c>
    </row>
    <row r="955" spans="1:27">
      <c r="A955" s="42">
        <f>IF($B955="","","ACT-"&amp;TEXT(ROW()-4,"000"))</f>
        <v>0</v>
      </c>
      <c r="M955" s="43">
        <f>IF(COUNTA($B955:$K955)=0,"",IF($B955="","Missing activity name",IF($C955="","Missing practice",IF(COUNTIF(PracticeNames,$C955)=0,"Practice not in Lists",IF($D955="","Missing motion",IF(NOT(ISNUMBER($F955)),"Missing or invalid start date",IF(AND(ISNUMBER($G955),$G955&lt;$F955),"End date before start",IF(AND($N955=1,$AA955=0),"Outside planning year","OK"))))))))</f>
        <v>0</v>
      </c>
      <c r="N955">
        <f>IF(AND($B955&lt;&gt;"",$C955&lt;&gt;"",$D955&lt;&gt;"",ISNUMBER($F955),COUNTIF(PracticeNames,$C955)&gt;0,COUNTIF(MotionNames,$D955)&gt;0,NOT(AND(ISNUMBER($G955),$G955&lt;$F955))),IF(StatusFilter="All (excl. Cancelled)",IF($H955="Cancelled",0,1),IF(StatusFilter="All",1,IF($H955=StatusFilter,1,0))),0)</f>
        <v>0</v>
      </c>
      <c r="O955">
        <f>IF($N955=0,0,IF(AND($F955&lt;=EOMONTH(DATE(PlanYear,1,1),0),IF(ISNUMBER($G955),$G955,$F955)&gt;=DATE(PlanYear,1,1)),1,0))</f>
        <v>0</v>
      </c>
      <c r="P955">
        <f>IF($N955=0,0,IF(AND($F955&lt;=EOMONTH(DATE(PlanYear,2,1),0),IF(ISNUMBER($G955),$G955,$F955)&gt;=DATE(PlanYear,2,1)),1,0))</f>
        <v>0</v>
      </c>
      <c r="Q955">
        <f>IF($N955=0,0,IF(AND($F955&lt;=EOMONTH(DATE(PlanYear,3,1),0),IF(ISNUMBER($G955),$G955,$F955)&gt;=DATE(PlanYear,3,1)),1,0))</f>
        <v>0</v>
      </c>
      <c r="R955">
        <f>IF($N955=0,0,IF(AND($F955&lt;=EOMONTH(DATE(PlanYear,4,1),0),IF(ISNUMBER($G955),$G955,$F955)&gt;=DATE(PlanYear,4,1)),1,0))</f>
        <v>0</v>
      </c>
      <c r="S955">
        <f>IF($N955=0,0,IF(AND($F955&lt;=EOMONTH(DATE(PlanYear,5,1),0),IF(ISNUMBER($G955),$G955,$F955)&gt;=DATE(PlanYear,5,1)),1,0))</f>
        <v>0</v>
      </c>
      <c r="T955">
        <f>IF($N955=0,0,IF(AND($F955&lt;=EOMONTH(DATE(PlanYear,6,1),0),IF(ISNUMBER($G955),$G955,$F955)&gt;=DATE(PlanYear,6,1)),1,0))</f>
        <v>0</v>
      </c>
      <c r="U955">
        <f>IF($N955=0,0,IF(AND($F955&lt;=EOMONTH(DATE(PlanYear,7,1),0),IF(ISNUMBER($G955),$G955,$F955)&gt;=DATE(PlanYear,7,1)),1,0))</f>
        <v>0</v>
      </c>
      <c r="V955">
        <f>IF($N955=0,0,IF(AND($F955&lt;=EOMONTH(DATE(PlanYear,8,1),0),IF(ISNUMBER($G955),$G955,$F955)&gt;=DATE(PlanYear,8,1)),1,0))</f>
        <v>0</v>
      </c>
      <c r="W955">
        <f>IF($N955=0,0,IF(AND($F955&lt;=EOMONTH(DATE(PlanYear,9,1),0),IF(ISNUMBER($G955),$G955,$F955)&gt;=DATE(PlanYear,9,1)),1,0))</f>
        <v>0</v>
      </c>
      <c r="X955">
        <f>IF($N955=0,0,IF(AND($F955&lt;=EOMONTH(DATE(PlanYear,10,1),0),IF(ISNUMBER($G955),$G955,$F955)&gt;=DATE(PlanYear,10,1)),1,0))</f>
        <v>0</v>
      </c>
      <c r="Y955">
        <f>IF($N955=0,0,IF(AND($F955&lt;=EOMONTH(DATE(PlanYear,11,1),0),IF(ISNUMBER($G955),$G955,$F955)&gt;=DATE(PlanYear,11,1)),1,0))</f>
        <v>0</v>
      </c>
      <c r="Z955">
        <f>IF($N955=0,0,IF(AND($F955&lt;=EOMONTH(DATE(PlanYear,12,1),0),IF(ISNUMBER($G955),$G955,$F955)&gt;=DATE(PlanYear,12,1)),1,0))</f>
        <v>0</v>
      </c>
      <c r="AA955">
        <f>SUM($O955:$Z955)</f>
        <v>0</v>
      </c>
    </row>
    <row r="956" spans="1:27">
      <c r="A956" s="42">
        <f>IF($B956="","","ACT-"&amp;TEXT(ROW()-4,"000"))</f>
        <v>0</v>
      </c>
      <c r="M956" s="43">
        <f>IF(COUNTA($B956:$K956)=0,"",IF($B956="","Missing activity name",IF($C956="","Missing practice",IF(COUNTIF(PracticeNames,$C956)=0,"Practice not in Lists",IF($D956="","Missing motion",IF(NOT(ISNUMBER($F956)),"Missing or invalid start date",IF(AND(ISNUMBER($G956),$G956&lt;$F956),"End date before start",IF(AND($N956=1,$AA956=0),"Outside planning year","OK"))))))))</f>
        <v>0</v>
      </c>
      <c r="N956">
        <f>IF(AND($B956&lt;&gt;"",$C956&lt;&gt;"",$D956&lt;&gt;"",ISNUMBER($F956),COUNTIF(PracticeNames,$C956)&gt;0,COUNTIF(MotionNames,$D956)&gt;0,NOT(AND(ISNUMBER($G956),$G956&lt;$F956))),IF(StatusFilter="All (excl. Cancelled)",IF($H956="Cancelled",0,1),IF(StatusFilter="All",1,IF($H956=StatusFilter,1,0))),0)</f>
        <v>0</v>
      </c>
      <c r="O956">
        <f>IF($N956=0,0,IF(AND($F956&lt;=EOMONTH(DATE(PlanYear,1,1),0),IF(ISNUMBER($G956),$G956,$F956)&gt;=DATE(PlanYear,1,1)),1,0))</f>
        <v>0</v>
      </c>
      <c r="P956">
        <f>IF($N956=0,0,IF(AND($F956&lt;=EOMONTH(DATE(PlanYear,2,1),0),IF(ISNUMBER($G956),$G956,$F956)&gt;=DATE(PlanYear,2,1)),1,0))</f>
        <v>0</v>
      </c>
      <c r="Q956">
        <f>IF($N956=0,0,IF(AND($F956&lt;=EOMONTH(DATE(PlanYear,3,1),0),IF(ISNUMBER($G956),$G956,$F956)&gt;=DATE(PlanYear,3,1)),1,0))</f>
        <v>0</v>
      </c>
      <c r="R956">
        <f>IF($N956=0,0,IF(AND($F956&lt;=EOMONTH(DATE(PlanYear,4,1),0),IF(ISNUMBER($G956),$G956,$F956)&gt;=DATE(PlanYear,4,1)),1,0))</f>
        <v>0</v>
      </c>
      <c r="S956">
        <f>IF($N956=0,0,IF(AND($F956&lt;=EOMONTH(DATE(PlanYear,5,1),0),IF(ISNUMBER($G956),$G956,$F956)&gt;=DATE(PlanYear,5,1)),1,0))</f>
        <v>0</v>
      </c>
      <c r="T956">
        <f>IF($N956=0,0,IF(AND($F956&lt;=EOMONTH(DATE(PlanYear,6,1),0),IF(ISNUMBER($G956),$G956,$F956)&gt;=DATE(PlanYear,6,1)),1,0))</f>
        <v>0</v>
      </c>
      <c r="U956">
        <f>IF($N956=0,0,IF(AND($F956&lt;=EOMONTH(DATE(PlanYear,7,1),0),IF(ISNUMBER($G956),$G956,$F956)&gt;=DATE(PlanYear,7,1)),1,0))</f>
        <v>0</v>
      </c>
      <c r="V956">
        <f>IF($N956=0,0,IF(AND($F956&lt;=EOMONTH(DATE(PlanYear,8,1),0),IF(ISNUMBER($G956),$G956,$F956)&gt;=DATE(PlanYear,8,1)),1,0))</f>
        <v>0</v>
      </c>
      <c r="W956">
        <f>IF($N956=0,0,IF(AND($F956&lt;=EOMONTH(DATE(PlanYear,9,1),0),IF(ISNUMBER($G956),$G956,$F956)&gt;=DATE(PlanYear,9,1)),1,0))</f>
        <v>0</v>
      </c>
      <c r="X956">
        <f>IF($N956=0,0,IF(AND($F956&lt;=EOMONTH(DATE(PlanYear,10,1),0),IF(ISNUMBER($G956),$G956,$F956)&gt;=DATE(PlanYear,10,1)),1,0))</f>
        <v>0</v>
      </c>
      <c r="Y956">
        <f>IF($N956=0,0,IF(AND($F956&lt;=EOMONTH(DATE(PlanYear,11,1),0),IF(ISNUMBER($G956),$G956,$F956)&gt;=DATE(PlanYear,11,1)),1,0))</f>
        <v>0</v>
      </c>
      <c r="Z956">
        <f>IF($N956=0,0,IF(AND($F956&lt;=EOMONTH(DATE(PlanYear,12,1),0),IF(ISNUMBER($G956),$G956,$F956)&gt;=DATE(PlanYear,12,1)),1,0))</f>
        <v>0</v>
      </c>
      <c r="AA956">
        <f>SUM($O956:$Z956)</f>
        <v>0</v>
      </c>
    </row>
    <row r="957" spans="1:27">
      <c r="A957" s="42">
        <f>IF($B957="","","ACT-"&amp;TEXT(ROW()-4,"000"))</f>
        <v>0</v>
      </c>
      <c r="M957" s="43">
        <f>IF(COUNTA($B957:$K957)=0,"",IF($B957="","Missing activity name",IF($C957="","Missing practice",IF(COUNTIF(PracticeNames,$C957)=0,"Practice not in Lists",IF($D957="","Missing motion",IF(NOT(ISNUMBER($F957)),"Missing or invalid start date",IF(AND(ISNUMBER($G957),$G957&lt;$F957),"End date before start",IF(AND($N957=1,$AA957=0),"Outside planning year","OK"))))))))</f>
        <v>0</v>
      </c>
      <c r="N957">
        <f>IF(AND($B957&lt;&gt;"",$C957&lt;&gt;"",$D957&lt;&gt;"",ISNUMBER($F957),COUNTIF(PracticeNames,$C957)&gt;0,COUNTIF(MotionNames,$D957)&gt;0,NOT(AND(ISNUMBER($G957),$G957&lt;$F957))),IF(StatusFilter="All (excl. Cancelled)",IF($H957="Cancelled",0,1),IF(StatusFilter="All",1,IF($H957=StatusFilter,1,0))),0)</f>
        <v>0</v>
      </c>
      <c r="O957">
        <f>IF($N957=0,0,IF(AND($F957&lt;=EOMONTH(DATE(PlanYear,1,1),0),IF(ISNUMBER($G957),$G957,$F957)&gt;=DATE(PlanYear,1,1)),1,0))</f>
        <v>0</v>
      </c>
      <c r="P957">
        <f>IF($N957=0,0,IF(AND($F957&lt;=EOMONTH(DATE(PlanYear,2,1),0),IF(ISNUMBER($G957),$G957,$F957)&gt;=DATE(PlanYear,2,1)),1,0))</f>
        <v>0</v>
      </c>
      <c r="Q957">
        <f>IF($N957=0,0,IF(AND($F957&lt;=EOMONTH(DATE(PlanYear,3,1),0),IF(ISNUMBER($G957),$G957,$F957)&gt;=DATE(PlanYear,3,1)),1,0))</f>
        <v>0</v>
      </c>
      <c r="R957">
        <f>IF($N957=0,0,IF(AND($F957&lt;=EOMONTH(DATE(PlanYear,4,1),0),IF(ISNUMBER($G957),$G957,$F957)&gt;=DATE(PlanYear,4,1)),1,0))</f>
        <v>0</v>
      </c>
      <c r="S957">
        <f>IF($N957=0,0,IF(AND($F957&lt;=EOMONTH(DATE(PlanYear,5,1),0),IF(ISNUMBER($G957),$G957,$F957)&gt;=DATE(PlanYear,5,1)),1,0))</f>
        <v>0</v>
      </c>
      <c r="T957">
        <f>IF($N957=0,0,IF(AND($F957&lt;=EOMONTH(DATE(PlanYear,6,1),0),IF(ISNUMBER($G957),$G957,$F957)&gt;=DATE(PlanYear,6,1)),1,0))</f>
        <v>0</v>
      </c>
      <c r="U957">
        <f>IF($N957=0,0,IF(AND($F957&lt;=EOMONTH(DATE(PlanYear,7,1),0),IF(ISNUMBER($G957),$G957,$F957)&gt;=DATE(PlanYear,7,1)),1,0))</f>
        <v>0</v>
      </c>
      <c r="V957">
        <f>IF($N957=0,0,IF(AND($F957&lt;=EOMONTH(DATE(PlanYear,8,1),0),IF(ISNUMBER($G957),$G957,$F957)&gt;=DATE(PlanYear,8,1)),1,0))</f>
        <v>0</v>
      </c>
      <c r="W957">
        <f>IF($N957=0,0,IF(AND($F957&lt;=EOMONTH(DATE(PlanYear,9,1),0),IF(ISNUMBER($G957),$G957,$F957)&gt;=DATE(PlanYear,9,1)),1,0))</f>
        <v>0</v>
      </c>
      <c r="X957">
        <f>IF($N957=0,0,IF(AND($F957&lt;=EOMONTH(DATE(PlanYear,10,1),0),IF(ISNUMBER($G957),$G957,$F957)&gt;=DATE(PlanYear,10,1)),1,0))</f>
        <v>0</v>
      </c>
      <c r="Y957">
        <f>IF($N957=0,0,IF(AND($F957&lt;=EOMONTH(DATE(PlanYear,11,1),0),IF(ISNUMBER($G957),$G957,$F957)&gt;=DATE(PlanYear,11,1)),1,0))</f>
        <v>0</v>
      </c>
      <c r="Z957">
        <f>IF($N957=0,0,IF(AND($F957&lt;=EOMONTH(DATE(PlanYear,12,1),0),IF(ISNUMBER($G957),$G957,$F957)&gt;=DATE(PlanYear,12,1)),1,0))</f>
        <v>0</v>
      </c>
      <c r="AA957">
        <f>SUM($O957:$Z957)</f>
        <v>0</v>
      </c>
    </row>
    <row r="958" spans="1:27">
      <c r="A958" s="42">
        <f>IF($B958="","","ACT-"&amp;TEXT(ROW()-4,"000"))</f>
        <v>0</v>
      </c>
      <c r="M958" s="43">
        <f>IF(COUNTA($B958:$K958)=0,"",IF($B958="","Missing activity name",IF($C958="","Missing practice",IF(COUNTIF(PracticeNames,$C958)=0,"Practice not in Lists",IF($D958="","Missing motion",IF(NOT(ISNUMBER($F958)),"Missing or invalid start date",IF(AND(ISNUMBER($G958),$G958&lt;$F958),"End date before start",IF(AND($N958=1,$AA958=0),"Outside planning year","OK"))))))))</f>
        <v>0</v>
      </c>
      <c r="N958">
        <f>IF(AND($B958&lt;&gt;"",$C958&lt;&gt;"",$D958&lt;&gt;"",ISNUMBER($F958),COUNTIF(PracticeNames,$C958)&gt;0,COUNTIF(MotionNames,$D958)&gt;0,NOT(AND(ISNUMBER($G958),$G958&lt;$F958))),IF(StatusFilter="All (excl. Cancelled)",IF($H958="Cancelled",0,1),IF(StatusFilter="All",1,IF($H958=StatusFilter,1,0))),0)</f>
        <v>0</v>
      </c>
      <c r="O958">
        <f>IF($N958=0,0,IF(AND($F958&lt;=EOMONTH(DATE(PlanYear,1,1),0),IF(ISNUMBER($G958),$G958,$F958)&gt;=DATE(PlanYear,1,1)),1,0))</f>
        <v>0</v>
      </c>
      <c r="P958">
        <f>IF($N958=0,0,IF(AND($F958&lt;=EOMONTH(DATE(PlanYear,2,1),0),IF(ISNUMBER($G958),$G958,$F958)&gt;=DATE(PlanYear,2,1)),1,0))</f>
        <v>0</v>
      </c>
      <c r="Q958">
        <f>IF($N958=0,0,IF(AND($F958&lt;=EOMONTH(DATE(PlanYear,3,1),0),IF(ISNUMBER($G958),$G958,$F958)&gt;=DATE(PlanYear,3,1)),1,0))</f>
        <v>0</v>
      </c>
      <c r="R958">
        <f>IF($N958=0,0,IF(AND($F958&lt;=EOMONTH(DATE(PlanYear,4,1),0),IF(ISNUMBER($G958),$G958,$F958)&gt;=DATE(PlanYear,4,1)),1,0))</f>
        <v>0</v>
      </c>
      <c r="S958">
        <f>IF($N958=0,0,IF(AND($F958&lt;=EOMONTH(DATE(PlanYear,5,1),0),IF(ISNUMBER($G958),$G958,$F958)&gt;=DATE(PlanYear,5,1)),1,0))</f>
        <v>0</v>
      </c>
      <c r="T958">
        <f>IF($N958=0,0,IF(AND($F958&lt;=EOMONTH(DATE(PlanYear,6,1),0),IF(ISNUMBER($G958),$G958,$F958)&gt;=DATE(PlanYear,6,1)),1,0))</f>
        <v>0</v>
      </c>
      <c r="U958">
        <f>IF($N958=0,0,IF(AND($F958&lt;=EOMONTH(DATE(PlanYear,7,1),0),IF(ISNUMBER($G958),$G958,$F958)&gt;=DATE(PlanYear,7,1)),1,0))</f>
        <v>0</v>
      </c>
      <c r="V958">
        <f>IF($N958=0,0,IF(AND($F958&lt;=EOMONTH(DATE(PlanYear,8,1),0),IF(ISNUMBER($G958),$G958,$F958)&gt;=DATE(PlanYear,8,1)),1,0))</f>
        <v>0</v>
      </c>
      <c r="W958">
        <f>IF($N958=0,0,IF(AND($F958&lt;=EOMONTH(DATE(PlanYear,9,1),0),IF(ISNUMBER($G958),$G958,$F958)&gt;=DATE(PlanYear,9,1)),1,0))</f>
        <v>0</v>
      </c>
      <c r="X958">
        <f>IF($N958=0,0,IF(AND($F958&lt;=EOMONTH(DATE(PlanYear,10,1),0),IF(ISNUMBER($G958),$G958,$F958)&gt;=DATE(PlanYear,10,1)),1,0))</f>
        <v>0</v>
      </c>
      <c r="Y958">
        <f>IF($N958=0,0,IF(AND($F958&lt;=EOMONTH(DATE(PlanYear,11,1),0),IF(ISNUMBER($G958),$G958,$F958)&gt;=DATE(PlanYear,11,1)),1,0))</f>
        <v>0</v>
      </c>
      <c r="Z958">
        <f>IF($N958=0,0,IF(AND($F958&lt;=EOMONTH(DATE(PlanYear,12,1),0),IF(ISNUMBER($G958),$G958,$F958)&gt;=DATE(PlanYear,12,1)),1,0))</f>
        <v>0</v>
      </c>
      <c r="AA958">
        <f>SUM($O958:$Z958)</f>
        <v>0</v>
      </c>
    </row>
    <row r="959" spans="1:27">
      <c r="A959" s="42">
        <f>IF($B959="","","ACT-"&amp;TEXT(ROW()-4,"000"))</f>
        <v>0</v>
      </c>
      <c r="M959" s="43">
        <f>IF(COUNTA($B959:$K959)=0,"",IF($B959="","Missing activity name",IF($C959="","Missing practice",IF(COUNTIF(PracticeNames,$C959)=0,"Practice not in Lists",IF($D959="","Missing motion",IF(NOT(ISNUMBER($F959)),"Missing or invalid start date",IF(AND(ISNUMBER($G959),$G959&lt;$F959),"End date before start",IF(AND($N959=1,$AA959=0),"Outside planning year","OK"))))))))</f>
        <v>0</v>
      </c>
      <c r="N959">
        <f>IF(AND($B959&lt;&gt;"",$C959&lt;&gt;"",$D959&lt;&gt;"",ISNUMBER($F959),COUNTIF(PracticeNames,$C959)&gt;0,COUNTIF(MotionNames,$D959)&gt;0,NOT(AND(ISNUMBER($G959),$G959&lt;$F959))),IF(StatusFilter="All (excl. Cancelled)",IF($H959="Cancelled",0,1),IF(StatusFilter="All",1,IF($H959=StatusFilter,1,0))),0)</f>
        <v>0</v>
      </c>
      <c r="O959">
        <f>IF($N959=0,0,IF(AND($F959&lt;=EOMONTH(DATE(PlanYear,1,1),0),IF(ISNUMBER($G959),$G959,$F959)&gt;=DATE(PlanYear,1,1)),1,0))</f>
        <v>0</v>
      </c>
      <c r="P959">
        <f>IF($N959=0,0,IF(AND($F959&lt;=EOMONTH(DATE(PlanYear,2,1),0),IF(ISNUMBER($G959),$G959,$F959)&gt;=DATE(PlanYear,2,1)),1,0))</f>
        <v>0</v>
      </c>
      <c r="Q959">
        <f>IF($N959=0,0,IF(AND($F959&lt;=EOMONTH(DATE(PlanYear,3,1),0),IF(ISNUMBER($G959),$G959,$F959)&gt;=DATE(PlanYear,3,1)),1,0))</f>
        <v>0</v>
      </c>
      <c r="R959">
        <f>IF($N959=0,0,IF(AND($F959&lt;=EOMONTH(DATE(PlanYear,4,1),0),IF(ISNUMBER($G959),$G959,$F959)&gt;=DATE(PlanYear,4,1)),1,0))</f>
        <v>0</v>
      </c>
      <c r="S959">
        <f>IF($N959=0,0,IF(AND($F959&lt;=EOMONTH(DATE(PlanYear,5,1),0),IF(ISNUMBER($G959),$G959,$F959)&gt;=DATE(PlanYear,5,1)),1,0))</f>
        <v>0</v>
      </c>
      <c r="T959">
        <f>IF($N959=0,0,IF(AND($F959&lt;=EOMONTH(DATE(PlanYear,6,1),0),IF(ISNUMBER($G959),$G959,$F959)&gt;=DATE(PlanYear,6,1)),1,0))</f>
        <v>0</v>
      </c>
      <c r="U959">
        <f>IF($N959=0,0,IF(AND($F959&lt;=EOMONTH(DATE(PlanYear,7,1),0),IF(ISNUMBER($G959),$G959,$F959)&gt;=DATE(PlanYear,7,1)),1,0))</f>
        <v>0</v>
      </c>
      <c r="V959">
        <f>IF($N959=0,0,IF(AND($F959&lt;=EOMONTH(DATE(PlanYear,8,1),0),IF(ISNUMBER($G959),$G959,$F959)&gt;=DATE(PlanYear,8,1)),1,0))</f>
        <v>0</v>
      </c>
      <c r="W959">
        <f>IF($N959=0,0,IF(AND($F959&lt;=EOMONTH(DATE(PlanYear,9,1),0),IF(ISNUMBER($G959),$G959,$F959)&gt;=DATE(PlanYear,9,1)),1,0))</f>
        <v>0</v>
      </c>
      <c r="X959">
        <f>IF($N959=0,0,IF(AND($F959&lt;=EOMONTH(DATE(PlanYear,10,1),0),IF(ISNUMBER($G959),$G959,$F959)&gt;=DATE(PlanYear,10,1)),1,0))</f>
        <v>0</v>
      </c>
      <c r="Y959">
        <f>IF($N959=0,0,IF(AND($F959&lt;=EOMONTH(DATE(PlanYear,11,1),0),IF(ISNUMBER($G959),$G959,$F959)&gt;=DATE(PlanYear,11,1)),1,0))</f>
        <v>0</v>
      </c>
      <c r="Z959">
        <f>IF($N959=0,0,IF(AND($F959&lt;=EOMONTH(DATE(PlanYear,12,1),0),IF(ISNUMBER($G959),$G959,$F959)&gt;=DATE(PlanYear,12,1)),1,0))</f>
        <v>0</v>
      </c>
      <c r="AA959">
        <f>SUM($O959:$Z959)</f>
        <v>0</v>
      </c>
    </row>
    <row r="960" spans="1:27">
      <c r="A960" s="42">
        <f>IF($B960="","","ACT-"&amp;TEXT(ROW()-4,"000"))</f>
        <v>0</v>
      </c>
      <c r="M960" s="43">
        <f>IF(COUNTA($B960:$K960)=0,"",IF($B960="","Missing activity name",IF($C960="","Missing practice",IF(COUNTIF(PracticeNames,$C960)=0,"Practice not in Lists",IF($D960="","Missing motion",IF(NOT(ISNUMBER($F960)),"Missing or invalid start date",IF(AND(ISNUMBER($G960),$G960&lt;$F960),"End date before start",IF(AND($N960=1,$AA960=0),"Outside planning year","OK"))))))))</f>
        <v>0</v>
      </c>
      <c r="N960">
        <f>IF(AND($B960&lt;&gt;"",$C960&lt;&gt;"",$D960&lt;&gt;"",ISNUMBER($F960),COUNTIF(PracticeNames,$C960)&gt;0,COUNTIF(MotionNames,$D960)&gt;0,NOT(AND(ISNUMBER($G960),$G960&lt;$F960))),IF(StatusFilter="All (excl. Cancelled)",IF($H960="Cancelled",0,1),IF(StatusFilter="All",1,IF($H960=StatusFilter,1,0))),0)</f>
        <v>0</v>
      </c>
      <c r="O960">
        <f>IF($N960=0,0,IF(AND($F960&lt;=EOMONTH(DATE(PlanYear,1,1),0),IF(ISNUMBER($G960),$G960,$F960)&gt;=DATE(PlanYear,1,1)),1,0))</f>
        <v>0</v>
      </c>
      <c r="P960">
        <f>IF($N960=0,0,IF(AND($F960&lt;=EOMONTH(DATE(PlanYear,2,1),0),IF(ISNUMBER($G960),$G960,$F960)&gt;=DATE(PlanYear,2,1)),1,0))</f>
        <v>0</v>
      </c>
      <c r="Q960">
        <f>IF($N960=0,0,IF(AND($F960&lt;=EOMONTH(DATE(PlanYear,3,1),0),IF(ISNUMBER($G960),$G960,$F960)&gt;=DATE(PlanYear,3,1)),1,0))</f>
        <v>0</v>
      </c>
      <c r="R960">
        <f>IF($N960=0,0,IF(AND($F960&lt;=EOMONTH(DATE(PlanYear,4,1),0),IF(ISNUMBER($G960),$G960,$F960)&gt;=DATE(PlanYear,4,1)),1,0))</f>
        <v>0</v>
      </c>
      <c r="S960">
        <f>IF($N960=0,0,IF(AND($F960&lt;=EOMONTH(DATE(PlanYear,5,1),0),IF(ISNUMBER($G960),$G960,$F960)&gt;=DATE(PlanYear,5,1)),1,0))</f>
        <v>0</v>
      </c>
      <c r="T960">
        <f>IF($N960=0,0,IF(AND($F960&lt;=EOMONTH(DATE(PlanYear,6,1),0),IF(ISNUMBER($G960),$G960,$F960)&gt;=DATE(PlanYear,6,1)),1,0))</f>
        <v>0</v>
      </c>
      <c r="U960">
        <f>IF($N960=0,0,IF(AND($F960&lt;=EOMONTH(DATE(PlanYear,7,1),0),IF(ISNUMBER($G960),$G960,$F960)&gt;=DATE(PlanYear,7,1)),1,0))</f>
        <v>0</v>
      </c>
      <c r="V960">
        <f>IF($N960=0,0,IF(AND($F960&lt;=EOMONTH(DATE(PlanYear,8,1),0),IF(ISNUMBER($G960),$G960,$F960)&gt;=DATE(PlanYear,8,1)),1,0))</f>
        <v>0</v>
      </c>
      <c r="W960">
        <f>IF($N960=0,0,IF(AND($F960&lt;=EOMONTH(DATE(PlanYear,9,1),0),IF(ISNUMBER($G960),$G960,$F960)&gt;=DATE(PlanYear,9,1)),1,0))</f>
        <v>0</v>
      </c>
      <c r="X960">
        <f>IF($N960=0,0,IF(AND($F960&lt;=EOMONTH(DATE(PlanYear,10,1),0),IF(ISNUMBER($G960),$G960,$F960)&gt;=DATE(PlanYear,10,1)),1,0))</f>
        <v>0</v>
      </c>
      <c r="Y960">
        <f>IF($N960=0,0,IF(AND($F960&lt;=EOMONTH(DATE(PlanYear,11,1),0),IF(ISNUMBER($G960),$G960,$F960)&gt;=DATE(PlanYear,11,1)),1,0))</f>
        <v>0</v>
      </c>
      <c r="Z960">
        <f>IF($N960=0,0,IF(AND($F960&lt;=EOMONTH(DATE(PlanYear,12,1),0),IF(ISNUMBER($G960),$G960,$F960)&gt;=DATE(PlanYear,12,1)),1,0))</f>
        <v>0</v>
      </c>
      <c r="AA960">
        <f>SUM($O960:$Z960)</f>
        <v>0</v>
      </c>
    </row>
    <row r="961" spans="1:27">
      <c r="A961" s="42">
        <f>IF($B961="","","ACT-"&amp;TEXT(ROW()-4,"000"))</f>
        <v>0</v>
      </c>
      <c r="M961" s="43">
        <f>IF(COUNTA($B961:$K961)=0,"",IF($B961="","Missing activity name",IF($C961="","Missing practice",IF(COUNTIF(PracticeNames,$C961)=0,"Practice not in Lists",IF($D961="","Missing motion",IF(NOT(ISNUMBER($F961)),"Missing or invalid start date",IF(AND(ISNUMBER($G961),$G961&lt;$F961),"End date before start",IF(AND($N961=1,$AA961=0),"Outside planning year","OK"))))))))</f>
        <v>0</v>
      </c>
      <c r="N961">
        <f>IF(AND($B961&lt;&gt;"",$C961&lt;&gt;"",$D961&lt;&gt;"",ISNUMBER($F961),COUNTIF(PracticeNames,$C961)&gt;0,COUNTIF(MotionNames,$D961)&gt;0,NOT(AND(ISNUMBER($G961),$G961&lt;$F961))),IF(StatusFilter="All (excl. Cancelled)",IF($H961="Cancelled",0,1),IF(StatusFilter="All",1,IF($H961=StatusFilter,1,0))),0)</f>
        <v>0</v>
      </c>
      <c r="O961">
        <f>IF($N961=0,0,IF(AND($F961&lt;=EOMONTH(DATE(PlanYear,1,1),0),IF(ISNUMBER($G961),$G961,$F961)&gt;=DATE(PlanYear,1,1)),1,0))</f>
        <v>0</v>
      </c>
      <c r="P961">
        <f>IF($N961=0,0,IF(AND($F961&lt;=EOMONTH(DATE(PlanYear,2,1),0),IF(ISNUMBER($G961),$G961,$F961)&gt;=DATE(PlanYear,2,1)),1,0))</f>
        <v>0</v>
      </c>
      <c r="Q961">
        <f>IF($N961=0,0,IF(AND($F961&lt;=EOMONTH(DATE(PlanYear,3,1),0),IF(ISNUMBER($G961),$G961,$F961)&gt;=DATE(PlanYear,3,1)),1,0))</f>
        <v>0</v>
      </c>
      <c r="R961">
        <f>IF($N961=0,0,IF(AND($F961&lt;=EOMONTH(DATE(PlanYear,4,1),0),IF(ISNUMBER($G961),$G961,$F961)&gt;=DATE(PlanYear,4,1)),1,0))</f>
        <v>0</v>
      </c>
      <c r="S961">
        <f>IF($N961=0,0,IF(AND($F961&lt;=EOMONTH(DATE(PlanYear,5,1),0),IF(ISNUMBER($G961),$G961,$F961)&gt;=DATE(PlanYear,5,1)),1,0))</f>
        <v>0</v>
      </c>
      <c r="T961">
        <f>IF($N961=0,0,IF(AND($F961&lt;=EOMONTH(DATE(PlanYear,6,1),0),IF(ISNUMBER($G961),$G961,$F961)&gt;=DATE(PlanYear,6,1)),1,0))</f>
        <v>0</v>
      </c>
      <c r="U961">
        <f>IF($N961=0,0,IF(AND($F961&lt;=EOMONTH(DATE(PlanYear,7,1),0),IF(ISNUMBER($G961),$G961,$F961)&gt;=DATE(PlanYear,7,1)),1,0))</f>
        <v>0</v>
      </c>
      <c r="V961">
        <f>IF($N961=0,0,IF(AND($F961&lt;=EOMONTH(DATE(PlanYear,8,1),0),IF(ISNUMBER($G961),$G961,$F961)&gt;=DATE(PlanYear,8,1)),1,0))</f>
        <v>0</v>
      </c>
      <c r="W961">
        <f>IF($N961=0,0,IF(AND($F961&lt;=EOMONTH(DATE(PlanYear,9,1),0),IF(ISNUMBER($G961),$G961,$F961)&gt;=DATE(PlanYear,9,1)),1,0))</f>
        <v>0</v>
      </c>
      <c r="X961">
        <f>IF($N961=0,0,IF(AND($F961&lt;=EOMONTH(DATE(PlanYear,10,1),0),IF(ISNUMBER($G961),$G961,$F961)&gt;=DATE(PlanYear,10,1)),1,0))</f>
        <v>0</v>
      </c>
      <c r="Y961">
        <f>IF($N961=0,0,IF(AND($F961&lt;=EOMONTH(DATE(PlanYear,11,1),0),IF(ISNUMBER($G961),$G961,$F961)&gt;=DATE(PlanYear,11,1)),1,0))</f>
        <v>0</v>
      </c>
      <c r="Z961">
        <f>IF($N961=0,0,IF(AND($F961&lt;=EOMONTH(DATE(PlanYear,12,1),0),IF(ISNUMBER($G961),$G961,$F961)&gt;=DATE(PlanYear,12,1)),1,0))</f>
        <v>0</v>
      </c>
      <c r="AA961">
        <f>SUM($O961:$Z961)</f>
        <v>0</v>
      </c>
    </row>
    <row r="962" spans="1:27">
      <c r="A962" s="42">
        <f>IF($B962="","","ACT-"&amp;TEXT(ROW()-4,"000"))</f>
        <v>0</v>
      </c>
      <c r="M962" s="43">
        <f>IF(COUNTA($B962:$K962)=0,"",IF($B962="","Missing activity name",IF($C962="","Missing practice",IF(COUNTIF(PracticeNames,$C962)=0,"Practice not in Lists",IF($D962="","Missing motion",IF(NOT(ISNUMBER($F962)),"Missing or invalid start date",IF(AND(ISNUMBER($G962),$G962&lt;$F962),"End date before start",IF(AND($N962=1,$AA962=0),"Outside planning year","OK"))))))))</f>
        <v>0</v>
      </c>
      <c r="N962">
        <f>IF(AND($B962&lt;&gt;"",$C962&lt;&gt;"",$D962&lt;&gt;"",ISNUMBER($F962),COUNTIF(PracticeNames,$C962)&gt;0,COUNTIF(MotionNames,$D962)&gt;0,NOT(AND(ISNUMBER($G962),$G962&lt;$F962))),IF(StatusFilter="All (excl. Cancelled)",IF($H962="Cancelled",0,1),IF(StatusFilter="All",1,IF($H962=StatusFilter,1,0))),0)</f>
        <v>0</v>
      </c>
      <c r="O962">
        <f>IF($N962=0,0,IF(AND($F962&lt;=EOMONTH(DATE(PlanYear,1,1),0),IF(ISNUMBER($G962),$G962,$F962)&gt;=DATE(PlanYear,1,1)),1,0))</f>
        <v>0</v>
      </c>
      <c r="P962">
        <f>IF($N962=0,0,IF(AND($F962&lt;=EOMONTH(DATE(PlanYear,2,1),0),IF(ISNUMBER($G962),$G962,$F962)&gt;=DATE(PlanYear,2,1)),1,0))</f>
        <v>0</v>
      </c>
      <c r="Q962">
        <f>IF($N962=0,0,IF(AND($F962&lt;=EOMONTH(DATE(PlanYear,3,1),0),IF(ISNUMBER($G962),$G962,$F962)&gt;=DATE(PlanYear,3,1)),1,0))</f>
        <v>0</v>
      </c>
      <c r="R962">
        <f>IF($N962=0,0,IF(AND($F962&lt;=EOMONTH(DATE(PlanYear,4,1),0),IF(ISNUMBER($G962),$G962,$F962)&gt;=DATE(PlanYear,4,1)),1,0))</f>
        <v>0</v>
      </c>
      <c r="S962">
        <f>IF($N962=0,0,IF(AND($F962&lt;=EOMONTH(DATE(PlanYear,5,1),0),IF(ISNUMBER($G962),$G962,$F962)&gt;=DATE(PlanYear,5,1)),1,0))</f>
        <v>0</v>
      </c>
      <c r="T962">
        <f>IF($N962=0,0,IF(AND($F962&lt;=EOMONTH(DATE(PlanYear,6,1),0),IF(ISNUMBER($G962),$G962,$F962)&gt;=DATE(PlanYear,6,1)),1,0))</f>
        <v>0</v>
      </c>
      <c r="U962">
        <f>IF($N962=0,0,IF(AND($F962&lt;=EOMONTH(DATE(PlanYear,7,1),0),IF(ISNUMBER($G962),$G962,$F962)&gt;=DATE(PlanYear,7,1)),1,0))</f>
        <v>0</v>
      </c>
      <c r="V962">
        <f>IF($N962=0,0,IF(AND($F962&lt;=EOMONTH(DATE(PlanYear,8,1),0),IF(ISNUMBER($G962),$G962,$F962)&gt;=DATE(PlanYear,8,1)),1,0))</f>
        <v>0</v>
      </c>
      <c r="W962">
        <f>IF($N962=0,0,IF(AND($F962&lt;=EOMONTH(DATE(PlanYear,9,1),0),IF(ISNUMBER($G962),$G962,$F962)&gt;=DATE(PlanYear,9,1)),1,0))</f>
        <v>0</v>
      </c>
      <c r="X962">
        <f>IF($N962=0,0,IF(AND($F962&lt;=EOMONTH(DATE(PlanYear,10,1),0),IF(ISNUMBER($G962),$G962,$F962)&gt;=DATE(PlanYear,10,1)),1,0))</f>
        <v>0</v>
      </c>
      <c r="Y962">
        <f>IF($N962=0,0,IF(AND($F962&lt;=EOMONTH(DATE(PlanYear,11,1),0),IF(ISNUMBER($G962),$G962,$F962)&gt;=DATE(PlanYear,11,1)),1,0))</f>
        <v>0</v>
      </c>
      <c r="Z962">
        <f>IF($N962=0,0,IF(AND($F962&lt;=EOMONTH(DATE(PlanYear,12,1),0),IF(ISNUMBER($G962),$G962,$F962)&gt;=DATE(PlanYear,12,1)),1,0))</f>
        <v>0</v>
      </c>
      <c r="AA962">
        <f>SUM($O962:$Z962)</f>
        <v>0</v>
      </c>
    </row>
    <row r="963" spans="1:27">
      <c r="A963" s="42">
        <f>IF($B963="","","ACT-"&amp;TEXT(ROW()-4,"000"))</f>
        <v>0</v>
      </c>
      <c r="M963" s="43">
        <f>IF(COUNTA($B963:$K963)=0,"",IF($B963="","Missing activity name",IF($C963="","Missing practice",IF(COUNTIF(PracticeNames,$C963)=0,"Practice not in Lists",IF($D963="","Missing motion",IF(NOT(ISNUMBER($F963)),"Missing or invalid start date",IF(AND(ISNUMBER($G963),$G963&lt;$F963),"End date before start",IF(AND($N963=1,$AA963=0),"Outside planning year","OK"))))))))</f>
        <v>0</v>
      </c>
      <c r="N963">
        <f>IF(AND($B963&lt;&gt;"",$C963&lt;&gt;"",$D963&lt;&gt;"",ISNUMBER($F963),COUNTIF(PracticeNames,$C963)&gt;0,COUNTIF(MotionNames,$D963)&gt;0,NOT(AND(ISNUMBER($G963),$G963&lt;$F963))),IF(StatusFilter="All (excl. Cancelled)",IF($H963="Cancelled",0,1),IF(StatusFilter="All",1,IF($H963=StatusFilter,1,0))),0)</f>
        <v>0</v>
      </c>
      <c r="O963">
        <f>IF($N963=0,0,IF(AND($F963&lt;=EOMONTH(DATE(PlanYear,1,1),0),IF(ISNUMBER($G963),$G963,$F963)&gt;=DATE(PlanYear,1,1)),1,0))</f>
        <v>0</v>
      </c>
      <c r="P963">
        <f>IF($N963=0,0,IF(AND($F963&lt;=EOMONTH(DATE(PlanYear,2,1),0),IF(ISNUMBER($G963),$G963,$F963)&gt;=DATE(PlanYear,2,1)),1,0))</f>
        <v>0</v>
      </c>
      <c r="Q963">
        <f>IF($N963=0,0,IF(AND($F963&lt;=EOMONTH(DATE(PlanYear,3,1),0),IF(ISNUMBER($G963),$G963,$F963)&gt;=DATE(PlanYear,3,1)),1,0))</f>
        <v>0</v>
      </c>
      <c r="R963">
        <f>IF($N963=0,0,IF(AND($F963&lt;=EOMONTH(DATE(PlanYear,4,1),0),IF(ISNUMBER($G963),$G963,$F963)&gt;=DATE(PlanYear,4,1)),1,0))</f>
        <v>0</v>
      </c>
      <c r="S963">
        <f>IF($N963=0,0,IF(AND($F963&lt;=EOMONTH(DATE(PlanYear,5,1),0),IF(ISNUMBER($G963),$G963,$F963)&gt;=DATE(PlanYear,5,1)),1,0))</f>
        <v>0</v>
      </c>
      <c r="T963">
        <f>IF($N963=0,0,IF(AND($F963&lt;=EOMONTH(DATE(PlanYear,6,1),0),IF(ISNUMBER($G963),$G963,$F963)&gt;=DATE(PlanYear,6,1)),1,0))</f>
        <v>0</v>
      </c>
      <c r="U963">
        <f>IF($N963=0,0,IF(AND($F963&lt;=EOMONTH(DATE(PlanYear,7,1),0),IF(ISNUMBER($G963),$G963,$F963)&gt;=DATE(PlanYear,7,1)),1,0))</f>
        <v>0</v>
      </c>
      <c r="V963">
        <f>IF($N963=0,0,IF(AND($F963&lt;=EOMONTH(DATE(PlanYear,8,1),0),IF(ISNUMBER($G963),$G963,$F963)&gt;=DATE(PlanYear,8,1)),1,0))</f>
        <v>0</v>
      </c>
      <c r="W963">
        <f>IF($N963=0,0,IF(AND($F963&lt;=EOMONTH(DATE(PlanYear,9,1),0),IF(ISNUMBER($G963),$G963,$F963)&gt;=DATE(PlanYear,9,1)),1,0))</f>
        <v>0</v>
      </c>
      <c r="X963">
        <f>IF($N963=0,0,IF(AND($F963&lt;=EOMONTH(DATE(PlanYear,10,1),0),IF(ISNUMBER($G963),$G963,$F963)&gt;=DATE(PlanYear,10,1)),1,0))</f>
        <v>0</v>
      </c>
      <c r="Y963">
        <f>IF($N963=0,0,IF(AND($F963&lt;=EOMONTH(DATE(PlanYear,11,1),0),IF(ISNUMBER($G963),$G963,$F963)&gt;=DATE(PlanYear,11,1)),1,0))</f>
        <v>0</v>
      </c>
      <c r="Z963">
        <f>IF($N963=0,0,IF(AND($F963&lt;=EOMONTH(DATE(PlanYear,12,1),0),IF(ISNUMBER($G963),$G963,$F963)&gt;=DATE(PlanYear,12,1)),1,0))</f>
        <v>0</v>
      </c>
      <c r="AA963">
        <f>SUM($O963:$Z963)</f>
        <v>0</v>
      </c>
    </row>
    <row r="964" spans="1:27">
      <c r="A964" s="42">
        <f>IF($B964="","","ACT-"&amp;TEXT(ROW()-4,"000"))</f>
        <v>0</v>
      </c>
      <c r="M964" s="43">
        <f>IF(COUNTA($B964:$K964)=0,"",IF($B964="","Missing activity name",IF($C964="","Missing practice",IF(COUNTIF(PracticeNames,$C964)=0,"Practice not in Lists",IF($D964="","Missing motion",IF(NOT(ISNUMBER($F964)),"Missing or invalid start date",IF(AND(ISNUMBER($G964),$G964&lt;$F964),"End date before start",IF(AND($N964=1,$AA964=0),"Outside planning year","OK"))))))))</f>
        <v>0</v>
      </c>
      <c r="N964">
        <f>IF(AND($B964&lt;&gt;"",$C964&lt;&gt;"",$D964&lt;&gt;"",ISNUMBER($F964),COUNTIF(PracticeNames,$C964)&gt;0,COUNTIF(MotionNames,$D964)&gt;0,NOT(AND(ISNUMBER($G964),$G964&lt;$F964))),IF(StatusFilter="All (excl. Cancelled)",IF($H964="Cancelled",0,1),IF(StatusFilter="All",1,IF($H964=StatusFilter,1,0))),0)</f>
        <v>0</v>
      </c>
      <c r="O964">
        <f>IF($N964=0,0,IF(AND($F964&lt;=EOMONTH(DATE(PlanYear,1,1),0),IF(ISNUMBER($G964),$G964,$F964)&gt;=DATE(PlanYear,1,1)),1,0))</f>
        <v>0</v>
      </c>
      <c r="P964">
        <f>IF($N964=0,0,IF(AND($F964&lt;=EOMONTH(DATE(PlanYear,2,1),0),IF(ISNUMBER($G964),$G964,$F964)&gt;=DATE(PlanYear,2,1)),1,0))</f>
        <v>0</v>
      </c>
      <c r="Q964">
        <f>IF($N964=0,0,IF(AND($F964&lt;=EOMONTH(DATE(PlanYear,3,1),0),IF(ISNUMBER($G964),$G964,$F964)&gt;=DATE(PlanYear,3,1)),1,0))</f>
        <v>0</v>
      </c>
      <c r="R964">
        <f>IF($N964=0,0,IF(AND($F964&lt;=EOMONTH(DATE(PlanYear,4,1),0),IF(ISNUMBER($G964),$G964,$F964)&gt;=DATE(PlanYear,4,1)),1,0))</f>
        <v>0</v>
      </c>
      <c r="S964">
        <f>IF($N964=0,0,IF(AND($F964&lt;=EOMONTH(DATE(PlanYear,5,1),0),IF(ISNUMBER($G964),$G964,$F964)&gt;=DATE(PlanYear,5,1)),1,0))</f>
        <v>0</v>
      </c>
      <c r="T964">
        <f>IF($N964=0,0,IF(AND($F964&lt;=EOMONTH(DATE(PlanYear,6,1),0),IF(ISNUMBER($G964),$G964,$F964)&gt;=DATE(PlanYear,6,1)),1,0))</f>
        <v>0</v>
      </c>
      <c r="U964">
        <f>IF($N964=0,0,IF(AND($F964&lt;=EOMONTH(DATE(PlanYear,7,1),0),IF(ISNUMBER($G964),$G964,$F964)&gt;=DATE(PlanYear,7,1)),1,0))</f>
        <v>0</v>
      </c>
      <c r="V964">
        <f>IF($N964=0,0,IF(AND($F964&lt;=EOMONTH(DATE(PlanYear,8,1),0),IF(ISNUMBER($G964),$G964,$F964)&gt;=DATE(PlanYear,8,1)),1,0))</f>
        <v>0</v>
      </c>
      <c r="W964">
        <f>IF($N964=0,0,IF(AND($F964&lt;=EOMONTH(DATE(PlanYear,9,1),0),IF(ISNUMBER($G964),$G964,$F964)&gt;=DATE(PlanYear,9,1)),1,0))</f>
        <v>0</v>
      </c>
      <c r="X964">
        <f>IF($N964=0,0,IF(AND($F964&lt;=EOMONTH(DATE(PlanYear,10,1),0),IF(ISNUMBER($G964),$G964,$F964)&gt;=DATE(PlanYear,10,1)),1,0))</f>
        <v>0</v>
      </c>
      <c r="Y964">
        <f>IF($N964=0,0,IF(AND($F964&lt;=EOMONTH(DATE(PlanYear,11,1),0),IF(ISNUMBER($G964),$G964,$F964)&gt;=DATE(PlanYear,11,1)),1,0))</f>
        <v>0</v>
      </c>
      <c r="Z964">
        <f>IF($N964=0,0,IF(AND($F964&lt;=EOMONTH(DATE(PlanYear,12,1),0),IF(ISNUMBER($G964),$G964,$F964)&gt;=DATE(PlanYear,12,1)),1,0))</f>
        <v>0</v>
      </c>
      <c r="AA964">
        <f>SUM($O964:$Z964)</f>
        <v>0</v>
      </c>
    </row>
    <row r="965" spans="1:27">
      <c r="A965" s="42">
        <f>IF($B965="","","ACT-"&amp;TEXT(ROW()-4,"000"))</f>
        <v>0</v>
      </c>
      <c r="M965" s="43">
        <f>IF(COUNTA($B965:$K965)=0,"",IF($B965="","Missing activity name",IF($C965="","Missing practice",IF(COUNTIF(PracticeNames,$C965)=0,"Practice not in Lists",IF($D965="","Missing motion",IF(NOT(ISNUMBER($F965)),"Missing or invalid start date",IF(AND(ISNUMBER($G965),$G965&lt;$F965),"End date before start",IF(AND($N965=1,$AA965=0),"Outside planning year","OK"))))))))</f>
        <v>0</v>
      </c>
      <c r="N965">
        <f>IF(AND($B965&lt;&gt;"",$C965&lt;&gt;"",$D965&lt;&gt;"",ISNUMBER($F965),COUNTIF(PracticeNames,$C965)&gt;0,COUNTIF(MotionNames,$D965)&gt;0,NOT(AND(ISNUMBER($G965),$G965&lt;$F965))),IF(StatusFilter="All (excl. Cancelled)",IF($H965="Cancelled",0,1),IF(StatusFilter="All",1,IF($H965=StatusFilter,1,0))),0)</f>
        <v>0</v>
      </c>
      <c r="O965">
        <f>IF($N965=0,0,IF(AND($F965&lt;=EOMONTH(DATE(PlanYear,1,1),0),IF(ISNUMBER($G965),$G965,$F965)&gt;=DATE(PlanYear,1,1)),1,0))</f>
        <v>0</v>
      </c>
      <c r="P965">
        <f>IF($N965=0,0,IF(AND($F965&lt;=EOMONTH(DATE(PlanYear,2,1),0),IF(ISNUMBER($G965),$G965,$F965)&gt;=DATE(PlanYear,2,1)),1,0))</f>
        <v>0</v>
      </c>
      <c r="Q965">
        <f>IF($N965=0,0,IF(AND($F965&lt;=EOMONTH(DATE(PlanYear,3,1),0),IF(ISNUMBER($G965),$G965,$F965)&gt;=DATE(PlanYear,3,1)),1,0))</f>
        <v>0</v>
      </c>
      <c r="R965">
        <f>IF($N965=0,0,IF(AND($F965&lt;=EOMONTH(DATE(PlanYear,4,1),0),IF(ISNUMBER($G965),$G965,$F965)&gt;=DATE(PlanYear,4,1)),1,0))</f>
        <v>0</v>
      </c>
      <c r="S965">
        <f>IF($N965=0,0,IF(AND($F965&lt;=EOMONTH(DATE(PlanYear,5,1),0),IF(ISNUMBER($G965),$G965,$F965)&gt;=DATE(PlanYear,5,1)),1,0))</f>
        <v>0</v>
      </c>
      <c r="T965">
        <f>IF($N965=0,0,IF(AND($F965&lt;=EOMONTH(DATE(PlanYear,6,1),0),IF(ISNUMBER($G965),$G965,$F965)&gt;=DATE(PlanYear,6,1)),1,0))</f>
        <v>0</v>
      </c>
      <c r="U965">
        <f>IF($N965=0,0,IF(AND($F965&lt;=EOMONTH(DATE(PlanYear,7,1),0),IF(ISNUMBER($G965),$G965,$F965)&gt;=DATE(PlanYear,7,1)),1,0))</f>
        <v>0</v>
      </c>
      <c r="V965">
        <f>IF($N965=0,0,IF(AND($F965&lt;=EOMONTH(DATE(PlanYear,8,1),0),IF(ISNUMBER($G965),$G965,$F965)&gt;=DATE(PlanYear,8,1)),1,0))</f>
        <v>0</v>
      </c>
      <c r="W965">
        <f>IF($N965=0,0,IF(AND($F965&lt;=EOMONTH(DATE(PlanYear,9,1),0),IF(ISNUMBER($G965),$G965,$F965)&gt;=DATE(PlanYear,9,1)),1,0))</f>
        <v>0</v>
      </c>
      <c r="X965">
        <f>IF($N965=0,0,IF(AND($F965&lt;=EOMONTH(DATE(PlanYear,10,1),0),IF(ISNUMBER($G965),$G965,$F965)&gt;=DATE(PlanYear,10,1)),1,0))</f>
        <v>0</v>
      </c>
      <c r="Y965">
        <f>IF($N965=0,0,IF(AND($F965&lt;=EOMONTH(DATE(PlanYear,11,1),0),IF(ISNUMBER($G965),$G965,$F965)&gt;=DATE(PlanYear,11,1)),1,0))</f>
        <v>0</v>
      </c>
      <c r="Z965">
        <f>IF($N965=0,0,IF(AND($F965&lt;=EOMONTH(DATE(PlanYear,12,1),0),IF(ISNUMBER($G965),$G965,$F965)&gt;=DATE(PlanYear,12,1)),1,0))</f>
        <v>0</v>
      </c>
      <c r="AA965">
        <f>SUM($O965:$Z965)</f>
        <v>0</v>
      </c>
    </row>
    <row r="966" spans="1:27">
      <c r="A966" s="42">
        <f>IF($B966="","","ACT-"&amp;TEXT(ROW()-4,"000"))</f>
        <v>0</v>
      </c>
      <c r="M966" s="43">
        <f>IF(COUNTA($B966:$K966)=0,"",IF($B966="","Missing activity name",IF($C966="","Missing practice",IF(COUNTIF(PracticeNames,$C966)=0,"Practice not in Lists",IF($D966="","Missing motion",IF(NOT(ISNUMBER($F966)),"Missing or invalid start date",IF(AND(ISNUMBER($G966),$G966&lt;$F966),"End date before start",IF(AND($N966=1,$AA966=0),"Outside planning year","OK"))))))))</f>
        <v>0</v>
      </c>
      <c r="N966">
        <f>IF(AND($B966&lt;&gt;"",$C966&lt;&gt;"",$D966&lt;&gt;"",ISNUMBER($F966),COUNTIF(PracticeNames,$C966)&gt;0,COUNTIF(MotionNames,$D966)&gt;0,NOT(AND(ISNUMBER($G966),$G966&lt;$F966))),IF(StatusFilter="All (excl. Cancelled)",IF($H966="Cancelled",0,1),IF(StatusFilter="All",1,IF($H966=StatusFilter,1,0))),0)</f>
        <v>0</v>
      </c>
      <c r="O966">
        <f>IF($N966=0,0,IF(AND($F966&lt;=EOMONTH(DATE(PlanYear,1,1),0),IF(ISNUMBER($G966),$G966,$F966)&gt;=DATE(PlanYear,1,1)),1,0))</f>
        <v>0</v>
      </c>
      <c r="P966">
        <f>IF($N966=0,0,IF(AND($F966&lt;=EOMONTH(DATE(PlanYear,2,1),0),IF(ISNUMBER($G966),$G966,$F966)&gt;=DATE(PlanYear,2,1)),1,0))</f>
        <v>0</v>
      </c>
      <c r="Q966">
        <f>IF($N966=0,0,IF(AND($F966&lt;=EOMONTH(DATE(PlanYear,3,1),0),IF(ISNUMBER($G966),$G966,$F966)&gt;=DATE(PlanYear,3,1)),1,0))</f>
        <v>0</v>
      </c>
      <c r="R966">
        <f>IF($N966=0,0,IF(AND($F966&lt;=EOMONTH(DATE(PlanYear,4,1),0),IF(ISNUMBER($G966),$G966,$F966)&gt;=DATE(PlanYear,4,1)),1,0))</f>
        <v>0</v>
      </c>
      <c r="S966">
        <f>IF($N966=0,0,IF(AND($F966&lt;=EOMONTH(DATE(PlanYear,5,1),0),IF(ISNUMBER($G966),$G966,$F966)&gt;=DATE(PlanYear,5,1)),1,0))</f>
        <v>0</v>
      </c>
      <c r="T966">
        <f>IF($N966=0,0,IF(AND($F966&lt;=EOMONTH(DATE(PlanYear,6,1),0),IF(ISNUMBER($G966),$G966,$F966)&gt;=DATE(PlanYear,6,1)),1,0))</f>
        <v>0</v>
      </c>
      <c r="U966">
        <f>IF($N966=0,0,IF(AND($F966&lt;=EOMONTH(DATE(PlanYear,7,1),0),IF(ISNUMBER($G966),$G966,$F966)&gt;=DATE(PlanYear,7,1)),1,0))</f>
        <v>0</v>
      </c>
      <c r="V966">
        <f>IF($N966=0,0,IF(AND($F966&lt;=EOMONTH(DATE(PlanYear,8,1),0),IF(ISNUMBER($G966),$G966,$F966)&gt;=DATE(PlanYear,8,1)),1,0))</f>
        <v>0</v>
      </c>
      <c r="W966">
        <f>IF($N966=0,0,IF(AND($F966&lt;=EOMONTH(DATE(PlanYear,9,1),0),IF(ISNUMBER($G966),$G966,$F966)&gt;=DATE(PlanYear,9,1)),1,0))</f>
        <v>0</v>
      </c>
      <c r="X966">
        <f>IF($N966=0,0,IF(AND($F966&lt;=EOMONTH(DATE(PlanYear,10,1),0),IF(ISNUMBER($G966),$G966,$F966)&gt;=DATE(PlanYear,10,1)),1,0))</f>
        <v>0</v>
      </c>
      <c r="Y966">
        <f>IF($N966=0,0,IF(AND($F966&lt;=EOMONTH(DATE(PlanYear,11,1),0),IF(ISNUMBER($G966),$G966,$F966)&gt;=DATE(PlanYear,11,1)),1,0))</f>
        <v>0</v>
      </c>
      <c r="Z966">
        <f>IF($N966=0,0,IF(AND($F966&lt;=EOMONTH(DATE(PlanYear,12,1),0),IF(ISNUMBER($G966),$G966,$F966)&gt;=DATE(PlanYear,12,1)),1,0))</f>
        <v>0</v>
      </c>
      <c r="AA966">
        <f>SUM($O966:$Z966)</f>
        <v>0</v>
      </c>
    </row>
    <row r="967" spans="1:27">
      <c r="A967" s="42">
        <f>IF($B967="","","ACT-"&amp;TEXT(ROW()-4,"000"))</f>
        <v>0</v>
      </c>
      <c r="M967" s="43">
        <f>IF(COUNTA($B967:$K967)=0,"",IF($B967="","Missing activity name",IF($C967="","Missing practice",IF(COUNTIF(PracticeNames,$C967)=0,"Practice not in Lists",IF($D967="","Missing motion",IF(NOT(ISNUMBER($F967)),"Missing or invalid start date",IF(AND(ISNUMBER($G967),$G967&lt;$F967),"End date before start",IF(AND($N967=1,$AA967=0),"Outside planning year","OK"))))))))</f>
        <v>0</v>
      </c>
      <c r="N967">
        <f>IF(AND($B967&lt;&gt;"",$C967&lt;&gt;"",$D967&lt;&gt;"",ISNUMBER($F967),COUNTIF(PracticeNames,$C967)&gt;0,COUNTIF(MotionNames,$D967)&gt;0,NOT(AND(ISNUMBER($G967),$G967&lt;$F967))),IF(StatusFilter="All (excl. Cancelled)",IF($H967="Cancelled",0,1),IF(StatusFilter="All",1,IF($H967=StatusFilter,1,0))),0)</f>
        <v>0</v>
      </c>
      <c r="O967">
        <f>IF($N967=0,0,IF(AND($F967&lt;=EOMONTH(DATE(PlanYear,1,1),0),IF(ISNUMBER($G967),$G967,$F967)&gt;=DATE(PlanYear,1,1)),1,0))</f>
        <v>0</v>
      </c>
      <c r="P967">
        <f>IF($N967=0,0,IF(AND($F967&lt;=EOMONTH(DATE(PlanYear,2,1),0),IF(ISNUMBER($G967),$G967,$F967)&gt;=DATE(PlanYear,2,1)),1,0))</f>
        <v>0</v>
      </c>
      <c r="Q967">
        <f>IF($N967=0,0,IF(AND($F967&lt;=EOMONTH(DATE(PlanYear,3,1),0),IF(ISNUMBER($G967),$G967,$F967)&gt;=DATE(PlanYear,3,1)),1,0))</f>
        <v>0</v>
      </c>
      <c r="R967">
        <f>IF($N967=0,0,IF(AND($F967&lt;=EOMONTH(DATE(PlanYear,4,1),0),IF(ISNUMBER($G967),$G967,$F967)&gt;=DATE(PlanYear,4,1)),1,0))</f>
        <v>0</v>
      </c>
      <c r="S967">
        <f>IF($N967=0,0,IF(AND($F967&lt;=EOMONTH(DATE(PlanYear,5,1),0),IF(ISNUMBER($G967),$G967,$F967)&gt;=DATE(PlanYear,5,1)),1,0))</f>
        <v>0</v>
      </c>
      <c r="T967">
        <f>IF($N967=0,0,IF(AND($F967&lt;=EOMONTH(DATE(PlanYear,6,1),0),IF(ISNUMBER($G967),$G967,$F967)&gt;=DATE(PlanYear,6,1)),1,0))</f>
        <v>0</v>
      </c>
      <c r="U967">
        <f>IF($N967=0,0,IF(AND($F967&lt;=EOMONTH(DATE(PlanYear,7,1),0),IF(ISNUMBER($G967),$G967,$F967)&gt;=DATE(PlanYear,7,1)),1,0))</f>
        <v>0</v>
      </c>
      <c r="V967">
        <f>IF($N967=0,0,IF(AND($F967&lt;=EOMONTH(DATE(PlanYear,8,1),0),IF(ISNUMBER($G967),$G967,$F967)&gt;=DATE(PlanYear,8,1)),1,0))</f>
        <v>0</v>
      </c>
      <c r="W967">
        <f>IF($N967=0,0,IF(AND($F967&lt;=EOMONTH(DATE(PlanYear,9,1),0),IF(ISNUMBER($G967),$G967,$F967)&gt;=DATE(PlanYear,9,1)),1,0))</f>
        <v>0</v>
      </c>
      <c r="X967">
        <f>IF($N967=0,0,IF(AND($F967&lt;=EOMONTH(DATE(PlanYear,10,1),0),IF(ISNUMBER($G967),$G967,$F967)&gt;=DATE(PlanYear,10,1)),1,0))</f>
        <v>0</v>
      </c>
      <c r="Y967">
        <f>IF($N967=0,0,IF(AND($F967&lt;=EOMONTH(DATE(PlanYear,11,1),0),IF(ISNUMBER($G967),$G967,$F967)&gt;=DATE(PlanYear,11,1)),1,0))</f>
        <v>0</v>
      </c>
      <c r="Z967">
        <f>IF($N967=0,0,IF(AND($F967&lt;=EOMONTH(DATE(PlanYear,12,1),0),IF(ISNUMBER($G967),$G967,$F967)&gt;=DATE(PlanYear,12,1)),1,0))</f>
        <v>0</v>
      </c>
      <c r="AA967">
        <f>SUM($O967:$Z967)</f>
        <v>0</v>
      </c>
    </row>
    <row r="968" spans="1:27">
      <c r="A968" s="42">
        <f>IF($B968="","","ACT-"&amp;TEXT(ROW()-4,"000"))</f>
        <v>0</v>
      </c>
      <c r="M968" s="43">
        <f>IF(COUNTA($B968:$K968)=0,"",IF($B968="","Missing activity name",IF($C968="","Missing practice",IF(COUNTIF(PracticeNames,$C968)=0,"Practice not in Lists",IF($D968="","Missing motion",IF(NOT(ISNUMBER($F968)),"Missing or invalid start date",IF(AND(ISNUMBER($G968),$G968&lt;$F968),"End date before start",IF(AND($N968=1,$AA968=0),"Outside planning year","OK"))))))))</f>
        <v>0</v>
      </c>
      <c r="N968">
        <f>IF(AND($B968&lt;&gt;"",$C968&lt;&gt;"",$D968&lt;&gt;"",ISNUMBER($F968),COUNTIF(PracticeNames,$C968)&gt;0,COUNTIF(MotionNames,$D968)&gt;0,NOT(AND(ISNUMBER($G968),$G968&lt;$F968))),IF(StatusFilter="All (excl. Cancelled)",IF($H968="Cancelled",0,1),IF(StatusFilter="All",1,IF($H968=StatusFilter,1,0))),0)</f>
        <v>0</v>
      </c>
      <c r="O968">
        <f>IF($N968=0,0,IF(AND($F968&lt;=EOMONTH(DATE(PlanYear,1,1),0),IF(ISNUMBER($G968),$G968,$F968)&gt;=DATE(PlanYear,1,1)),1,0))</f>
        <v>0</v>
      </c>
      <c r="P968">
        <f>IF($N968=0,0,IF(AND($F968&lt;=EOMONTH(DATE(PlanYear,2,1),0),IF(ISNUMBER($G968),$G968,$F968)&gt;=DATE(PlanYear,2,1)),1,0))</f>
        <v>0</v>
      </c>
      <c r="Q968">
        <f>IF($N968=0,0,IF(AND($F968&lt;=EOMONTH(DATE(PlanYear,3,1),0),IF(ISNUMBER($G968),$G968,$F968)&gt;=DATE(PlanYear,3,1)),1,0))</f>
        <v>0</v>
      </c>
      <c r="R968">
        <f>IF($N968=0,0,IF(AND($F968&lt;=EOMONTH(DATE(PlanYear,4,1),0),IF(ISNUMBER($G968),$G968,$F968)&gt;=DATE(PlanYear,4,1)),1,0))</f>
        <v>0</v>
      </c>
      <c r="S968">
        <f>IF($N968=0,0,IF(AND($F968&lt;=EOMONTH(DATE(PlanYear,5,1),0),IF(ISNUMBER($G968),$G968,$F968)&gt;=DATE(PlanYear,5,1)),1,0))</f>
        <v>0</v>
      </c>
      <c r="T968">
        <f>IF($N968=0,0,IF(AND($F968&lt;=EOMONTH(DATE(PlanYear,6,1),0),IF(ISNUMBER($G968),$G968,$F968)&gt;=DATE(PlanYear,6,1)),1,0))</f>
        <v>0</v>
      </c>
      <c r="U968">
        <f>IF($N968=0,0,IF(AND($F968&lt;=EOMONTH(DATE(PlanYear,7,1),0),IF(ISNUMBER($G968),$G968,$F968)&gt;=DATE(PlanYear,7,1)),1,0))</f>
        <v>0</v>
      </c>
      <c r="V968">
        <f>IF($N968=0,0,IF(AND($F968&lt;=EOMONTH(DATE(PlanYear,8,1),0),IF(ISNUMBER($G968),$G968,$F968)&gt;=DATE(PlanYear,8,1)),1,0))</f>
        <v>0</v>
      </c>
      <c r="W968">
        <f>IF($N968=0,0,IF(AND($F968&lt;=EOMONTH(DATE(PlanYear,9,1),0),IF(ISNUMBER($G968),$G968,$F968)&gt;=DATE(PlanYear,9,1)),1,0))</f>
        <v>0</v>
      </c>
      <c r="X968">
        <f>IF($N968=0,0,IF(AND($F968&lt;=EOMONTH(DATE(PlanYear,10,1),0),IF(ISNUMBER($G968),$G968,$F968)&gt;=DATE(PlanYear,10,1)),1,0))</f>
        <v>0</v>
      </c>
      <c r="Y968">
        <f>IF($N968=0,0,IF(AND($F968&lt;=EOMONTH(DATE(PlanYear,11,1),0),IF(ISNUMBER($G968),$G968,$F968)&gt;=DATE(PlanYear,11,1)),1,0))</f>
        <v>0</v>
      </c>
      <c r="Z968">
        <f>IF($N968=0,0,IF(AND($F968&lt;=EOMONTH(DATE(PlanYear,12,1),0),IF(ISNUMBER($G968),$G968,$F968)&gt;=DATE(PlanYear,12,1)),1,0))</f>
        <v>0</v>
      </c>
      <c r="AA968">
        <f>SUM($O968:$Z968)</f>
        <v>0</v>
      </c>
    </row>
    <row r="969" spans="1:27">
      <c r="A969" s="42">
        <f>IF($B969="","","ACT-"&amp;TEXT(ROW()-4,"000"))</f>
        <v>0</v>
      </c>
      <c r="M969" s="43">
        <f>IF(COUNTA($B969:$K969)=0,"",IF($B969="","Missing activity name",IF($C969="","Missing practice",IF(COUNTIF(PracticeNames,$C969)=0,"Practice not in Lists",IF($D969="","Missing motion",IF(NOT(ISNUMBER($F969)),"Missing or invalid start date",IF(AND(ISNUMBER($G969),$G969&lt;$F969),"End date before start",IF(AND($N969=1,$AA969=0),"Outside planning year","OK"))))))))</f>
        <v>0</v>
      </c>
      <c r="N969">
        <f>IF(AND($B969&lt;&gt;"",$C969&lt;&gt;"",$D969&lt;&gt;"",ISNUMBER($F969),COUNTIF(PracticeNames,$C969)&gt;0,COUNTIF(MotionNames,$D969)&gt;0,NOT(AND(ISNUMBER($G969),$G969&lt;$F969))),IF(StatusFilter="All (excl. Cancelled)",IF($H969="Cancelled",0,1),IF(StatusFilter="All",1,IF($H969=StatusFilter,1,0))),0)</f>
        <v>0</v>
      </c>
      <c r="O969">
        <f>IF($N969=0,0,IF(AND($F969&lt;=EOMONTH(DATE(PlanYear,1,1),0),IF(ISNUMBER($G969),$G969,$F969)&gt;=DATE(PlanYear,1,1)),1,0))</f>
        <v>0</v>
      </c>
      <c r="P969">
        <f>IF($N969=0,0,IF(AND($F969&lt;=EOMONTH(DATE(PlanYear,2,1),0),IF(ISNUMBER($G969),$G969,$F969)&gt;=DATE(PlanYear,2,1)),1,0))</f>
        <v>0</v>
      </c>
      <c r="Q969">
        <f>IF($N969=0,0,IF(AND($F969&lt;=EOMONTH(DATE(PlanYear,3,1),0),IF(ISNUMBER($G969),$G969,$F969)&gt;=DATE(PlanYear,3,1)),1,0))</f>
        <v>0</v>
      </c>
      <c r="R969">
        <f>IF($N969=0,0,IF(AND($F969&lt;=EOMONTH(DATE(PlanYear,4,1),0),IF(ISNUMBER($G969),$G969,$F969)&gt;=DATE(PlanYear,4,1)),1,0))</f>
        <v>0</v>
      </c>
      <c r="S969">
        <f>IF($N969=0,0,IF(AND($F969&lt;=EOMONTH(DATE(PlanYear,5,1),0),IF(ISNUMBER($G969),$G969,$F969)&gt;=DATE(PlanYear,5,1)),1,0))</f>
        <v>0</v>
      </c>
      <c r="T969">
        <f>IF($N969=0,0,IF(AND($F969&lt;=EOMONTH(DATE(PlanYear,6,1),0),IF(ISNUMBER($G969),$G969,$F969)&gt;=DATE(PlanYear,6,1)),1,0))</f>
        <v>0</v>
      </c>
      <c r="U969">
        <f>IF($N969=0,0,IF(AND($F969&lt;=EOMONTH(DATE(PlanYear,7,1),0),IF(ISNUMBER($G969),$G969,$F969)&gt;=DATE(PlanYear,7,1)),1,0))</f>
        <v>0</v>
      </c>
      <c r="V969">
        <f>IF($N969=0,0,IF(AND($F969&lt;=EOMONTH(DATE(PlanYear,8,1),0),IF(ISNUMBER($G969),$G969,$F969)&gt;=DATE(PlanYear,8,1)),1,0))</f>
        <v>0</v>
      </c>
      <c r="W969">
        <f>IF($N969=0,0,IF(AND($F969&lt;=EOMONTH(DATE(PlanYear,9,1),0),IF(ISNUMBER($G969),$G969,$F969)&gt;=DATE(PlanYear,9,1)),1,0))</f>
        <v>0</v>
      </c>
      <c r="X969">
        <f>IF($N969=0,0,IF(AND($F969&lt;=EOMONTH(DATE(PlanYear,10,1),0),IF(ISNUMBER($G969),$G969,$F969)&gt;=DATE(PlanYear,10,1)),1,0))</f>
        <v>0</v>
      </c>
      <c r="Y969">
        <f>IF($N969=0,0,IF(AND($F969&lt;=EOMONTH(DATE(PlanYear,11,1),0),IF(ISNUMBER($G969),$G969,$F969)&gt;=DATE(PlanYear,11,1)),1,0))</f>
        <v>0</v>
      </c>
      <c r="Z969">
        <f>IF($N969=0,0,IF(AND($F969&lt;=EOMONTH(DATE(PlanYear,12,1),0),IF(ISNUMBER($G969),$G969,$F969)&gt;=DATE(PlanYear,12,1)),1,0))</f>
        <v>0</v>
      </c>
      <c r="AA969">
        <f>SUM($O969:$Z969)</f>
        <v>0</v>
      </c>
    </row>
    <row r="970" spans="1:27">
      <c r="A970" s="42">
        <f>IF($B970="","","ACT-"&amp;TEXT(ROW()-4,"000"))</f>
        <v>0</v>
      </c>
      <c r="M970" s="43">
        <f>IF(COUNTA($B970:$K970)=0,"",IF($B970="","Missing activity name",IF($C970="","Missing practice",IF(COUNTIF(PracticeNames,$C970)=0,"Practice not in Lists",IF($D970="","Missing motion",IF(NOT(ISNUMBER($F970)),"Missing or invalid start date",IF(AND(ISNUMBER($G970),$G970&lt;$F970),"End date before start",IF(AND($N970=1,$AA970=0),"Outside planning year","OK"))))))))</f>
        <v>0</v>
      </c>
      <c r="N970">
        <f>IF(AND($B970&lt;&gt;"",$C970&lt;&gt;"",$D970&lt;&gt;"",ISNUMBER($F970),COUNTIF(PracticeNames,$C970)&gt;0,COUNTIF(MotionNames,$D970)&gt;0,NOT(AND(ISNUMBER($G970),$G970&lt;$F970))),IF(StatusFilter="All (excl. Cancelled)",IF($H970="Cancelled",0,1),IF(StatusFilter="All",1,IF($H970=StatusFilter,1,0))),0)</f>
        <v>0</v>
      </c>
      <c r="O970">
        <f>IF($N970=0,0,IF(AND($F970&lt;=EOMONTH(DATE(PlanYear,1,1),0),IF(ISNUMBER($G970),$G970,$F970)&gt;=DATE(PlanYear,1,1)),1,0))</f>
        <v>0</v>
      </c>
      <c r="P970">
        <f>IF($N970=0,0,IF(AND($F970&lt;=EOMONTH(DATE(PlanYear,2,1),0),IF(ISNUMBER($G970),$G970,$F970)&gt;=DATE(PlanYear,2,1)),1,0))</f>
        <v>0</v>
      </c>
      <c r="Q970">
        <f>IF($N970=0,0,IF(AND($F970&lt;=EOMONTH(DATE(PlanYear,3,1),0),IF(ISNUMBER($G970),$G970,$F970)&gt;=DATE(PlanYear,3,1)),1,0))</f>
        <v>0</v>
      </c>
      <c r="R970">
        <f>IF($N970=0,0,IF(AND($F970&lt;=EOMONTH(DATE(PlanYear,4,1),0),IF(ISNUMBER($G970),$G970,$F970)&gt;=DATE(PlanYear,4,1)),1,0))</f>
        <v>0</v>
      </c>
      <c r="S970">
        <f>IF($N970=0,0,IF(AND($F970&lt;=EOMONTH(DATE(PlanYear,5,1),0),IF(ISNUMBER($G970),$G970,$F970)&gt;=DATE(PlanYear,5,1)),1,0))</f>
        <v>0</v>
      </c>
      <c r="T970">
        <f>IF($N970=0,0,IF(AND($F970&lt;=EOMONTH(DATE(PlanYear,6,1),0),IF(ISNUMBER($G970),$G970,$F970)&gt;=DATE(PlanYear,6,1)),1,0))</f>
        <v>0</v>
      </c>
      <c r="U970">
        <f>IF($N970=0,0,IF(AND($F970&lt;=EOMONTH(DATE(PlanYear,7,1),0),IF(ISNUMBER($G970),$G970,$F970)&gt;=DATE(PlanYear,7,1)),1,0))</f>
        <v>0</v>
      </c>
      <c r="V970">
        <f>IF($N970=0,0,IF(AND($F970&lt;=EOMONTH(DATE(PlanYear,8,1),0),IF(ISNUMBER($G970),$G970,$F970)&gt;=DATE(PlanYear,8,1)),1,0))</f>
        <v>0</v>
      </c>
      <c r="W970">
        <f>IF($N970=0,0,IF(AND($F970&lt;=EOMONTH(DATE(PlanYear,9,1),0),IF(ISNUMBER($G970),$G970,$F970)&gt;=DATE(PlanYear,9,1)),1,0))</f>
        <v>0</v>
      </c>
      <c r="X970">
        <f>IF($N970=0,0,IF(AND($F970&lt;=EOMONTH(DATE(PlanYear,10,1),0),IF(ISNUMBER($G970),$G970,$F970)&gt;=DATE(PlanYear,10,1)),1,0))</f>
        <v>0</v>
      </c>
      <c r="Y970">
        <f>IF($N970=0,0,IF(AND($F970&lt;=EOMONTH(DATE(PlanYear,11,1),0),IF(ISNUMBER($G970),$G970,$F970)&gt;=DATE(PlanYear,11,1)),1,0))</f>
        <v>0</v>
      </c>
      <c r="Z970">
        <f>IF($N970=0,0,IF(AND($F970&lt;=EOMONTH(DATE(PlanYear,12,1),0),IF(ISNUMBER($G970),$G970,$F970)&gt;=DATE(PlanYear,12,1)),1,0))</f>
        <v>0</v>
      </c>
      <c r="AA970">
        <f>SUM($O970:$Z970)</f>
        <v>0</v>
      </c>
    </row>
    <row r="971" spans="1:27">
      <c r="A971" s="42">
        <f>IF($B971="","","ACT-"&amp;TEXT(ROW()-4,"000"))</f>
        <v>0</v>
      </c>
      <c r="M971" s="43">
        <f>IF(COUNTA($B971:$K971)=0,"",IF($B971="","Missing activity name",IF($C971="","Missing practice",IF(COUNTIF(PracticeNames,$C971)=0,"Practice not in Lists",IF($D971="","Missing motion",IF(NOT(ISNUMBER($F971)),"Missing or invalid start date",IF(AND(ISNUMBER($G971),$G971&lt;$F971),"End date before start",IF(AND($N971=1,$AA971=0),"Outside planning year","OK"))))))))</f>
        <v>0</v>
      </c>
      <c r="N971">
        <f>IF(AND($B971&lt;&gt;"",$C971&lt;&gt;"",$D971&lt;&gt;"",ISNUMBER($F971),COUNTIF(PracticeNames,$C971)&gt;0,COUNTIF(MotionNames,$D971)&gt;0,NOT(AND(ISNUMBER($G971),$G971&lt;$F971))),IF(StatusFilter="All (excl. Cancelled)",IF($H971="Cancelled",0,1),IF(StatusFilter="All",1,IF($H971=StatusFilter,1,0))),0)</f>
        <v>0</v>
      </c>
      <c r="O971">
        <f>IF($N971=0,0,IF(AND($F971&lt;=EOMONTH(DATE(PlanYear,1,1),0),IF(ISNUMBER($G971),$G971,$F971)&gt;=DATE(PlanYear,1,1)),1,0))</f>
        <v>0</v>
      </c>
      <c r="P971">
        <f>IF($N971=0,0,IF(AND($F971&lt;=EOMONTH(DATE(PlanYear,2,1),0),IF(ISNUMBER($G971),$G971,$F971)&gt;=DATE(PlanYear,2,1)),1,0))</f>
        <v>0</v>
      </c>
      <c r="Q971">
        <f>IF($N971=0,0,IF(AND($F971&lt;=EOMONTH(DATE(PlanYear,3,1),0),IF(ISNUMBER($G971),$G971,$F971)&gt;=DATE(PlanYear,3,1)),1,0))</f>
        <v>0</v>
      </c>
      <c r="R971">
        <f>IF($N971=0,0,IF(AND($F971&lt;=EOMONTH(DATE(PlanYear,4,1),0),IF(ISNUMBER($G971),$G971,$F971)&gt;=DATE(PlanYear,4,1)),1,0))</f>
        <v>0</v>
      </c>
      <c r="S971">
        <f>IF($N971=0,0,IF(AND($F971&lt;=EOMONTH(DATE(PlanYear,5,1),0),IF(ISNUMBER($G971),$G971,$F971)&gt;=DATE(PlanYear,5,1)),1,0))</f>
        <v>0</v>
      </c>
      <c r="T971">
        <f>IF($N971=0,0,IF(AND($F971&lt;=EOMONTH(DATE(PlanYear,6,1),0),IF(ISNUMBER($G971),$G971,$F971)&gt;=DATE(PlanYear,6,1)),1,0))</f>
        <v>0</v>
      </c>
      <c r="U971">
        <f>IF($N971=0,0,IF(AND($F971&lt;=EOMONTH(DATE(PlanYear,7,1),0),IF(ISNUMBER($G971),$G971,$F971)&gt;=DATE(PlanYear,7,1)),1,0))</f>
        <v>0</v>
      </c>
      <c r="V971">
        <f>IF($N971=0,0,IF(AND($F971&lt;=EOMONTH(DATE(PlanYear,8,1),0),IF(ISNUMBER($G971),$G971,$F971)&gt;=DATE(PlanYear,8,1)),1,0))</f>
        <v>0</v>
      </c>
      <c r="W971">
        <f>IF($N971=0,0,IF(AND($F971&lt;=EOMONTH(DATE(PlanYear,9,1),0),IF(ISNUMBER($G971),$G971,$F971)&gt;=DATE(PlanYear,9,1)),1,0))</f>
        <v>0</v>
      </c>
      <c r="X971">
        <f>IF($N971=0,0,IF(AND($F971&lt;=EOMONTH(DATE(PlanYear,10,1),0),IF(ISNUMBER($G971),$G971,$F971)&gt;=DATE(PlanYear,10,1)),1,0))</f>
        <v>0</v>
      </c>
      <c r="Y971">
        <f>IF($N971=0,0,IF(AND($F971&lt;=EOMONTH(DATE(PlanYear,11,1),0),IF(ISNUMBER($G971),$G971,$F971)&gt;=DATE(PlanYear,11,1)),1,0))</f>
        <v>0</v>
      </c>
      <c r="Z971">
        <f>IF($N971=0,0,IF(AND($F971&lt;=EOMONTH(DATE(PlanYear,12,1),0),IF(ISNUMBER($G971),$G971,$F971)&gt;=DATE(PlanYear,12,1)),1,0))</f>
        <v>0</v>
      </c>
      <c r="AA971">
        <f>SUM($O971:$Z971)</f>
        <v>0</v>
      </c>
    </row>
    <row r="972" spans="1:27">
      <c r="A972" s="42">
        <f>IF($B972="","","ACT-"&amp;TEXT(ROW()-4,"000"))</f>
        <v>0</v>
      </c>
      <c r="M972" s="43">
        <f>IF(COUNTA($B972:$K972)=0,"",IF($B972="","Missing activity name",IF($C972="","Missing practice",IF(COUNTIF(PracticeNames,$C972)=0,"Practice not in Lists",IF($D972="","Missing motion",IF(NOT(ISNUMBER($F972)),"Missing or invalid start date",IF(AND(ISNUMBER($G972),$G972&lt;$F972),"End date before start",IF(AND($N972=1,$AA972=0),"Outside planning year","OK"))))))))</f>
        <v>0</v>
      </c>
      <c r="N972">
        <f>IF(AND($B972&lt;&gt;"",$C972&lt;&gt;"",$D972&lt;&gt;"",ISNUMBER($F972),COUNTIF(PracticeNames,$C972)&gt;0,COUNTIF(MotionNames,$D972)&gt;0,NOT(AND(ISNUMBER($G972),$G972&lt;$F972))),IF(StatusFilter="All (excl. Cancelled)",IF($H972="Cancelled",0,1),IF(StatusFilter="All",1,IF($H972=StatusFilter,1,0))),0)</f>
        <v>0</v>
      </c>
      <c r="O972">
        <f>IF($N972=0,0,IF(AND($F972&lt;=EOMONTH(DATE(PlanYear,1,1),0),IF(ISNUMBER($G972),$G972,$F972)&gt;=DATE(PlanYear,1,1)),1,0))</f>
        <v>0</v>
      </c>
      <c r="P972">
        <f>IF($N972=0,0,IF(AND($F972&lt;=EOMONTH(DATE(PlanYear,2,1),0),IF(ISNUMBER($G972),$G972,$F972)&gt;=DATE(PlanYear,2,1)),1,0))</f>
        <v>0</v>
      </c>
      <c r="Q972">
        <f>IF($N972=0,0,IF(AND($F972&lt;=EOMONTH(DATE(PlanYear,3,1),0),IF(ISNUMBER($G972),$G972,$F972)&gt;=DATE(PlanYear,3,1)),1,0))</f>
        <v>0</v>
      </c>
      <c r="R972">
        <f>IF($N972=0,0,IF(AND($F972&lt;=EOMONTH(DATE(PlanYear,4,1),0),IF(ISNUMBER($G972),$G972,$F972)&gt;=DATE(PlanYear,4,1)),1,0))</f>
        <v>0</v>
      </c>
      <c r="S972">
        <f>IF($N972=0,0,IF(AND($F972&lt;=EOMONTH(DATE(PlanYear,5,1),0),IF(ISNUMBER($G972),$G972,$F972)&gt;=DATE(PlanYear,5,1)),1,0))</f>
        <v>0</v>
      </c>
      <c r="T972">
        <f>IF($N972=0,0,IF(AND($F972&lt;=EOMONTH(DATE(PlanYear,6,1),0),IF(ISNUMBER($G972),$G972,$F972)&gt;=DATE(PlanYear,6,1)),1,0))</f>
        <v>0</v>
      </c>
      <c r="U972">
        <f>IF($N972=0,0,IF(AND($F972&lt;=EOMONTH(DATE(PlanYear,7,1),0),IF(ISNUMBER($G972),$G972,$F972)&gt;=DATE(PlanYear,7,1)),1,0))</f>
        <v>0</v>
      </c>
      <c r="V972">
        <f>IF($N972=0,0,IF(AND($F972&lt;=EOMONTH(DATE(PlanYear,8,1),0),IF(ISNUMBER($G972),$G972,$F972)&gt;=DATE(PlanYear,8,1)),1,0))</f>
        <v>0</v>
      </c>
      <c r="W972">
        <f>IF($N972=0,0,IF(AND($F972&lt;=EOMONTH(DATE(PlanYear,9,1),0),IF(ISNUMBER($G972),$G972,$F972)&gt;=DATE(PlanYear,9,1)),1,0))</f>
        <v>0</v>
      </c>
      <c r="X972">
        <f>IF($N972=0,0,IF(AND($F972&lt;=EOMONTH(DATE(PlanYear,10,1),0),IF(ISNUMBER($G972),$G972,$F972)&gt;=DATE(PlanYear,10,1)),1,0))</f>
        <v>0</v>
      </c>
      <c r="Y972">
        <f>IF($N972=0,0,IF(AND($F972&lt;=EOMONTH(DATE(PlanYear,11,1),0),IF(ISNUMBER($G972),$G972,$F972)&gt;=DATE(PlanYear,11,1)),1,0))</f>
        <v>0</v>
      </c>
      <c r="Z972">
        <f>IF($N972=0,0,IF(AND($F972&lt;=EOMONTH(DATE(PlanYear,12,1),0),IF(ISNUMBER($G972),$G972,$F972)&gt;=DATE(PlanYear,12,1)),1,0))</f>
        <v>0</v>
      </c>
      <c r="AA972">
        <f>SUM($O972:$Z972)</f>
        <v>0</v>
      </c>
    </row>
    <row r="973" spans="1:27">
      <c r="A973" s="42">
        <f>IF($B973="","","ACT-"&amp;TEXT(ROW()-4,"000"))</f>
        <v>0</v>
      </c>
      <c r="M973" s="43">
        <f>IF(COUNTA($B973:$K973)=0,"",IF($B973="","Missing activity name",IF($C973="","Missing practice",IF(COUNTIF(PracticeNames,$C973)=0,"Practice not in Lists",IF($D973="","Missing motion",IF(NOT(ISNUMBER($F973)),"Missing or invalid start date",IF(AND(ISNUMBER($G973),$G973&lt;$F973),"End date before start",IF(AND($N973=1,$AA973=0),"Outside planning year","OK"))))))))</f>
        <v>0</v>
      </c>
      <c r="N973">
        <f>IF(AND($B973&lt;&gt;"",$C973&lt;&gt;"",$D973&lt;&gt;"",ISNUMBER($F973),COUNTIF(PracticeNames,$C973)&gt;0,COUNTIF(MotionNames,$D973)&gt;0,NOT(AND(ISNUMBER($G973),$G973&lt;$F973))),IF(StatusFilter="All (excl. Cancelled)",IF($H973="Cancelled",0,1),IF(StatusFilter="All",1,IF($H973=StatusFilter,1,0))),0)</f>
        <v>0</v>
      </c>
      <c r="O973">
        <f>IF($N973=0,0,IF(AND($F973&lt;=EOMONTH(DATE(PlanYear,1,1),0),IF(ISNUMBER($G973),$G973,$F973)&gt;=DATE(PlanYear,1,1)),1,0))</f>
        <v>0</v>
      </c>
      <c r="P973">
        <f>IF($N973=0,0,IF(AND($F973&lt;=EOMONTH(DATE(PlanYear,2,1),0),IF(ISNUMBER($G973),$G973,$F973)&gt;=DATE(PlanYear,2,1)),1,0))</f>
        <v>0</v>
      </c>
      <c r="Q973">
        <f>IF($N973=0,0,IF(AND($F973&lt;=EOMONTH(DATE(PlanYear,3,1),0),IF(ISNUMBER($G973),$G973,$F973)&gt;=DATE(PlanYear,3,1)),1,0))</f>
        <v>0</v>
      </c>
      <c r="R973">
        <f>IF($N973=0,0,IF(AND($F973&lt;=EOMONTH(DATE(PlanYear,4,1),0),IF(ISNUMBER($G973),$G973,$F973)&gt;=DATE(PlanYear,4,1)),1,0))</f>
        <v>0</v>
      </c>
      <c r="S973">
        <f>IF($N973=0,0,IF(AND($F973&lt;=EOMONTH(DATE(PlanYear,5,1),0),IF(ISNUMBER($G973),$G973,$F973)&gt;=DATE(PlanYear,5,1)),1,0))</f>
        <v>0</v>
      </c>
      <c r="T973">
        <f>IF($N973=0,0,IF(AND($F973&lt;=EOMONTH(DATE(PlanYear,6,1),0),IF(ISNUMBER($G973),$G973,$F973)&gt;=DATE(PlanYear,6,1)),1,0))</f>
        <v>0</v>
      </c>
      <c r="U973">
        <f>IF($N973=0,0,IF(AND($F973&lt;=EOMONTH(DATE(PlanYear,7,1),0),IF(ISNUMBER($G973),$G973,$F973)&gt;=DATE(PlanYear,7,1)),1,0))</f>
        <v>0</v>
      </c>
      <c r="V973">
        <f>IF($N973=0,0,IF(AND($F973&lt;=EOMONTH(DATE(PlanYear,8,1),0),IF(ISNUMBER($G973),$G973,$F973)&gt;=DATE(PlanYear,8,1)),1,0))</f>
        <v>0</v>
      </c>
      <c r="W973">
        <f>IF($N973=0,0,IF(AND($F973&lt;=EOMONTH(DATE(PlanYear,9,1),0),IF(ISNUMBER($G973),$G973,$F973)&gt;=DATE(PlanYear,9,1)),1,0))</f>
        <v>0</v>
      </c>
      <c r="X973">
        <f>IF($N973=0,0,IF(AND($F973&lt;=EOMONTH(DATE(PlanYear,10,1),0),IF(ISNUMBER($G973),$G973,$F973)&gt;=DATE(PlanYear,10,1)),1,0))</f>
        <v>0</v>
      </c>
      <c r="Y973">
        <f>IF($N973=0,0,IF(AND($F973&lt;=EOMONTH(DATE(PlanYear,11,1),0),IF(ISNUMBER($G973),$G973,$F973)&gt;=DATE(PlanYear,11,1)),1,0))</f>
        <v>0</v>
      </c>
      <c r="Z973">
        <f>IF($N973=0,0,IF(AND($F973&lt;=EOMONTH(DATE(PlanYear,12,1),0),IF(ISNUMBER($G973),$G973,$F973)&gt;=DATE(PlanYear,12,1)),1,0))</f>
        <v>0</v>
      </c>
      <c r="AA973">
        <f>SUM($O973:$Z973)</f>
        <v>0</v>
      </c>
    </row>
    <row r="974" spans="1:27">
      <c r="A974" s="42">
        <f>IF($B974="","","ACT-"&amp;TEXT(ROW()-4,"000"))</f>
        <v>0</v>
      </c>
      <c r="M974" s="43">
        <f>IF(COUNTA($B974:$K974)=0,"",IF($B974="","Missing activity name",IF($C974="","Missing practice",IF(COUNTIF(PracticeNames,$C974)=0,"Practice not in Lists",IF($D974="","Missing motion",IF(NOT(ISNUMBER($F974)),"Missing or invalid start date",IF(AND(ISNUMBER($G974),$G974&lt;$F974),"End date before start",IF(AND($N974=1,$AA974=0),"Outside planning year","OK"))))))))</f>
        <v>0</v>
      </c>
      <c r="N974">
        <f>IF(AND($B974&lt;&gt;"",$C974&lt;&gt;"",$D974&lt;&gt;"",ISNUMBER($F974),COUNTIF(PracticeNames,$C974)&gt;0,COUNTIF(MotionNames,$D974)&gt;0,NOT(AND(ISNUMBER($G974),$G974&lt;$F974))),IF(StatusFilter="All (excl. Cancelled)",IF($H974="Cancelled",0,1),IF(StatusFilter="All",1,IF($H974=StatusFilter,1,0))),0)</f>
        <v>0</v>
      </c>
      <c r="O974">
        <f>IF($N974=0,0,IF(AND($F974&lt;=EOMONTH(DATE(PlanYear,1,1),0),IF(ISNUMBER($G974),$G974,$F974)&gt;=DATE(PlanYear,1,1)),1,0))</f>
        <v>0</v>
      </c>
      <c r="P974">
        <f>IF($N974=0,0,IF(AND($F974&lt;=EOMONTH(DATE(PlanYear,2,1),0),IF(ISNUMBER($G974),$G974,$F974)&gt;=DATE(PlanYear,2,1)),1,0))</f>
        <v>0</v>
      </c>
      <c r="Q974">
        <f>IF($N974=0,0,IF(AND($F974&lt;=EOMONTH(DATE(PlanYear,3,1),0),IF(ISNUMBER($G974),$G974,$F974)&gt;=DATE(PlanYear,3,1)),1,0))</f>
        <v>0</v>
      </c>
      <c r="R974">
        <f>IF($N974=0,0,IF(AND($F974&lt;=EOMONTH(DATE(PlanYear,4,1),0),IF(ISNUMBER($G974),$G974,$F974)&gt;=DATE(PlanYear,4,1)),1,0))</f>
        <v>0</v>
      </c>
      <c r="S974">
        <f>IF($N974=0,0,IF(AND($F974&lt;=EOMONTH(DATE(PlanYear,5,1),0),IF(ISNUMBER($G974),$G974,$F974)&gt;=DATE(PlanYear,5,1)),1,0))</f>
        <v>0</v>
      </c>
      <c r="T974">
        <f>IF($N974=0,0,IF(AND($F974&lt;=EOMONTH(DATE(PlanYear,6,1),0),IF(ISNUMBER($G974),$G974,$F974)&gt;=DATE(PlanYear,6,1)),1,0))</f>
        <v>0</v>
      </c>
      <c r="U974">
        <f>IF($N974=0,0,IF(AND($F974&lt;=EOMONTH(DATE(PlanYear,7,1),0),IF(ISNUMBER($G974),$G974,$F974)&gt;=DATE(PlanYear,7,1)),1,0))</f>
        <v>0</v>
      </c>
      <c r="V974">
        <f>IF($N974=0,0,IF(AND($F974&lt;=EOMONTH(DATE(PlanYear,8,1),0),IF(ISNUMBER($G974),$G974,$F974)&gt;=DATE(PlanYear,8,1)),1,0))</f>
        <v>0</v>
      </c>
      <c r="W974">
        <f>IF($N974=0,0,IF(AND($F974&lt;=EOMONTH(DATE(PlanYear,9,1),0),IF(ISNUMBER($G974),$G974,$F974)&gt;=DATE(PlanYear,9,1)),1,0))</f>
        <v>0</v>
      </c>
      <c r="X974">
        <f>IF($N974=0,0,IF(AND($F974&lt;=EOMONTH(DATE(PlanYear,10,1),0),IF(ISNUMBER($G974),$G974,$F974)&gt;=DATE(PlanYear,10,1)),1,0))</f>
        <v>0</v>
      </c>
      <c r="Y974">
        <f>IF($N974=0,0,IF(AND($F974&lt;=EOMONTH(DATE(PlanYear,11,1),0),IF(ISNUMBER($G974),$G974,$F974)&gt;=DATE(PlanYear,11,1)),1,0))</f>
        <v>0</v>
      </c>
      <c r="Z974">
        <f>IF($N974=0,0,IF(AND($F974&lt;=EOMONTH(DATE(PlanYear,12,1),0),IF(ISNUMBER($G974),$G974,$F974)&gt;=DATE(PlanYear,12,1)),1,0))</f>
        <v>0</v>
      </c>
      <c r="AA974">
        <f>SUM($O974:$Z974)</f>
        <v>0</v>
      </c>
    </row>
    <row r="975" spans="1:27">
      <c r="A975" s="42">
        <f>IF($B975="","","ACT-"&amp;TEXT(ROW()-4,"000"))</f>
        <v>0</v>
      </c>
      <c r="M975" s="43">
        <f>IF(COUNTA($B975:$K975)=0,"",IF($B975="","Missing activity name",IF($C975="","Missing practice",IF(COUNTIF(PracticeNames,$C975)=0,"Practice not in Lists",IF($D975="","Missing motion",IF(NOT(ISNUMBER($F975)),"Missing or invalid start date",IF(AND(ISNUMBER($G975),$G975&lt;$F975),"End date before start",IF(AND($N975=1,$AA975=0),"Outside planning year","OK"))))))))</f>
        <v>0</v>
      </c>
      <c r="N975">
        <f>IF(AND($B975&lt;&gt;"",$C975&lt;&gt;"",$D975&lt;&gt;"",ISNUMBER($F975),COUNTIF(PracticeNames,$C975)&gt;0,COUNTIF(MotionNames,$D975)&gt;0,NOT(AND(ISNUMBER($G975),$G975&lt;$F975))),IF(StatusFilter="All (excl. Cancelled)",IF($H975="Cancelled",0,1),IF(StatusFilter="All",1,IF($H975=StatusFilter,1,0))),0)</f>
        <v>0</v>
      </c>
      <c r="O975">
        <f>IF($N975=0,0,IF(AND($F975&lt;=EOMONTH(DATE(PlanYear,1,1),0),IF(ISNUMBER($G975),$G975,$F975)&gt;=DATE(PlanYear,1,1)),1,0))</f>
        <v>0</v>
      </c>
      <c r="P975">
        <f>IF($N975=0,0,IF(AND($F975&lt;=EOMONTH(DATE(PlanYear,2,1),0),IF(ISNUMBER($G975),$G975,$F975)&gt;=DATE(PlanYear,2,1)),1,0))</f>
        <v>0</v>
      </c>
      <c r="Q975">
        <f>IF($N975=0,0,IF(AND($F975&lt;=EOMONTH(DATE(PlanYear,3,1),0),IF(ISNUMBER($G975),$G975,$F975)&gt;=DATE(PlanYear,3,1)),1,0))</f>
        <v>0</v>
      </c>
      <c r="R975">
        <f>IF($N975=0,0,IF(AND($F975&lt;=EOMONTH(DATE(PlanYear,4,1),0),IF(ISNUMBER($G975),$G975,$F975)&gt;=DATE(PlanYear,4,1)),1,0))</f>
        <v>0</v>
      </c>
      <c r="S975">
        <f>IF($N975=0,0,IF(AND($F975&lt;=EOMONTH(DATE(PlanYear,5,1),0),IF(ISNUMBER($G975),$G975,$F975)&gt;=DATE(PlanYear,5,1)),1,0))</f>
        <v>0</v>
      </c>
      <c r="T975">
        <f>IF($N975=0,0,IF(AND($F975&lt;=EOMONTH(DATE(PlanYear,6,1),0),IF(ISNUMBER($G975),$G975,$F975)&gt;=DATE(PlanYear,6,1)),1,0))</f>
        <v>0</v>
      </c>
      <c r="U975">
        <f>IF($N975=0,0,IF(AND($F975&lt;=EOMONTH(DATE(PlanYear,7,1),0),IF(ISNUMBER($G975),$G975,$F975)&gt;=DATE(PlanYear,7,1)),1,0))</f>
        <v>0</v>
      </c>
      <c r="V975">
        <f>IF($N975=0,0,IF(AND($F975&lt;=EOMONTH(DATE(PlanYear,8,1),0),IF(ISNUMBER($G975),$G975,$F975)&gt;=DATE(PlanYear,8,1)),1,0))</f>
        <v>0</v>
      </c>
      <c r="W975">
        <f>IF($N975=0,0,IF(AND($F975&lt;=EOMONTH(DATE(PlanYear,9,1),0),IF(ISNUMBER($G975),$G975,$F975)&gt;=DATE(PlanYear,9,1)),1,0))</f>
        <v>0</v>
      </c>
      <c r="X975">
        <f>IF($N975=0,0,IF(AND($F975&lt;=EOMONTH(DATE(PlanYear,10,1),0),IF(ISNUMBER($G975),$G975,$F975)&gt;=DATE(PlanYear,10,1)),1,0))</f>
        <v>0</v>
      </c>
      <c r="Y975">
        <f>IF($N975=0,0,IF(AND($F975&lt;=EOMONTH(DATE(PlanYear,11,1),0),IF(ISNUMBER($G975),$G975,$F975)&gt;=DATE(PlanYear,11,1)),1,0))</f>
        <v>0</v>
      </c>
      <c r="Z975">
        <f>IF($N975=0,0,IF(AND($F975&lt;=EOMONTH(DATE(PlanYear,12,1),0),IF(ISNUMBER($G975),$G975,$F975)&gt;=DATE(PlanYear,12,1)),1,0))</f>
        <v>0</v>
      </c>
      <c r="AA975">
        <f>SUM($O975:$Z975)</f>
        <v>0</v>
      </c>
    </row>
    <row r="976" spans="1:27">
      <c r="A976" s="42">
        <f>IF($B976="","","ACT-"&amp;TEXT(ROW()-4,"000"))</f>
        <v>0</v>
      </c>
      <c r="M976" s="43">
        <f>IF(COUNTA($B976:$K976)=0,"",IF($B976="","Missing activity name",IF($C976="","Missing practice",IF(COUNTIF(PracticeNames,$C976)=0,"Practice not in Lists",IF($D976="","Missing motion",IF(NOT(ISNUMBER($F976)),"Missing or invalid start date",IF(AND(ISNUMBER($G976),$G976&lt;$F976),"End date before start",IF(AND($N976=1,$AA976=0),"Outside planning year","OK"))))))))</f>
        <v>0</v>
      </c>
      <c r="N976">
        <f>IF(AND($B976&lt;&gt;"",$C976&lt;&gt;"",$D976&lt;&gt;"",ISNUMBER($F976),COUNTIF(PracticeNames,$C976)&gt;0,COUNTIF(MotionNames,$D976)&gt;0,NOT(AND(ISNUMBER($G976),$G976&lt;$F976))),IF(StatusFilter="All (excl. Cancelled)",IF($H976="Cancelled",0,1),IF(StatusFilter="All",1,IF($H976=StatusFilter,1,0))),0)</f>
        <v>0</v>
      </c>
      <c r="O976">
        <f>IF($N976=0,0,IF(AND($F976&lt;=EOMONTH(DATE(PlanYear,1,1),0),IF(ISNUMBER($G976),$G976,$F976)&gt;=DATE(PlanYear,1,1)),1,0))</f>
        <v>0</v>
      </c>
      <c r="P976">
        <f>IF($N976=0,0,IF(AND($F976&lt;=EOMONTH(DATE(PlanYear,2,1),0),IF(ISNUMBER($G976),$G976,$F976)&gt;=DATE(PlanYear,2,1)),1,0))</f>
        <v>0</v>
      </c>
      <c r="Q976">
        <f>IF($N976=0,0,IF(AND($F976&lt;=EOMONTH(DATE(PlanYear,3,1),0),IF(ISNUMBER($G976),$G976,$F976)&gt;=DATE(PlanYear,3,1)),1,0))</f>
        <v>0</v>
      </c>
      <c r="R976">
        <f>IF($N976=0,0,IF(AND($F976&lt;=EOMONTH(DATE(PlanYear,4,1),0),IF(ISNUMBER($G976),$G976,$F976)&gt;=DATE(PlanYear,4,1)),1,0))</f>
        <v>0</v>
      </c>
      <c r="S976">
        <f>IF($N976=0,0,IF(AND($F976&lt;=EOMONTH(DATE(PlanYear,5,1),0),IF(ISNUMBER($G976),$G976,$F976)&gt;=DATE(PlanYear,5,1)),1,0))</f>
        <v>0</v>
      </c>
      <c r="T976">
        <f>IF($N976=0,0,IF(AND($F976&lt;=EOMONTH(DATE(PlanYear,6,1),0),IF(ISNUMBER($G976),$G976,$F976)&gt;=DATE(PlanYear,6,1)),1,0))</f>
        <v>0</v>
      </c>
      <c r="U976">
        <f>IF($N976=0,0,IF(AND($F976&lt;=EOMONTH(DATE(PlanYear,7,1),0),IF(ISNUMBER($G976),$G976,$F976)&gt;=DATE(PlanYear,7,1)),1,0))</f>
        <v>0</v>
      </c>
      <c r="V976">
        <f>IF($N976=0,0,IF(AND($F976&lt;=EOMONTH(DATE(PlanYear,8,1),0),IF(ISNUMBER($G976),$G976,$F976)&gt;=DATE(PlanYear,8,1)),1,0))</f>
        <v>0</v>
      </c>
      <c r="W976">
        <f>IF($N976=0,0,IF(AND($F976&lt;=EOMONTH(DATE(PlanYear,9,1),0),IF(ISNUMBER($G976),$G976,$F976)&gt;=DATE(PlanYear,9,1)),1,0))</f>
        <v>0</v>
      </c>
      <c r="X976">
        <f>IF($N976=0,0,IF(AND($F976&lt;=EOMONTH(DATE(PlanYear,10,1),0),IF(ISNUMBER($G976),$G976,$F976)&gt;=DATE(PlanYear,10,1)),1,0))</f>
        <v>0</v>
      </c>
      <c r="Y976">
        <f>IF($N976=0,0,IF(AND($F976&lt;=EOMONTH(DATE(PlanYear,11,1),0),IF(ISNUMBER($G976),$G976,$F976)&gt;=DATE(PlanYear,11,1)),1,0))</f>
        <v>0</v>
      </c>
      <c r="Z976">
        <f>IF($N976=0,0,IF(AND($F976&lt;=EOMONTH(DATE(PlanYear,12,1),0),IF(ISNUMBER($G976),$G976,$F976)&gt;=DATE(PlanYear,12,1)),1,0))</f>
        <v>0</v>
      </c>
      <c r="AA976">
        <f>SUM($O976:$Z976)</f>
        <v>0</v>
      </c>
    </row>
    <row r="977" spans="1:27">
      <c r="A977" s="42">
        <f>IF($B977="","","ACT-"&amp;TEXT(ROW()-4,"000"))</f>
        <v>0</v>
      </c>
      <c r="M977" s="43">
        <f>IF(COUNTA($B977:$K977)=0,"",IF($B977="","Missing activity name",IF($C977="","Missing practice",IF(COUNTIF(PracticeNames,$C977)=0,"Practice not in Lists",IF($D977="","Missing motion",IF(NOT(ISNUMBER($F977)),"Missing or invalid start date",IF(AND(ISNUMBER($G977),$G977&lt;$F977),"End date before start",IF(AND($N977=1,$AA977=0),"Outside planning year","OK"))))))))</f>
        <v>0</v>
      </c>
      <c r="N977">
        <f>IF(AND($B977&lt;&gt;"",$C977&lt;&gt;"",$D977&lt;&gt;"",ISNUMBER($F977),COUNTIF(PracticeNames,$C977)&gt;0,COUNTIF(MotionNames,$D977)&gt;0,NOT(AND(ISNUMBER($G977),$G977&lt;$F977))),IF(StatusFilter="All (excl. Cancelled)",IF($H977="Cancelled",0,1),IF(StatusFilter="All",1,IF($H977=StatusFilter,1,0))),0)</f>
        <v>0</v>
      </c>
      <c r="O977">
        <f>IF($N977=0,0,IF(AND($F977&lt;=EOMONTH(DATE(PlanYear,1,1),0),IF(ISNUMBER($G977),$G977,$F977)&gt;=DATE(PlanYear,1,1)),1,0))</f>
        <v>0</v>
      </c>
      <c r="P977">
        <f>IF($N977=0,0,IF(AND($F977&lt;=EOMONTH(DATE(PlanYear,2,1),0),IF(ISNUMBER($G977),$G977,$F977)&gt;=DATE(PlanYear,2,1)),1,0))</f>
        <v>0</v>
      </c>
      <c r="Q977">
        <f>IF($N977=0,0,IF(AND($F977&lt;=EOMONTH(DATE(PlanYear,3,1),0),IF(ISNUMBER($G977),$G977,$F977)&gt;=DATE(PlanYear,3,1)),1,0))</f>
        <v>0</v>
      </c>
      <c r="R977">
        <f>IF($N977=0,0,IF(AND($F977&lt;=EOMONTH(DATE(PlanYear,4,1),0),IF(ISNUMBER($G977),$G977,$F977)&gt;=DATE(PlanYear,4,1)),1,0))</f>
        <v>0</v>
      </c>
      <c r="S977">
        <f>IF($N977=0,0,IF(AND($F977&lt;=EOMONTH(DATE(PlanYear,5,1),0),IF(ISNUMBER($G977),$G977,$F977)&gt;=DATE(PlanYear,5,1)),1,0))</f>
        <v>0</v>
      </c>
      <c r="T977">
        <f>IF($N977=0,0,IF(AND($F977&lt;=EOMONTH(DATE(PlanYear,6,1),0),IF(ISNUMBER($G977),$G977,$F977)&gt;=DATE(PlanYear,6,1)),1,0))</f>
        <v>0</v>
      </c>
      <c r="U977">
        <f>IF($N977=0,0,IF(AND($F977&lt;=EOMONTH(DATE(PlanYear,7,1),0),IF(ISNUMBER($G977),$G977,$F977)&gt;=DATE(PlanYear,7,1)),1,0))</f>
        <v>0</v>
      </c>
      <c r="V977">
        <f>IF($N977=0,0,IF(AND($F977&lt;=EOMONTH(DATE(PlanYear,8,1),0),IF(ISNUMBER($G977),$G977,$F977)&gt;=DATE(PlanYear,8,1)),1,0))</f>
        <v>0</v>
      </c>
      <c r="W977">
        <f>IF($N977=0,0,IF(AND($F977&lt;=EOMONTH(DATE(PlanYear,9,1),0),IF(ISNUMBER($G977),$G977,$F977)&gt;=DATE(PlanYear,9,1)),1,0))</f>
        <v>0</v>
      </c>
      <c r="X977">
        <f>IF($N977=0,0,IF(AND($F977&lt;=EOMONTH(DATE(PlanYear,10,1),0),IF(ISNUMBER($G977),$G977,$F977)&gt;=DATE(PlanYear,10,1)),1,0))</f>
        <v>0</v>
      </c>
      <c r="Y977">
        <f>IF($N977=0,0,IF(AND($F977&lt;=EOMONTH(DATE(PlanYear,11,1),0),IF(ISNUMBER($G977),$G977,$F977)&gt;=DATE(PlanYear,11,1)),1,0))</f>
        <v>0</v>
      </c>
      <c r="Z977">
        <f>IF($N977=0,0,IF(AND($F977&lt;=EOMONTH(DATE(PlanYear,12,1),0),IF(ISNUMBER($G977),$G977,$F977)&gt;=DATE(PlanYear,12,1)),1,0))</f>
        <v>0</v>
      </c>
      <c r="AA977">
        <f>SUM($O977:$Z977)</f>
        <v>0</v>
      </c>
    </row>
    <row r="978" spans="1:27">
      <c r="A978" s="42">
        <f>IF($B978="","","ACT-"&amp;TEXT(ROW()-4,"000"))</f>
        <v>0</v>
      </c>
      <c r="M978" s="43">
        <f>IF(COUNTA($B978:$K978)=0,"",IF($B978="","Missing activity name",IF($C978="","Missing practice",IF(COUNTIF(PracticeNames,$C978)=0,"Practice not in Lists",IF($D978="","Missing motion",IF(NOT(ISNUMBER($F978)),"Missing or invalid start date",IF(AND(ISNUMBER($G978),$G978&lt;$F978),"End date before start",IF(AND($N978=1,$AA978=0),"Outside planning year","OK"))))))))</f>
        <v>0</v>
      </c>
      <c r="N978">
        <f>IF(AND($B978&lt;&gt;"",$C978&lt;&gt;"",$D978&lt;&gt;"",ISNUMBER($F978),COUNTIF(PracticeNames,$C978)&gt;0,COUNTIF(MotionNames,$D978)&gt;0,NOT(AND(ISNUMBER($G978),$G978&lt;$F978))),IF(StatusFilter="All (excl. Cancelled)",IF($H978="Cancelled",0,1),IF(StatusFilter="All",1,IF($H978=StatusFilter,1,0))),0)</f>
        <v>0</v>
      </c>
      <c r="O978">
        <f>IF($N978=0,0,IF(AND($F978&lt;=EOMONTH(DATE(PlanYear,1,1),0),IF(ISNUMBER($G978),$G978,$F978)&gt;=DATE(PlanYear,1,1)),1,0))</f>
        <v>0</v>
      </c>
      <c r="P978">
        <f>IF($N978=0,0,IF(AND($F978&lt;=EOMONTH(DATE(PlanYear,2,1),0),IF(ISNUMBER($G978),$G978,$F978)&gt;=DATE(PlanYear,2,1)),1,0))</f>
        <v>0</v>
      </c>
      <c r="Q978">
        <f>IF($N978=0,0,IF(AND($F978&lt;=EOMONTH(DATE(PlanYear,3,1),0),IF(ISNUMBER($G978),$G978,$F978)&gt;=DATE(PlanYear,3,1)),1,0))</f>
        <v>0</v>
      </c>
      <c r="R978">
        <f>IF($N978=0,0,IF(AND($F978&lt;=EOMONTH(DATE(PlanYear,4,1),0),IF(ISNUMBER($G978),$G978,$F978)&gt;=DATE(PlanYear,4,1)),1,0))</f>
        <v>0</v>
      </c>
      <c r="S978">
        <f>IF($N978=0,0,IF(AND($F978&lt;=EOMONTH(DATE(PlanYear,5,1),0),IF(ISNUMBER($G978),$G978,$F978)&gt;=DATE(PlanYear,5,1)),1,0))</f>
        <v>0</v>
      </c>
      <c r="T978">
        <f>IF($N978=0,0,IF(AND($F978&lt;=EOMONTH(DATE(PlanYear,6,1),0),IF(ISNUMBER($G978),$G978,$F978)&gt;=DATE(PlanYear,6,1)),1,0))</f>
        <v>0</v>
      </c>
      <c r="U978">
        <f>IF($N978=0,0,IF(AND($F978&lt;=EOMONTH(DATE(PlanYear,7,1),0),IF(ISNUMBER($G978),$G978,$F978)&gt;=DATE(PlanYear,7,1)),1,0))</f>
        <v>0</v>
      </c>
      <c r="V978">
        <f>IF($N978=0,0,IF(AND($F978&lt;=EOMONTH(DATE(PlanYear,8,1),0),IF(ISNUMBER($G978),$G978,$F978)&gt;=DATE(PlanYear,8,1)),1,0))</f>
        <v>0</v>
      </c>
      <c r="W978">
        <f>IF($N978=0,0,IF(AND($F978&lt;=EOMONTH(DATE(PlanYear,9,1),0),IF(ISNUMBER($G978),$G978,$F978)&gt;=DATE(PlanYear,9,1)),1,0))</f>
        <v>0</v>
      </c>
      <c r="X978">
        <f>IF($N978=0,0,IF(AND($F978&lt;=EOMONTH(DATE(PlanYear,10,1),0),IF(ISNUMBER($G978),$G978,$F978)&gt;=DATE(PlanYear,10,1)),1,0))</f>
        <v>0</v>
      </c>
      <c r="Y978">
        <f>IF($N978=0,0,IF(AND($F978&lt;=EOMONTH(DATE(PlanYear,11,1),0),IF(ISNUMBER($G978),$G978,$F978)&gt;=DATE(PlanYear,11,1)),1,0))</f>
        <v>0</v>
      </c>
      <c r="Z978">
        <f>IF($N978=0,0,IF(AND($F978&lt;=EOMONTH(DATE(PlanYear,12,1),0),IF(ISNUMBER($G978),$G978,$F978)&gt;=DATE(PlanYear,12,1)),1,0))</f>
        <v>0</v>
      </c>
      <c r="AA978">
        <f>SUM($O978:$Z978)</f>
        <v>0</v>
      </c>
    </row>
    <row r="979" spans="1:27">
      <c r="A979" s="42">
        <f>IF($B979="","","ACT-"&amp;TEXT(ROW()-4,"000"))</f>
        <v>0</v>
      </c>
      <c r="M979" s="43">
        <f>IF(COUNTA($B979:$K979)=0,"",IF($B979="","Missing activity name",IF($C979="","Missing practice",IF(COUNTIF(PracticeNames,$C979)=0,"Practice not in Lists",IF($D979="","Missing motion",IF(NOT(ISNUMBER($F979)),"Missing or invalid start date",IF(AND(ISNUMBER($G979),$G979&lt;$F979),"End date before start",IF(AND($N979=1,$AA979=0),"Outside planning year","OK"))))))))</f>
        <v>0</v>
      </c>
      <c r="N979">
        <f>IF(AND($B979&lt;&gt;"",$C979&lt;&gt;"",$D979&lt;&gt;"",ISNUMBER($F979),COUNTIF(PracticeNames,$C979)&gt;0,COUNTIF(MotionNames,$D979)&gt;0,NOT(AND(ISNUMBER($G979),$G979&lt;$F979))),IF(StatusFilter="All (excl. Cancelled)",IF($H979="Cancelled",0,1),IF(StatusFilter="All",1,IF($H979=StatusFilter,1,0))),0)</f>
        <v>0</v>
      </c>
      <c r="O979">
        <f>IF($N979=0,0,IF(AND($F979&lt;=EOMONTH(DATE(PlanYear,1,1),0),IF(ISNUMBER($G979),$G979,$F979)&gt;=DATE(PlanYear,1,1)),1,0))</f>
        <v>0</v>
      </c>
      <c r="P979">
        <f>IF($N979=0,0,IF(AND($F979&lt;=EOMONTH(DATE(PlanYear,2,1),0),IF(ISNUMBER($G979),$G979,$F979)&gt;=DATE(PlanYear,2,1)),1,0))</f>
        <v>0</v>
      </c>
      <c r="Q979">
        <f>IF($N979=0,0,IF(AND($F979&lt;=EOMONTH(DATE(PlanYear,3,1),0),IF(ISNUMBER($G979),$G979,$F979)&gt;=DATE(PlanYear,3,1)),1,0))</f>
        <v>0</v>
      </c>
      <c r="R979">
        <f>IF($N979=0,0,IF(AND($F979&lt;=EOMONTH(DATE(PlanYear,4,1),0),IF(ISNUMBER($G979),$G979,$F979)&gt;=DATE(PlanYear,4,1)),1,0))</f>
        <v>0</v>
      </c>
      <c r="S979">
        <f>IF($N979=0,0,IF(AND($F979&lt;=EOMONTH(DATE(PlanYear,5,1),0),IF(ISNUMBER($G979),$G979,$F979)&gt;=DATE(PlanYear,5,1)),1,0))</f>
        <v>0</v>
      </c>
      <c r="T979">
        <f>IF($N979=0,0,IF(AND($F979&lt;=EOMONTH(DATE(PlanYear,6,1),0),IF(ISNUMBER($G979),$G979,$F979)&gt;=DATE(PlanYear,6,1)),1,0))</f>
        <v>0</v>
      </c>
      <c r="U979">
        <f>IF($N979=0,0,IF(AND($F979&lt;=EOMONTH(DATE(PlanYear,7,1),0),IF(ISNUMBER($G979),$G979,$F979)&gt;=DATE(PlanYear,7,1)),1,0))</f>
        <v>0</v>
      </c>
      <c r="V979">
        <f>IF($N979=0,0,IF(AND($F979&lt;=EOMONTH(DATE(PlanYear,8,1),0),IF(ISNUMBER($G979),$G979,$F979)&gt;=DATE(PlanYear,8,1)),1,0))</f>
        <v>0</v>
      </c>
      <c r="W979">
        <f>IF($N979=0,0,IF(AND($F979&lt;=EOMONTH(DATE(PlanYear,9,1),0),IF(ISNUMBER($G979),$G979,$F979)&gt;=DATE(PlanYear,9,1)),1,0))</f>
        <v>0</v>
      </c>
      <c r="X979">
        <f>IF($N979=0,0,IF(AND($F979&lt;=EOMONTH(DATE(PlanYear,10,1),0),IF(ISNUMBER($G979),$G979,$F979)&gt;=DATE(PlanYear,10,1)),1,0))</f>
        <v>0</v>
      </c>
      <c r="Y979">
        <f>IF($N979=0,0,IF(AND($F979&lt;=EOMONTH(DATE(PlanYear,11,1),0),IF(ISNUMBER($G979),$G979,$F979)&gt;=DATE(PlanYear,11,1)),1,0))</f>
        <v>0</v>
      </c>
      <c r="Z979">
        <f>IF($N979=0,0,IF(AND($F979&lt;=EOMONTH(DATE(PlanYear,12,1),0),IF(ISNUMBER($G979),$G979,$F979)&gt;=DATE(PlanYear,12,1)),1,0))</f>
        <v>0</v>
      </c>
      <c r="AA979">
        <f>SUM($O979:$Z979)</f>
        <v>0</v>
      </c>
    </row>
    <row r="980" spans="1:27">
      <c r="A980" s="42">
        <f>IF($B980="","","ACT-"&amp;TEXT(ROW()-4,"000"))</f>
        <v>0</v>
      </c>
      <c r="M980" s="43">
        <f>IF(COUNTA($B980:$K980)=0,"",IF($B980="","Missing activity name",IF($C980="","Missing practice",IF(COUNTIF(PracticeNames,$C980)=0,"Practice not in Lists",IF($D980="","Missing motion",IF(NOT(ISNUMBER($F980)),"Missing or invalid start date",IF(AND(ISNUMBER($G980),$G980&lt;$F980),"End date before start",IF(AND($N980=1,$AA980=0),"Outside planning year","OK"))))))))</f>
        <v>0</v>
      </c>
      <c r="N980">
        <f>IF(AND($B980&lt;&gt;"",$C980&lt;&gt;"",$D980&lt;&gt;"",ISNUMBER($F980),COUNTIF(PracticeNames,$C980)&gt;0,COUNTIF(MotionNames,$D980)&gt;0,NOT(AND(ISNUMBER($G980),$G980&lt;$F980))),IF(StatusFilter="All (excl. Cancelled)",IF($H980="Cancelled",0,1),IF(StatusFilter="All",1,IF($H980=StatusFilter,1,0))),0)</f>
        <v>0</v>
      </c>
      <c r="O980">
        <f>IF($N980=0,0,IF(AND($F980&lt;=EOMONTH(DATE(PlanYear,1,1),0),IF(ISNUMBER($G980),$G980,$F980)&gt;=DATE(PlanYear,1,1)),1,0))</f>
        <v>0</v>
      </c>
      <c r="P980">
        <f>IF($N980=0,0,IF(AND($F980&lt;=EOMONTH(DATE(PlanYear,2,1),0),IF(ISNUMBER($G980),$G980,$F980)&gt;=DATE(PlanYear,2,1)),1,0))</f>
        <v>0</v>
      </c>
      <c r="Q980">
        <f>IF($N980=0,0,IF(AND($F980&lt;=EOMONTH(DATE(PlanYear,3,1),0),IF(ISNUMBER($G980),$G980,$F980)&gt;=DATE(PlanYear,3,1)),1,0))</f>
        <v>0</v>
      </c>
      <c r="R980">
        <f>IF($N980=0,0,IF(AND($F980&lt;=EOMONTH(DATE(PlanYear,4,1),0),IF(ISNUMBER($G980),$G980,$F980)&gt;=DATE(PlanYear,4,1)),1,0))</f>
        <v>0</v>
      </c>
      <c r="S980">
        <f>IF($N980=0,0,IF(AND($F980&lt;=EOMONTH(DATE(PlanYear,5,1),0),IF(ISNUMBER($G980),$G980,$F980)&gt;=DATE(PlanYear,5,1)),1,0))</f>
        <v>0</v>
      </c>
      <c r="T980">
        <f>IF($N980=0,0,IF(AND($F980&lt;=EOMONTH(DATE(PlanYear,6,1),0),IF(ISNUMBER($G980),$G980,$F980)&gt;=DATE(PlanYear,6,1)),1,0))</f>
        <v>0</v>
      </c>
      <c r="U980">
        <f>IF($N980=0,0,IF(AND($F980&lt;=EOMONTH(DATE(PlanYear,7,1),0),IF(ISNUMBER($G980),$G980,$F980)&gt;=DATE(PlanYear,7,1)),1,0))</f>
        <v>0</v>
      </c>
      <c r="V980">
        <f>IF($N980=0,0,IF(AND($F980&lt;=EOMONTH(DATE(PlanYear,8,1),0),IF(ISNUMBER($G980),$G980,$F980)&gt;=DATE(PlanYear,8,1)),1,0))</f>
        <v>0</v>
      </c>
      <c r="W980">
        <f>IF($N980=0,0,IF(AND($F980&lt;=EOMONTH(DATE(PlanYear,9,1),0),IF(ISNUMBER($G980),$G980,$F980)&gt;=DATE(PlanYear,9,1)),1,0))</f>
        <v>0</v>
      </c>
      <c r="X980">
        <f>IF($N980=0,0,IF(AND($F980&lt;=EOMONTH(DATE(PlanYear,10,1),0),IF(ISNUMBER($G980),$G980,$F980)&gt;=DATE(PlanYear,10,1)),1,0))</f>
        <v>0</v>
      </c>
      <c r="Y980">
        <f>IF($N980=0,0,IF(AND($F980&lt;=EOMONTH(DATE(PlanYear,11,1),0),IF(ISNUMBER($G980),$G980,$F980)&gt;=DATE(PlanYear,11,1)),1,0))</f>
        <v>0</v>
      </c>
      <c r="Z980">
        <f>IF($N980=0,0,IF(AND($F980&lt;=EOMONTH(DATE(PlanYear,12,1),0),IF(ISNUMBER($G980),$G980,$F980)&gt;=DATE(PlanYear,12,1)),1,0))</f>
        <v>0</v>
      </c>
      <c r="AA980">
        <f>SUM($O980:$Z980)</f>
        <v>0</v>
      </c>
    </row>
    <row r="981" spans="1:27">
      <c r="A981" s="42">
        <f>IF($B981="","","ACT-"&amp;TEXT(ROW()-4,"000"))</f>
        <v>0</v>
      </c>
      <c r="M981" s="43">
        <f>IF(COUNTA($B981:$K981)=0,"",IF($B981="","Missing activity name",IF($C981="","Missing practice",IF(COUNTIF(PracticeNames,$C981)=0,"Practice not in Lists",IF($D981="","Missing motion",IF(NOT(ISNUMBER($F981)),"Missing or invalid start date",IF(AND(ISNUMBER($G981),$G981&lt;$F981),"End date before start",IF(AND($N981=1,$AA981=0),"Outside planning year","OK"))))))))</f>
        <v>0</v>
      </c>
      <c r="N981">
        <f>IF(AND($B981&lt;&gt;"",$C981&lt;&gt;"",$D981&lt;&gt;"",ISNUMBER($F981),COUNTIF(PracticeNames,$C981)&gt;0,COUNTIF(MotionNames,$D981)&gt;0,NOT(AND(ISNUMBER($G981),$G981&lt;$F981))),IF(StatusFilter="All (excl. Cancelled)",IF($H981="Cancelled",0,1),IF(StatusFilter="All",1,IF($H981=StatusFilter,1,0))),0)</f>
        <v>0</v>
      </c>
      <c r="O981">
        <f>IF($N981=0,0,IF(AND($F981&lt;=EOMONTH(DATE(PlanYear,1,1),0),IF(ISNUMBER($G981),$G981,$F981)&gt;=DATE(PlanYear,1,1)),1,0))</f>
        <v>0</v>
      </c>
      <c r="P981">
        <f>IF($N981=0,0,IF(AND($F981&lt;=EOMONTH(DATE(PlanYear,2,1),0),IF(ISNUMBER($G981),$G981,$F981)&gt;=DATE(PlanYear,2,1)),1,0))</f>
        <v>0</v>
      </c>
      <c r="Q981">
        <f>IF($N981=0,0,IF(AND($F981&lt;=EOMONTH(DATE(PlanYear,3,1),0),IF(ISNUMBER($G981),$G981,$F981)&gt;=DATE(PlanYear,3,1)),1,0))</f>
        <v>0</v>
      </c>
      <c r="R981">
        <f>IF($N981=0,0,IF(AND($F981&lt;=EOMONTH(DATE(PlanYear,4,1),0),IF(ISNUMBER($G981),$G981,$F981)&gt;=DATE(PlanYear,4,1)),1,0))</f>
        <v>0</v>
      </c>
      <c r="S981">
        <f>IF($N981=0,0,IF(AND($F981&lt;=EOMONTH(DATE(PlanYear,5,1),0),IF(ISNUMBER($G981),$G981,$F981)&gt;=DATE(PlanYear,5,1)),1,0))</f>
        <v>0</v>
      </c>
      <c r="T981">
        <f>IF($N981=0,0,IF(AND($F981&lt;=EOMONTH(DATE(PlanYear,6,1),0),IF(ISNUMBER($G981),$G981,$F981)&gt;=DATE(PlanYear,6,1)),1,0))</f>
        <v>0</v>
      </c>
      <c r="U981">
        <f>IF($N981=0,0,IF(AND($F981&lt;=EOMONTH(DATE(PlanYear,7,1),0),IF(ISNUMBER($G981),$G981,$F981)&gt;=DATE(PlanYear,7,1)),1,0))</f>
        <v>0</v>
      </c>
      <c r="V981">
        <f>IF($N981=0,0,IF(AND($F981&lt;=EOMONTH(DATE(PlanYear,8,1),0),IF(ISNUMBER($G981),$G981,$F981)&gt;=DATE(PlanYear,8,1)),1,0))</f>
        <v>0</v>
      </c>
      <c r="W981">
        <f>IF($N981=0,0,IF(AND($F981&lt;=EOMONTH(DATE(PlanYear,9,1),0),IF(ISNUMBER($G981),$G981,$F981)&gt;=DATE(PlanYear,9,1)),1,0))</f>
        <v>0</v>
      </c>
      <c r="X981">
        <f>IF($N981=0,0,IF(AND($F981&lt;=EOMONTH(DATE(PlanYear,10,1),0),IF(ISNUMBER($G981),$G981,$F981)&gt;=DATE(PlanYear,10,1)),1,0))</f>
        <v>0</v>
      </c>
      <c r="Y981">
        <f>IF($N981=0,0,IF(AND($F981&lt;=EOMONTH(DATE(PlanYear,11,1),0),IF(ISNUMBER($G981),$G981,$F981)&gt;=DATE(PlanYear,11,1)),1,0))</f>
        <v>0</v>
      </c>
      <c r="Z981">
        <f>IF($N981=0,0,IF(AND($F981&lt;=EOMONTH(DATE(PlanYear,12,1),0),IF(ISNUMBER($G981),$G981,$F981)&gt;=DATE(PlanYear,12,1)),1,0))</f>
        <v>0</v>
      </c>
      <c r="AA981">
        <f>SUM($O981:$Z981)</f>
        <v>0</v>
      </c>
    </row>
    <row r="982" spans="1:27">
      <c r="A982" s="42">
        <f>IF($B982="","","ACT-"&amp;TEXT(ROW()-4,"000"))</f>
        <v>0</v>
      </c>
      <c r="M982" s="43">
        <f>IF(COUNTA($B982:$K982)=0,"",IF($B982="","Missing activity name",IF($C982="","Missing practice",IF(COUNTIF(PracticeNames,$C982)=0,"Practice not in Lists",IF($D982="","Missing motion",IF(NOT(ISNUMBER($F982)),"Missing or invalid start date",IF(AND(ISNUMBER($G982),$G982&lt;$F982),"End date before start",IF(AND($N982=1,$AA982=0),"Outside planning year","OK"))))))))</f>
        <v>0</v>
      </c>
      <c r="N982">
        <f>IF(AND($B982&lt;&gt;"",$C982&lt;&gt;"",$D982&lt;&gt;"",ISNUMBER($F982),COUNTIF(PracticeNames,$C982)&gt;0,COUNTIF(MotionNames,$D982)&gt;0,NOT(AND(ISNUMBER($G982),$G982&lt;$F982))),IF(StatusFilter="All (excl. Cancelled)",IF($H982="Cancelled",0,1),IF(StatusFilter="All",1,IF($H982=StatusFilter,1,0))),0)</f>
        <v>0</v>
      </c>
      <c r="O982">
        <f>IF($N982=0,0,IF(AND($F982&lt;=EOMONTH(DATE(PlanYear,1,1),0),IF(ISNUMBER($G982),$G982,$F982)&gt;=DATE(PlanYear,1,1)),1,0))</f>
        <v>0</v>
      </c>
      <c r="P982">
        <f>IF($N982=0,0,IF(AND($F982&lt;=EOMONTH(DATE(PlanYear,2,1),0),IF(ISNUMBER($G982),$G982,$F982)&gt;=DATE(PlanYear,2,1)),1,0))</f>
        <v>0</v>
      </c>
      <c r="Q982">
        <f>IF($N982=0,0,IF(AND($F982&lt;=EOMONTH(DATE(PlanYear,3,1),0),IF(ISNUMBER($G982),$G982,$F982)&gt;=DATE(PlanYear,3,1)),1,0))</f>
        <v>0</v>
      </c>
      <c r="R982">
        <f>IF($N982=0,0,IF(AND($F982&lt;=EOMONTH(DATE(PlanYear,4,1),0),IF(ISNUMBER($G982),$G982,$F982)&gt;=DATE(PlanYear,4,1)),1,0))</f>
        <v>0</v>
      </c>
      <c r="S982">
        <f>IF($N982=0,0,IF(AND($F982&lt;=EOMONTH(DATE(PlanYear,5,1),0),IF(ISNUMBER($G982),$G982,$F982)&gt;=DATE(PlanYear,5,1)),1,0))</f>
        <v>0</v>
      </c>
      <c r="T982">
        <f>IF($N982=0,0,IF(AND($F982&lt;=EOMONTH(DATE(PlanYear,6,1),0),IF(ISNUMBER($G982),$G982,$F982)&gt;=DATE(PlanYear,6,1)),1,0))</f>
        <v>0</v>
      </c>
      <c r="U982">
        <f>IF($N982=0,0,IF(AND($F982&lt;=EOMONTH(DATE(PlanYear,7,1),0),IF(ISNUMBER($G982),$G982,$F982)&gt;=DATE(PlanYear,7,1)),1,0))</f>
        <v>0</v>
      </c>
      <c r="V982">
        <f>IF($N982=0,0,IF(AND($F982&lt;=EOMONTH(DATE(PlanYear,8,1),0),IF(ISNUMBER($G982),$G982,$F982)&gt;=DATE(PlanYear,8,1)),1,0))</f>
        <v>0</v>
      </c>
      <c r="W982">
        <f>IF($N982=0,0,IF(AND($F982&lt;=EOMONTH(DATE(PlanYear,9,1),0),IF(ISNUMBER($G982),$G982,$F982)&gt;=DATE(PlanYear,9,1)),1,0))</f>
        <v>0</v>
      </c>
      <c r="X982">
        <f>IF($N982=0,0,IF(AND($F982&lt;=EOMONTH(DATE(PlanYear,10,1),0),IF(ISNUMBER($G982),$G982,$F982)&gt;=DATE(PlanYear,10,1)),1,0))</f>
        <v>0</v>
      </c>
      <c r="Y982">
        <f>IF($N982=0,0,IF(AND($F982&lt;=EOMONTH(DATE(PlanYear,11,1),0),IF(ISNUMBER($G982),$G982,$F982)&gt;=DATE(PlanYear,11,1)),1,0))</f>
        <v>0</v>
      </c>
      <c r="Z982">
        <f>IF($N982=0,0,IF(AND($F982&lt;=EOMONTH(DATE(PlanYear,12,1),0),IF(ISNUMBER($G982),$G982,$F982)&gt;=DATE(PlanYear,12,1)),1,0))</f>
        <v>0</v>
      </c>
      <c r="AA982">
        <f>SUM($O982:$Z982)</f>
        <v>0</v>
      </c>
    </row>
    <row r="983" spans="1:27">
      <c r="A983" s="42">
        <f>IF($B983="","","ACT-"&amp;TEXT(ROW()-4,"000"))</f>
        <v>0</v>
      </c>
      <c r="M983" s="43">
        <f>IF(COUNTA($B983:$K983)=0,"",IF($B983="","Missing activity name",IF($C983="","Missing practice",IF(COUNTIF(PracticeNames,$C983)=0,"Practice not in Lists",IF($D983="","Missing motion",IF(NOT(ISNUMBER($F983)),"Missing or invalid start date",IF(AND(ISNUMBER($G983),$G983&lt;$F983),"End date before start",IF(AND($N983=1,$AA983=0),"Outside planning year","OK"))))))))</f>
        <v>0</v>
      </c>
      <c r="N983">
        <f>IF(AND($B983&lt;&gt;"",$C983&lt;&gt;"",$D983&lt;&gt;"",ISNUMBER($F983),COUNTIF(PracticeNames,$C983)&gt;0,COUNTIF(MotionNames,$D983)&gt;0,NOT(AND(ISNUMBER($G983),$G983&lt;$F983))),IF(StatusFilter="All (excl. Cancelled)",IF($H983="Cancelled",0,1),IF(StatusFilter="All",1,IF($H983=StatusFilter,1,0))),0)</f>
        <v>0</v>
      </c>
      <c r="O983">
        <f>IF($N983=0,0,IF(AND($F983&lt;=EOMONTH(DATE(PlanYear,1,1),0),IF(ISNUMBER($G983),$G983,$F983)&gt;=DATE(PlanYear,1,1)),1,0))</f>
        <v>0</v>
      </c>
      <c r="P983">
        <f>IF($N983=0,0,IF(AND($F983&lt;=EOMONTH(DATE(PlanYear,2,1),0),IF(ISNUMBER($G983),$G983,$F983)&gt;=DATE(PlanYear,2,1)),1,0))</f>
        <v>0</v>
      </c>
      <c r="Q983">
        <f>IF($N983=0,0,IF(AND($F983&lt;=EOMONTH(DATE(PlanYear,3,1),0),IF(ISNUMBER($G983),$G983,$F983)&gt;=DATE(PlanYear,3,1)),1,0))</f>
        <v>0</v>
      </c>
      <c r="R983">
        <f>IF($N983=0,0,IF(AND($F983&lt;=EOMONTH(DATE(PlanYear,4,1),0),IF(ISNUMBER($G983),$G983,$F983)&gt;=DATE(PlanYear,4,1)),1,0))</f>
        <v>0</v>
      </c>
      <c r="S983">
        <f>IF($N983=0,0,IF(AND($F983&lt;=EOMONTH(DATE(PlanYear,5,1),0),IF(ISNUMBER($G983),$G983,$F983)&gt;=DATE(PlanYear,5,1)),1,0))</f>
        <v>0</v>
      </c>
      <c r="T983">
        <f>IF($N983=0,0,IF(AND($F983&lt;=EOMONTH(DATE(PlanYear,6,1),0),IF(ISNUMBER($G983),$G983,$F983)&gt;=DATE(PlanYear,6,1)),1,0))</f>
        <v>0</v>
      </c>
      <c r="U983">
        <f>IF($N983=0,0,IF(AND($F983&lt;=EOMONTH(DATE(PlanYear,7,1),0),IF(ISNUMBER($G983),$G983,$F983)&gt;=DATE(PlanYear,7,1)),1,0))</f>
        <v>0</v>
      </c>
      <c r="V983">
        <f>IF($N983=0,0,IF(AND($F983&lt;=EOMONTH(DATE(PlanYear,8,1),0),IF(ISNUMBER($G983),$G983,$F983)&gt;=DATE(PlanYear,8,1)),1,0))</f>
        <v>0</v>
      </c>
      <c r="W983">
        <f>IF($N983=0,0,IF(AND($F983&lt;=EOMONTH(DATE(PlanYear,9,1),0),IF(ISNUMBER($G983),$G983,$F983)&gt;=DATE(PlanYear,9,1)),1,0))</f>
        <v>0</v>
      </c>
      <c r="X983">
        <f>IF($N983=0,0,IF(AND($F983&lt;=EOMONTH(DATE(PlanYear,10,1),0),IF(ISNUMBER($G983),$G983,$F983)&gt;=DATE(PlanYear,10,1)),1,0))</f>
        <v>0</v>
      </c>
      <c r="Y983">
        <f>IF($N983=0,0,IF(AND($F983&lt;=EOMONTH(DATE(PlanYear,11,1),0),IF(ISNUMBER($G983),$G983,$F983)&gt;=DATE(PlanYear,11,1)),1,0))</f>
        <v>0</v>
      </c>
      <c r="Z983">
        <f>IF($N983=0,0,IF(AND($F983&lt;=EOMONTH(DATE(PlanYear,12,1),0),IF(ISNUMBER($G983),$G983,$F983)&gt;=DATE(PlanYear,12,1)),1,0))</f>
        <v>0</v>
      </c>
      <c r="AA983">
        <f>SUM($O983:$Z983)</f>
        <v>0</v>
      </c>
    </row>
    <row r="984" spans="1:27">
      <c r="A984" s="42">
        <f>IF($B984="","","ACT-"&amp;TEXT(ROW()-4,"000"))</f>
        <v>0</v>
      </c>
      <c r="M984" s="43">
        <f>IF(COUNTA($B984:$K984)=0,"",IF($B984="","Missing activity name",IF($C984="","Missing practice",IF(COUNTIF(PracticeNames,$C984)=0,"Practice not in Lists",IF($D984="","Missing motion",IF(NOT(ISNUMBER($F984)),"Missing or invalid start date",IF(AND(ISNUMBER($G984),$G984&lt;$F984),"End date before start",IF(AND($N984=1,$AA984=0),"Outside planning year","OK"))))))))</f>
        <v>0</v>
      </c>
      <c r="N984">
        <f>IF(AND($B984&lt;&gt;"",$C984&lt;&gt;"",$D984&lt;&gt;"",ISNUMBER($F984),COUNTIF(PracticeNames,$C984)&gt;0,COUNTIF(MotionNames,$D984)&gt;0,NOT(AND(ISNUMBER($G984),$G984&lt;$F984))),IF(StatusFilter="All (excl. Cancelled)",IF($H984="Cancelled",0,1),IF(StatusFilter="All",1,IF($H984=StatusFilter,1,0))),0)</f>
        <v>0</v>
      </c>
      <c r="O984">
        <f>IF($N984=0,0,IF(AND($F984&lt;=EOMONTH(DATE(PlanYear,1,1),0),IF(ISNUMBER($G984),$G984,$F984)&gt;=DATE(PlanYear,1,1)),1,0))</f>
        <v>0</v>
      </c>
      <c r="P984">
        <f>IF($N984=0,0,IF(AND($F984&lt;=EOMONTH(DATE(PlanYear,2,1),0),IF(ISNUMBER($G984),$G984,$F984)&gt;=DATE(PlanYear,2,1)),1,0))</f>
        <v>0</v>
      </c>
      <c r="Q984">
        <f>IF($N984=0,0,IF(AND($F984&lt;=EOMONTH(DATE(PlanYear,3,1),0),IF(ISNUMBER($G984),$G984,$F984)&gt;=DATE(PlanYear,3,1)),1,0))</f>
        <v>0</v>
      </c>
      <c r="R984">
        <f>IF($N984=0,0,IF(AND($F984&lt;=EOMONTH(DATE(PlanYear,4,1),0),IF(ISNUMBER($G984),$G984,$F984)&gt;=DATE(PlanYear,4,1)),1,0))</f>
        <v>0</v>
      </c>
      <c r="S984">
        <f>IF($N984=0,0,IF(AND($F984&lt;=EOMONTH(DATE(PlanYear,5,1),0),IF(ISNUMBER($G984),$G984,$F984)&gt;=DATE(PlanYear,5,1)),1,0))</f>
        <v>0</v>
      </c>
      <c r="T984">
        <f>IF($N984=0,0,IF(AND($F984&lt;=EOMONTH(DATE(PlanYear,6,1),0),IF(ISNUMBER($G984),$G984,$F984)&gt;=DATE(PlanYear,6,1)),1,0))</f>
        <v>0</v>
      </c>
      <c r="U984">
        <f>IF($N984=0,0,IF(AND($F984&lt;=EOMONTH(DATE(PlanYear,7,1),0),IF(ISNUMBER($G984),$G984,$F984)&gt;=DATE(PlanYear,7,1)),1,0))</f>
        <v>0</v>
      </c>
      <c r="V984">
        <f>IF($N984=0,0,IF(AND($F984&lt;=EOMONTH(DATE(PlanYear,8,1),0),IF(ISNUMBER($G984),$G984,$F984)&gt;=DATE(PlanYear,8,1)),1,0))</f>
        <v>0</v>
      </c>
      <c r="W984">
        <f>IF($N984=0,0,IF(AND($F984&lt;=EOMONTH(DATE(PlanYear,9,1),0),IF(ISNUMBER($G984),$G984,$F984)&gt;=DATE(PlanYear,9,1)),1,0))</f>
        <v>0</v>
      </c>
      <c r="X984">
        <f>IF($N984=0,0,IF(AND($F984&lt;=EOMONTH(DATE(PlanYear,10,1),0),IF(ISNUMBER($G984),$G984,$F984)&gt;=DATE(PlanYear,10,1)),1,0))</f>
        <v>0</v>
      </c>
      <c r="Y984">
        <f>IF($N984=0,0,IF(AND($F984&lt;=EOMONTH(DATE(PlanYear,11,1),0),IF(ISNUMBER($G984),$G984,$F984)&gt;=DATE(PlanYear,11,1)),1,0))</f>
        <v>0</v>
      </c>
      <c r="Z984">
        <f>IF($N984=0,0,IF(AND($F984&lt;=EOMONTH(DATE(PlanYear,12,1),0),IF(ISNUMBER($G984),$G984,$F984)&gt;=DATE(PlanYear,12,1)),1,0))</f>
        <v>0</v>
      </c>
      <c r="AA984">
        <f>SUM($O984:$Z984)</f>
        <v>0</v>
      </c>
    </row>
    <row r="985" spans="1:27">
      <c r="A985" s="42">
        <f>IF($B985="","","ACT-"&amp;TEXT(ROW()-4,"000"))</f>
        <v>0</v>
      </c>
      <c r="M985" s="43">
        <f>IF(COUNTA($B985:$K985)=0,"",IF($B985="","Missing activity name",IF($C985="","Missing practice",IF(COUNTIF(PracticeNames,$C985)=0,"Practice not in Lists",IF($D985="","Missing motion",IF(NOT(ISNUMBER($F985)),"Missing or invalid start date",IF(AND(ISNUMBER($G985),$G985&lt;$F985),"End date before start",IF(AND($N985=1,$AA985=0),"Outside planning year","OK"))))))))</f>
        <v>0</v>
      </c>
      <c r="N985">
        <f>IF(AND($B985&lt;&gt;"",$C985&lt;&gt;"",$D985&lt;&gt;"",ISNUMBER($F985),COUNTIF(PracticeNames,$C985)&gt;0,COUNTIF(MotionNames,$D985)&gt;0,NOT(AND(ISNUMBER($G985),$G985&lt;$F985))),IF(StatusFilter="All (excl. Cancelled)",IF($H985="Cancelled",0,1),IF(StatusFilter="All",1,IF($H985=StatusFilter,1,0))),0)</f>
        <v>0</v>
      </c>
      <c r="O985">
        <f>IF($N985=0,0,IF(AND($F985&lt;=EOMONTH(DATE(PlanYear,1,1),0),IF(ISNUMBER($G985),$G985,$F985)&gt;=DATE(PlanYear,1,1)),1,0))</f>
        <v>0</v>
      </c>
      <c r="P985">
        <f>IF($N985=0,0,IF(AND($F985&lt;=EOMONTH(DATE(PlanYear,2,1),0),IF(ISNUMBER($G985),$G985,$F985)&gt;=DATE(PlanYear,2,1)),1,0))</f>
        <v>0</v>
      </c>
      <c r="Q985">
        <f>IF($N985=0,0,IF(AND($F985&lt;=EOMONTH(DATE(PlanYear,3,1),0),IF(ISNUMBER($G985),$G985,$F985)&gt;=DATE(PlanYear,3,1)),1,0))</f>
        <v>0</v>
      </c>
      <c r="R985">
        <f>IF($N985=0,0,IF(AND($F985&lt;=EOMONTH(DATE(PlanYear,4,1),0),IF(ISNUMBER($G985),$G985,$F985)&gt;=DATE(PlanYear,4,1)),1,0))</f>
        <v>0</v>
      </c>
      <c r="S985">
        <f>IF($N985=0,0,IF(AND($F985&lt;=EOMONTH(DATE(PlanYear,5,1),0),IF(ISNUMBER($G985),$G985,$F985)&gt;=DATE(PlanYear,5,1)),1,0))</f>
        <v>0</v>
      </c>
      <c r="T985">
        <f>IF($N985=0,0,IF(AND($F985&lt;=EOMONTH(DATE(PlanYear,6,1),0),IF(ISNUMBER($G985),$G985,$F985)&gt;=DATE(PlanYear,6,1)),1,0))</f>
        <v>0</v>
      </c>
      <c r="U985">
        <f>IF($N985=0,0,IF(AND($F985&lt;=EOMONTH(DATE(PlanYear,7,1),0),IF(ISNUMBER($G985),$G985,$F985)&gt;=DATE(PlanYear,7,1)),1,0))</f>
        <v>0</v>
      </c>
      <c r="V985">
        <f>IF($N985=0,0,IF(AND($F985&lt;=EOMONTH(DATE(PlanYear,8,1),0),IF(ISNUMBER($G985),$G985,$F985)&gt;=DATE(PlanYear,8,1)),1,0))</f>
        <v>0</v>
      </c>
      <c r="W985">
        <f>IF($N985=0,0,IF(AND($F985&lt;=EOMONTH(DATE(PlanYear,9,1),0),IF(ISNUMBER($G985),$G985,$F985)&gt;=DATE(PlanYear,9,1)),1,0))</f>
        <v>0</v>
      </c>
      <c r="X985">
        <f>IF($N985=0,0,IF(AND($F985&lt;=EOMONTH(DATE(PlanYear,10,1),0),IF(ISNUMBER($G985),$G985,$F985)&gt;=DATE(PlanYear,10,1)),1,0))</f>
        <v>0</v>
      </c>
      <c r="Y985">
        <f>IF($N985=0,0,IF(AND($F985&lt;=EOMONTH(DATE(PlanYear,11,1),0),IF(ISNUMBER($G985),$G985,$F985)&gt;=DATE(PlanYear,11,1)),1,0))</f>
        <v>0</v>
      </c>
      <c r="Z985">
        <f>IF($N985=0,0,IF(AND($F985&lt;=EOMONTH(DATE(PlanYear,12,1),0),IF(ISNUMBER($G985),$G985,$F985)&gt;=DATE(PlanYear,12,1)),1,0))</f>
        <v>0</v>
      </c>
      <c r="AA985">
        <f>SUM($O985:$Z985)</f>
        <v>0</v>
      </c>
    </row>
    <row r="986" spans="1:27">
      <c r="A986" s="42">
        <f>IF($B986="","","ACT-"&amp;TEXT(ROW()-4,"000"))</f>
        <v>0</v>
      </c>
      <c r="M986" s="43">
        <f>IF(COUNTA($B986:$K986)=0,"",IF($B986="","Missing activity name",IF($C986="","Missing practice",IF(COUNTIF(PracticeNames,$C986)=0,"Practice not in Lists",IF($D986="","Missing motion",IF(NOT(ISNUMBER($F986)),"Missing or invalid start date",IF(AND(ISNUMBER($G986),$G986&lt;$F986),"End date before start",IF(AND($N986=1,$AA986=0),"Outside planning year","OK"))))))))</f>
        <v>0</v>
      </c>
      <c r="N986">
        <f>IF(AND($B986&lt;&gt;"",$C986&lt;&gt;"",$D986&lt;&gt;"",ISNUMBER($F986),COUNTIF(PracticeNames,$C986)&gt;0,COUNTIF(MotionNames,$D986)&gt;0,NOT(AND(ISNUMBER($G986),$G986&lt;$F986))),IF(StatusFilter="All (excl. Cancelled)",IF($H986="Cancelled",0,1),IF(StatusFilter="All",1,IF($H986=StatusFilter,1,0))),0)</f>
        <v>0</v>
      </c>
      <c r="O986">
        <f>IF($N986=0,0,IF(AND($F986&lt;=EOMONTH(DATE(PlanYear,1,1),0),IF(ISNUMBER($G986),$G986,$F986)&gt;=DATE(PlanYear,1,1)),1,0))</f>
        <v>0</v>
      </c>
      <c r="P986">
        <f>IF($N986=0,0,IF(AND($F986&lt;=EOMONTH(DATE(PlanYear,2,1),0),IF(ISNUMBER($G986),$G986,$F986)&gt;=DATE(PlanYear,2,1)),1,0))</f>
        <v>0</v>
      </c>
      <c r="Q986">
        <f>IF($N986=0,0,IF(AND($F986&lt;=EOMONTH(DATE(PlanYear,3,1),0),IF(ISNUMBER($G986),$G986,$F986)&gt;=DATE(PlanYear,3,1)),1,0))</f>
        <v>0</v>
      </c>
      <c r="R986">
        <f>IF($N986=0,0,IF(AND($F986&lt;=EOMONTH(DATE(PlanYear,4,1),0),IF(ISNUMBER($G986),$G986,$F986)&gt;=DATE(PlanYear,4,1)),1,0))</f>
        <v>0</v>
      </c>
      <c r="S986">
        <f>IF($N986=0,0,IF(AND($F986&lt;=EOMONTH(DATE(PlanYear,5,1),0),IF(ISNUMBER($G986),$G986,$F986)&gt;=DATE(PlanYear,5,1)),1,0))</f>
        <v>0</v>
      </c>
      <c r="T986">
        <f>IF($N986=0,0,IF(AND($F986&lt;=EOMONTH(DATE(PlanYear,6,1),0),IF(ISNUMBER($G986),$G986,$F986)&gt;=DATE(PlanYear,6,1)),1,0))</f>
        <v>0</v>
      </c>
      <c r="U986">
        <f>IF($N986=0,0,IF(AND($F986&lt;=EOMONTH(DATE(PlanYear,7,1),0),IF(ISNUMBER($G986),$G986,$F986)&gt;=DATE(PlanYear,7,1)),1,0))</f>
        <v>0</v>
      </c>
      <c r="V986">
        <f>IF($N986=0,0,IF(AND($F986&lt;=EOMONTH(DATE(PlanYear,8,1),0),IF(ISNUMBER($G986),$G986,$F986)&gt;=DATE(PlanYear,8,1)),1,0))</f>
        <v>0</v>
      </c>
      <c r="W986">
        <f>IF($N986=0,0,IF(AND($F986&lt;=EOMONTH(DATE(PlanYear,9,1),0),IF(ISNUMBER($G986),$G986,$F986)&gt;=DATE(PlanYear,9,1)),1,0))</f>
        <v>0</v>
      </c>
      <c r="X986">
        <f>IF($N986=0,0,IF(AND($F986&lt;=EOMONTH(DATE(PlanYear,10,1),0),IF(ISNUMBER($G986),$G986,$F986)&gt;=DATE(PlanYear,10,1)),1,0))</f>
        <v>0</v>
      </c>
      <c r="Y986">
        <f>IF($N986=0,0,IF(AND($F986&lt;=EOMONTH(DATE(PlanYear,11,1),0),IF(ISNUMBER($G986),$G986,$F986)&gt;=DATE(PlanYear,11,1)),1,0))</f>
        <v>0</v>
      </c>
      <c r="Z986">
        <f>IF($N986=0,0,IF(AND($F986&lt;=EOMONTH(DATE(PlanYear,12,1),0),IF(ISNUMBER($G986),$G986,$F986)&gt;=DATE(PlanYear,12,1)),1,0))</f>
        <v>0</v>
      </c>
      <c r="AA986">
        <f>SUM($O986:$Z986)</f>
        <v>0</v>
      </c>
    </row>
    <row r="987" spans="1:27">
      <c r="A987" s="42">
        <f>IF($B987="","","ACT-"&amp;TEXT(ROW()-4,"000"))</f>
        <v>0</v>
      </c>
      <c r="M987" s="43">
        <f>IF(COUNTA($B987:$K987)=0,"",IF($B987="","Missing activity name",IF($C987="","Missing practice",IF(COUNTIF(PracticeNames,$C987)=0,"Practice not in Lists",IF($D987="","Missing motion",IF(NOT(ISNUMBER($F987)),"Missing or invalid start date",IF(AND(ISNUMBER($G987),$G987&lt;$F987),"End date before start",IF(AND($N987=1,$AA987=0),"Outside planning year","OK"))))))))</f>
        <v>0</v>
      </c>
      <c r="N987">
        <f>IF(AND($B987&lt;&gt;"",$C987&lt;&gt;"",$D987&lt;&gt;"",ISNUMBER($F987),COUNTIF(PracticeNames,$C987)&gt;0,COUNTIF(MotionNames,$D987)&gt;0,NOT(AND(ISNUMBER($G987),$G987&lt;$F987))),IF(StatusFilter="All (excl. Cancelled)",IF($H987="Cancelled",0,1),IF(StatusFilter="All",1,IF($H987=StatusFilter,1,0))),0)</f>
        <v>0</v>
      </c>
      <c r="O987">
        <f>IF($N987=0,0,IF(AND($F987&lt;=EOMONTH(DATE(PlanYear,1,1),0),IF(ISNUMBER($G987),$G987,$F987)&gt;=DATE(PlanYear,1,1)),1,0))</f>
        <v>0</v>
      </c>
      <c r="P987">
        <f>IF($N987=0,0,IF(AND($F987&lt;=EOMONTH(DATE(PlanYear,2,1),0),IF(ISNUMBER($G987),$G987,$F987)&gt;=DATE(PlanYear,2,1)),1,0))</f>
        <v>0</v>
      </c>
      <c r="Q987">
        <f>IF($N987=0,0,IF(AND($F987&lt;=EOMONTH(DATE(PlanYear,3,1),0),IF(ISNUMBER($G987),$G987,$F987)&gt;=DATE(PlanYear,3,1)),1,0))</f>
        <v>0</v>
      </c>
      <c r="R987">
        <f>IF($N987=0,0,IF(AND($F987&lt;=EOMONTH(DATE(PlanYear,4,1),0),IF(ISNUMBER($G987),$G987,$F987)&gt;=DATE(PlanYear,4,1)),1,0))</f>
        <v>0</v>
      </c>
      <c r="S987">
        <f>IF($N987=0,0,IF(AND($F987&lt;=EOMONTH(DATE(PlanYear,5,1),0),IF(ISNUMBER($G987),$G987,$F987)&gt;=DATE(PlanYear,5,1)),1,0))</f>
        <v>0</v>
      </c>
      <c r="T987">
        <f>IF($N987=0,0,IF(AND($F987&lt;=EOMONTH(DATE(PlanYear,6,1),0),IF(ISNUMBER($G987),$G987,$F987)&gt;=DATE(PlanYear,6,1)),1,0))</f>
        <v>0</v>
      </c>
      <c r="U987">
        <f>IF($N987=0,0,IF(AND($F987&lt;=EOMONTH(DATE(PlanYear,7,1),0),IF(ISNUMBER($G987),$G987,$F987)&gt;=DATE(PlanYear,7,1)),1,0))</f>
        <v>0</v>
      </c>
      <c r="V987">
        <f>IF($N987=0,0,IF(AND($F987&lt;=EOMONTH(DATE(PlanYear,8,1),0),IF(ISNUMBER($G987),$G987,$F987)&gt;=DATE(PlanYear,8,1)),1,0))</f>
        <v>0</v>
      </c>
      <c r="W987">
        <f>IF($N987=0,0,IF(AND($F987&lt;=EOMONTH(DATE(PlanYear,9,1),0),IF(ISNUMBER($G987),$G987,$F987)&gt;=DATE(PlanYear,9,1)),1,0))</f>
        <v>0</v>
      </c>
      <c r="X987">
        <f>IF($N987=0,0,IF(AND($F987&lt;=EOMONTH(DATE(PlanYear,10,1),0),IF(ISNUMBER($G987),$G987,$F987)&gt;=DATE(PlanYear,10,1)),1,0))</f>
        <v>0</v>
      </c>
      <c r="Y987">
        <f>IF($N987=0,0,IF(AND($F987&lt;=EOMONTH(DATE(PlanYear,11,1),0),IF(ISNUMBER($G987),$G987,$F987)&gt;=DATE(PlanYear,11,1)),1,0))</f>
        <v>0</v>
      </c>
      <c r="Z987">
        <f>IF($N987=0,0,IF(AND($F987&lt;=EOMONTH(DATE(PlanYear,12,1),0),IF(ISNUMBER($G987),$G987,$F987)&gt;=DATE(PlanYear,12,1)),1,0))</f>
        <v>0</v>
      </c>
      <c r="AA987">
        <f>SUM($O987:$Z987)</f>
        <v>0</v>
      </c>
    </row>
    <row r="988" spans="1:27">
      <c r="A988" s="42">
        <f>IF($B988="","","ACT-"&amp;TEXT(ROW()-4,"000"))</f>
        <v>0</v>
      </c>
      <c r="M988" s="43">
        <f>IF(COUNTA($B988:$K988)=0,"",IF($B988="","Missing activity name",IF($C988="","Missing practice",IF(COUNTIF(PracticeNames,$C988)=0,"Practice not in Lists",IF($D988="","Missing motion",IF(NOT(ISNUMBER($F988)),"Missing or invalid start date",IF(AND(ISNUMBER($G988),$G988&lt;$F988),"End date before start",IF(AND($N988=1,$AA988=0),"Outside planning year","OK"))))))))</f>
        <v>0</v>
      </c>
      <c r="N988">
        <f>IF(AND($B988&lt;&gt;"",$C988&lt;&gt;"",$D988&lt;&gt;"",ISNUMBER($F988),COUNTIF(PracticeNames,$C988)&gt;0,COUNTIF(MotionNames,$D988)&gt;0,NOT(AND(ISNUMBER($G988),$G988&lt;$F988))),IF(StatusFilter="All (excl. Cancelled)",IF($H988="Cancelled",0,1),IF(StatusFilter="All",1,IF($H988=StatusFilter,1,0))),0)</f>
        <v>0</v>
      </c>
      <c r="O988">
        <f>IF($N988=0,0,IF(AND($F988&lt;=EOMONTH(DATE(PlanYear,1,1),0),IF(ISNUMBER($G988),$G988,$F988)&gt;=DATE(PlanYear,1,1)),1,0))</f>
        <v>0</v>
      </c>
      <c r="P988">
        <f>IF($N988=0,0,IF(AND($F988&lt;=EOMONTH(DATE(PlanYear,2,1),0),IF(ISNUMBER($G988),$G988,$F988)&gt;=DATE(PlanYear,2,1)),1,0))</f>
        <v>0</v>
      </c>
      <c r="Q988">
        <f>IF($N988=0,0,IF(AND($F988&lt;=EOMONTH(DATE(PlanYear,3,1),0),IF(ISNUMBER($G988),$G988,$F988)&gt;=DATE(PlanYear,3,1)),1,0))</f>
        <v>0</v>
      </c>
      <c r="R988">
        <f>IF($N988=0,0,IF(AND($F988&lt;=EOMONTH(DATE(PlanYear,4,1),0),IF(ISNUMBER($G988),$G988,$F988)&gt;=DATE(PlanYear,4,1)),1,0))</f>
        <v>0</v>
      </c>
      <c r="S988">
        <f>IF($N988=0,0,IF(AND($F988&lt;=EOMONTH(DATE(PlanYear,5,1),0),IF(ISNUMBER($G988),$G988,$F988)&gt;=DATE(PlanYear,5,1)),1,0))</f>
        <v>0</v>
      </c>
      <c r="T988">
        <f>IF($N988=0,0,IF(AND($F988&lt;=EOMONTH(DATE(PlanYear,6,1),0),IF(ISNUMBER($G988),$G988,$F988)&gt;=DATE(PlanYear,6,1)),1,0))</f>
        <v>0</v>
      </c>
      <c r="U988">
        <f>IF($N988=0,0,IF(AND($F988&lt;=EOMONTH(DATE(PlanYear,7,1),0),IF(ISNUMBER($G988),$G988,$F988)&gt;=DATE(PlanYear,7,1)),1,0))</f>
        <v>0</v>
      </c>
      <c r="V988">
        <f>IF($N988=0,0,IF(AND($F988&lt;=EOMONTH(DATE(PlanYear,8,1),0),IF(ISNUMBER($G988),$G988,$F988)&gt;=DATE(PlanYear,8,1)),1,0))</f>
        <v>0</v>
      </c>
      <c r="W988">
        <f>IF($N988=0,0,IF(AND($F988&lt;=EOMONTH(DATE(PlanYear,9,1),0),IF(ISNUMBER($G988),$G988,$F988)&gt;=DATE(PlanYear,9,1)),1,0))</f>
        <v>0</v>
      </c>
      <c r="X988">
        <f>IF($N988=0,0,IF(AND($F988&lt;=EOMONTH(DATE(PlanYear,10,1),0),IF(ISNUMBER($G988),$G988,$F988)&gt;=DATE(PlanYear,10,1)),1,0))</f>
        <v>0</v>
      </c>
      <c r="Y988">
        <f>IF($N988=0,0,IF(AND($F988&lt;=EOMONTH(DATE(PlanYear,11,1),0),IF(ISNUMBER($G988),$G988,$F988)&gt;=DATE(PlanYear,11,1)),1,0))</f>
        <v>0</v>
      </c>
      <c r="Z988">
        <f>IF($N988=0,0,IF(AND($F988&lt;=EOMONTH(DATE(PlanYear,12,1),0),IF(ISNUMBER($G988),$G988,$F988)&gt;=DATE(PlanYear,12,1)),1,0))</f>
        <v>0</v>
      </c>
      <c r="AA988">
        <f>SUM($O988:$Z988)</f>
        <v>0</v>
      </c>
    </row>
    <row r="989" spans="1:27">
      <c r="A989" s="42">
        <f>IF($B989="","","ACT-"&amp;TEXT(ROW()-4,"000"))</f>
        <v>0</v>
      </c>
      <c r="M989" s="43">
        <f>IF(COUNTA($B989:$K989)=0,"",IF($B989="","Missing activity name",IF($C989="","Missing practice",IF(COUNTIF(PracticeNames,$C989)=0,"Practice not in Lists",IF($D989="","Missing motion",IF(NOT(ISNUMBER($F989)),"Missing or invalid start date",IF(AND(ISNUMBER($G989),$G989&lt;$F989),"End date before start",IF(AND($N989=1,$AA989=0),"Outside planning year","OK"))))))))</f>
        <v>0</v>
      </c>
      <c r="N989">
        <f>IF(AND($B989&lt;&gt;"",$C989&lt;&gt;"",$D989&lt;&gt;"",ISNUMBER($F989),COUNTIF(PracticeNames,$C989)&gt;0,COUNTIF(MotionNames,$D989)&gt;0,NOT(AND(ISNUMBER($G989),$G989&lt;$F989))),IF(StatusFilter="All (excl. Cancelled)",IF($H989="Cancelled",0,1),IF(StatusFilter="All",1,IF($H989=StatusFilter,1,0))),0)</f>
        <v>0</v>
      </c>
      <c r="O989">
        <f>IF($N989=0,0,IF(AND($F989&lt;=EOMONTH(DATE(PlanYear,1,1),0),IF(ISNUMBER($G989),$G989,$F989)&gt;=DATE(PlanYear,1,1)),1,0))</f>
        <v>0</v>
      </c>
      <c r="P989">
        <f>IF($N989=0,0,IF(AND($F989&lt;=EOMONTH(DATE(PlanYear,2,1),0),IF(ISNUMBER($G989),$G989,$F989)&gt;=DATE(PlanYear,2,1)),1,0))</f>
        <v>0</v>
      </c>
      <c r="Q989">
        <f>IF($N989=0,0,IF(AND($F989&lt;=EOMONTH(DATE(PlanYear,3,1),0),IF(ISNUMBER($G989),$G989,$F989)&gt;=DATE(PlanYear,3,1)),1,0))</f>
        <v>0</v>
      </c>
      <c r="R989">
        <f>IF($N989=0,0,IF(AND($F989&lt;=EOMONTH(DATE(PlanYear,4,1),0),IF(ISNUMBER($G989),$G989,$F989)&gt;=DATE(PlanYear,4,1)),1,0))</f>
        <v>0</v>
      </c>
      <c r="S989">
        <f>IF($N989=0,0,IF(AND($F989&lt;=EOMONTH(DATE(PlanYear,5,1),0),IF(ISNUMBER($G989),$G989,$F989)&gt;=DATE(PlanYear,5,1)),1,0))</f>
        <v>0</v>
      </c>
      <c r="T989">
        <f>IF($N989=0,0,IF(AND($F989&lt;=EOMONTH(DATE(PlanYear,6,1),0),IF(ISNUMBER($G989),$G989,$F989)&gt;=DATE(PlanYear,6,1)),1,0))</f>
        <v>0</v>
      </c>
      <c r="U989">
        <f>IF($N989=0,0,IF(AND($F989&lt;=EOMONTH(DATE(PlanYear,7,1),0),IF(ISNUMBER($G989),$G989,$F989)&gt;=DATE(PlanYear,7,1)),1,0))</f>
        <v>0</v>
      </c>
      <c r="V989">
        <f>IF($N989=0,0,IF(AND($F989&lt;=EOMONTH(DATE(PlanYear,8,1),0),IF(ISNUMBER($G989),$G989,$F989)&gt;=DATE(PlanYear,8,1)),1,0))</f>
        <v>0</v>
      </c>
      <c r="W989">
        <f>IF($N989=0,0,IF(AND($F989&lt;=EOMONTH(DATE(PlanYear,9,1),0),IF(ISNUMBER($G989),$G989,$F989)&gt;=DATE(PlanYear,9,1)),1,0))</f>
        <v>0</v>
      </c>
      <c r="X989">
        <f>IF($N989=0,0,IF(AND($F989&lt;=EOMONTH(DATE(PlanYear,10,1),0),IF(ISNUMBER($G989),$G989,$F989)&gt;=DATE(PlanYear,10,1)),1,0))</f>
        <v>0</v>
      </c>
      <c r="Y989">
        <f>IF($N989=0,0,IF(AND($F989&lt;=EOMONTH(DATE(PlanYear,11,1),0),IF(ISNUMBER($G989),$G989,$F989)&gt;=DATE(PlanYear,11,1)),1,0))</f>
        <v>0</v>
      </c>
      <c r="Z989">
        <f>IF($N989=0,0,IF(AND($F989&lt;=EOMONTH(DATE(PlanYear,12,1),0),IF(ISNUMBER($G989),$G989,$F989)&gt;=DATE(PlanYear,12,1)),1,0))</f>
        <v>0</v>
      </c>
      <c r="AA989">
        <f>SUM($O989:$Z989)</f>
        <v>0</v>
      </c>
    </row>
    <row r="990" spans="1:27">
      <c r="A990" s="42">
        <f>IF($B990="","","ACT-"&amp;TEXT(ROW()-4,"000"))</f>
        <v>0</v>
      </c>
      <c r="M990" s="43">
        <f>IF(COUNTA($B990:$K990)=0,"",IF($B990="","Missing activity name",IF($C990="","Missing practice",IF(COUNTIF(PracticeNames,$C990)=0,"Practice not in Lists",IF($D990="","Missing motion",IF(NOT(ISNUMBER($F990)),"Missing or invalid start date",IF(AND(ISNUMBER($G990),$G990&lt;$F990),"End date before start",IF(AND($N990=1,$AA990=0),"Outside planning year","OK"))))))))</f>
        <v>0</v>
      </c>
      <c r="N990">
        <f>IF(AND($B990&lt;&gt;"",$C990&lt;&gt;"",$D990&lt;&gt;"",ISNUMBER($F990),COUNTIF(PracticeNames,$C990)&gt;0,COUNTIF(MotionNames,$D990)&gt;0,NOT(AND(ISNUMBER($G990),$G990&lt;$F990))),IF(StatusFilter="All (excl. Cancelled)",IF($H990="Cancelled",0,1),IF(StatusFilter="All",1,IF($H990=StatusFilter,1,0))),0)</f>
        <v>0</v>
      </c>
      <c r="O990">
        <f>IF($N990=0,0,IF(AND($F990&lt;=EOMONTH(DATE(PlanYear,1,1),0),IF(ISNUMBER($G990),$G990,$F990)&gt;=DATE(PlanYear,1,1)),1,0))</f>
        <v>0</v>
      </c>
      <c r="P990">
        <f>IF($N990=0,0,IF(AND($F990&lt;=EOMONTH(DATE(PlanYear,2,1),0),IF(ISNUMBER($G990),$G990,$F990)&gt;=DATE(PlanYear,2,1)),1,0))</f>
        <v>0</v>
      </c>
      <c r="Q990">
        <f>IF($N990=0,0,IF(AND($F990&lt;=EOMONTH(DATE(PlanYear,3,1),0),IF(ISNUMBER($G990),$G990,$F990)&gt;=DATE(PlanYear,3,1)),1,0))</f>
        <v>0</v>
      </c>
      <c r="R990">
        <f>IF($N990=0,0,IF(AND($F990&lt;=EOMONTH(DATE(PlanYear,4,1),0),IF(ISNUMBER($G990),$G990,$F990)&gt;=DATE(PlanYear,4,1)),1,0))</f>
        <v>0</v>
      </c>
      <c r="S990">
        <f>IF($N990=0,0,IF(AND($F990&lt;=EOMONTH(DATE(PlanYear,5,1),0),IF(ISNUMBER($G990),$G990,$F990)&gt;=DATE(PlanYear,5,1)),1,0))</f>
        <v>0</v>
      </c>
      <c r="T990">
        <f>IF($N990=0,0,IF(AND($F990&lt;=EOMONTH(DATE(PlanYear,6,1),0),IF(ISNUMBER($G990),$G990,$F990)&gt;=DATE(PlanYear,6,1)),1,0))</f>
        <v>0</v>
      </c>
      <c r="U990">
        <f>IF($N990=0,0,IF(AND($F990&lt;=EOMONTH(DATE(PlanYear,7,1),0),IF(ISNUMBER($G990),$G990,$F990)&gt;=DATE(PlanYear,7,1)),1,0))</f>
        <v>0</v>
      </c>
      <c r="V990">
        <f>IF($N990=0,0,IF(AND($F990&lt;=EOMONTH(DATE(PlanYear,8,1),0),IF(ISNUMBER($G990),$G990,$F990)&gt;=DATE(PlanYear,8,1)),1,0))</f>
        <v>0</v>
      </c>
      <c r="W990">
        <f>IF($N990=0,0,IF(AND($F990&lt;=EOMONTH(DATE(PlanYear,9,1),0),IF(ISNUMBER($G990),$G990,$F990)&gt;=DATE(PlanYear,9,1)),1,0))</f>
        <v>0</v>
      </c>
      <c r="X990">
        <f>IF($N990=0,0,IF(AND($F990&lt;=EOMONTH(DATE(PlanYear,10,1),0),IF(ISNUMBER($G990),$G990,$F990)&gt;=DATE(PlanYear,10,1)),1,0))</f>
        <v>0</v>
      </c>
      <c r="Y990">
        <f>IF($N990=0,0,IF(AND($F990&lt;=EOMONTH(DATE(PlanYear,11,1),0),IF(ISNUMBER($G990),$G990,$F990)&gt;=DATE(PlanYear,11,1)),1,0))</f>
        <v>0</v>
      </c>
      <c r="Z990">
        <f>IF($N990=0,0,IF(AND($F990&lt;=EOMONTH(DATE(PlanYear,12,1),0),IF(ISNUMBER($G990),$G990,$F990)&gt;=DATE(PlanYear,12,1)),1,0))</f>
        <v>0</v>
      </c>
      <c r="AA990">
        <f>SUM($O990:$Z990)</f>
        <v>0</v>
      </c>
    </row>
    <row r="991" spans="1:27">
      <c r="A991" s="42">
        <f>IF($B991="","","ACT-"&amp;TEXT(ROW()-4,"000"))</f>
        <v>0</v>
      </c>
      <c r="M991" s="43">
        <f>IF(COUNTA($B991:$K991)=0,"",IF($B991="","Missing activity name",IF($C991="","Missing practice",IF(COUNTIF(PracticeNames,$C991)=0,"Practice not in Lists",IF($D991="","Missing motion",IF(NOT(ISNUMBER($F991)),"Missing or invalid start date",IF(AND(ISNUMBER($G991),$G991&lt;$F991),"End date before start",IF(AND($N991=1,$AA991=0),"Outside planning year","OK"))))))))</f>
        <v>0</v>
      </c>
      <c r="N991">
        <f>IF(AND($B991&lt;&gt;"",$C991&lt;&gt;"",$D991&lt;&gt;"",ISNUMBER($F991),COUNTIF(PracticeNames,$C991)&gt;0,COUNTIF(MotionNames,$D991)&gt;0,NOT(AND(ISNUMBER($G991),$G991&lt;$F991))),IF(StatusFilter="All (excl. Cancelled)",IF($H991="Cancelled",0,1),IF(StatusFilter="All",1,IF($H991=StatusFilter,1,0))),0)</f>
        <v>0</v>
      </c>
      <c r="O991">
        <f>IF($N991=0,0,IF(AND($F991&lt;=EOMONTH(DATE(PlanYear,1,1),0),IF(ISNUMBER($G991),$G991,$F991)&gt;=DATE(PlanYear,1,1)),1,0))</f>
        <v>0</v>
      </c>
      <c r="P991">
        <f>IF($N991=0,0,IF(AND($F991&lt;=EOMONTH(DATE(PlanYear,2,1),0),IF(ISNUMBER($G991),$G991,$F991)&gt;=DATE(PlanYear,2,1)),1,0))</f>
        <v>0</v>
      </c>
      <c r="Q991">
        <f>IF($N991=0,0,IF(AND($F991&lt;=EOMONTH(DATE(PlanYear,3,1),0),IF(ISNUMBER($G991),$G991,$F991)&gt;=DATE(PlanYear,3,1)),1,0))</f>
        <v>0</v>
      </c>
      <c r="R991">
        <f>IF($N991=0,0,IF(AND($F991&lt;=EOMONTH(DATE(PlanYear,4,1),0),IF(ISNUMBER($G991),$G991,$F991)&gt;=DATE(PlanYear,4,1)),1,0))</f>
        <v>0</v>
      </c>
      <c r="S991">
        <f>IF($N991=0,0,IF(AND($F991&lt;=EOMONTH(DATE(PlanYear,5,1),0),IF(ISNUMBER($G991),$G991,$F991)&gt;=DATE(PlanYear,5,1)),1,0))</f>
        <v>0</v>
      </c>
      <c r="T991">
        <f>IF($N991=0,0,IF(AND($F991&lt;=EOMONTH(DATE(PlanYear,6,1),0),IF(ISNUMBER($G991),$G991,$F991)&gt;=DATE(PlanYear,6,1)),1,0))</f>
        <v>0</v>
      </c>
      <c r="U991">
        <f>IF($N991=0,0,IF(AND($F991&lt;=EOMONTH(DATE(PlanYear,7,1),0),IF(ISNUMBER($G991),$G991,$F991)&gt;=DATE(PlanYear,7,1)),1,0))</f>
        <v>0</v>
      </c>
      <c r="V991">
        <f>IF($N991=0,0,IF(AND($F991&lt;=EOMONTH(DATE(PlanYear,8,1),0),IF(ISNUMBER($G991),$G991,$F991)&gt;=DATE(PlanYear,8,1)),1,0))</f>
        <v>0</v>
      </c>
      <c r="W991">
        <f>IF($N991=0,0,IF(AND($F991&lt;=EOMONTH(DATE(PlanYear,9,1),0),IF(ISNUMBER($G991),$G991,$F991)&gt;=DATE(PlanYear,9,1)),1,0))</f>
        <v>0</v>
      </c>
      <c r="X991">
        <f>IF($N991=0,0,IF(AND($F991&lt;=EOMONTH(DATE(PlanYear,10,1),0),IF(ISNUMBER($G991),$G991,$F991)&gt;=DATE(PlanYear,10,1)),1,0))</f>
        <v>0</v>
      </c>
      <c r="Y991">
        <f>IF($N991=0,0,IF(AND($F991&lt;=EOMONTH(DATE(PlanYear,11,1),0),IF(ISNUMBER($G991),$G991,$F991)&gt;=DATE(PlanYear,11,1)),1,0))</f>
        <v>0</v>
      </c>
      <c r="Z991">
        <f>IF($N991=0,0,IF(AND($F991&lt;=EOMONTH(DATE(PlanYear,12,1),0),IF(ISNUMBER($G991),$G991,$F991)&gt;=DATE(PlanYear,12,1)),1,0))</f>
        <v>0</v>
      </c>
      <c r="AA991">
        <f>SUM($O991:$Z991)</f>
        <v>0</v>
      </c>
    </row>
    <row r="992" spans="1:27">
      <c r="A992" s="42">
        <f>IF($B992="","","ACT-"&amp;TEXT(ROW()-4,"000"))</f>
        <v>0</v>
      </c>
      <c r="M992" s="43">
        <f>IF(COUNTA($B992:$K992)=0,"",IF($B992="","Missing activity name",IF($C992="","Missing practice",IF(COUNTIF(PracticeNames,$C992)=0,"Practice not in Lists",IF($D992="","Missing motion",IF(NOT(ISNUMBER($F992)),"Missing or invalid start date",IF(AND(ISNUMBER($G992),$G992&lt;$F992),"End date before start",IF(AND($N992=1,$AA992=0),"Outside planning year","OK"))))))))</f>
        <v>0</v>
      </c>
      <c r="N992">
        <f>IF(AND($B992&lt;&gt;"",$C992&lt;&gt;"",$D992&lt;&gt;"",ISNUMBER($F992),COUNTIF(PracticeNames,$C992)&gt;0,COUNTIF(MotionNames,$D992)&gt;0,NOT(AND(ISNUMBER($G992),$G992&lt;$F992))),IF(StatusFilter="All (excl. Cancelled)",IF($H992="Cancelled",0,1),IF(StatusFilter="All",1,IF($H992=StatusFilter,1,0))),0)</f>
        <v>0</v>
      </c>
      <c r="O992">
        <f>IF($N992=0,0,IF(AND($F992&lt;=EOMONTH(DATE(PlanYear,1,1),0),IF(ISNUMBER($G992),$G992,$F992)&gt;=DATE(PlanYear,1,1)),1,0))</f>
        <v>0</v>
      </c>
      <c r="P992">
        <f>IF($N992=0,0,IF(AND($F992&lt;=EOMONTH(DATE(PlanYear,2,1),0),IF(ISNUMBER($G992),$G992,$F992)&gt;=DATE(PlanYear,2,1)),1,0))</f>
        <v>0</v>
      </c>
      <c r="Q992">
        <f>IF($N992=0,0,IF(AND($F992&lt;=EOMONTH(DATE(PlanYear,3,1),0),IF(ISNUMBER($G992),$G992,$F992)&gt;=DATE(PlanYear,3,1)),1,0))</f>
        <v>0</v>
      </c>
      <c r="R992">
        <f>IF($N992=0,0,IF(AND($F992&lt;=EOMONTH(DATE(PlanYear,4,1),0),IF(ISNUMBER($G992),$G992,$F992)&gt;=DATE(PlanYear,4,1)),1,0))</f>
        <v>0</v>
      </c>
      <c r="S992">
        <f>IF($N992=0,0,IF(AND($F992&lt;=EOMONTH(DATE(PlanYear,5,1),0),IF(ISNUMBER($G992),$G992,$F992)&gt;=DATE(PlanYear,5,1)),1,0))</f>
        <v>0</v>
      </c>
      <c r="T992">
        <f>IF($N992=0,0,IF(AND($F992&lt;=EOMONTH(DATE(PlanYear,6,1),0),IF(ISNUMBER($G992),$G992,$F992)&gt;=DATE(PlanYear,6,1)),1,0))</f>
        <v>0</v>
      </c>
      <c r="U992">
        <f>IF($N992=0,0,IF(AND($F992&lt;=EOMONTH(DATE(PlanYear,7,1),0),IF(ISNUMBER($G992),$G992,$F992)&gt;=DATE(PlanYear,7,1)),1,0))</f>
        <v>0</v>
      </c>
      <c r="V992">
        <f>IF($N992=0,0,IF(AND($F992&lt;=EOMONTH(DATE(PlanYear,8,1),0),IF(ISNUMBER($G992),$G992,$F992)&gt;=DATE(PlanYear,8,1)),1,0))</f>
        <v>0</v>
      </c>
      <c r="W992">
        <f>IF($N992=0,0,IF(AND($F992&lt;=EOMONTH(DATE(PlanYear,9,1),0),IF(ISNUMBER($G992),$G992,$F992)&gt;=DATE(PlanYear,9,1)),1,0))</f>
        <v>0</v>
      </c>
      <c r="X992">
        <f>IF($N992=0,0,IF(AND($F992&lt;=EOMONTH(DATE(PlanYear,10,1),0),IF(ISNUMBER($G992),$G992,$F992)&gt;=DATE(PlanYear,10,1)),1,0))</f>
        <v>0</v>
      </c>
      <c r="Y992">
        <f>IF($N992=0,0,IF(AND($F992&lt;=EOMONTH(DATE(PlanYear,11,1),0),IF(ISNUMBER($G992),$G992,$F992)&gt;=DATE(PlanYear,11,1)),1,0))</f>
        <v>0</v>
      </c>
      <c r="Z992">
        <f>IF($N992=0,0,IF(AND($F992&lt;=EOMONTH(DATE(PlanYear,12,1),0),IF(ISNUMBER($G992),$G992,$F992)&gt;=DATE(PlanYear,12,1)),1,0))</f>
        <v>0</v>
      </c>
      <c r="AA992">
        <f>SUM($O992:$Z992)</f>
        <v>0</v>
      </c>
    </row>
    <row r="993" spans="1:27">
      <c r="A993" s="42">
        <f>IF($B993="","","ACT-"&amp;TEXT(ROW()-4,"000"))</f>
        <v>0</v>
      </c>
      <c r="M993" s="43">
        <f>IF(COUNTA($B993:$K993)=0,"",IF($B993="","Missing activity name",IF($C993="","Missing practice",IF(COUNTIF(PracticeNames,$C993)=0,"Practice not in Lists",IF($D993="","Missing motion",IF(NOT(ISNUMBER($F993)),"Missing or invalid start date",IF(AND(ISNUMBER($G993),$G993&lt;$F993),"End date before start",IF(AND($N993=1,$AA993=0),"Outside planning year","OK"))))))))</f>
        <v>0</v>
      </c>
      <c r="N993">
        <f>IF(AND($B993&lt;&gt;"",$C993&lt;&gt;"",$D993&lt;&gt;"",ISNUMBER($F993),COUNTIF(PracticeNames,$C993)&gt;0,COUNTIF(MotionNames,$D993)&gt;0,NOT(AND(ISNUMBER($G993),$G993&lt;$F993))),IF(StatusFilter="All (excl. Cancelled)",IF($H993="Cancelled",0,1),IF(StatusFilter="All",1,IF($H993=StatusFilter,1,0))),0)</f>
        <v>0</v>
      </c>
      <c r="O993">
        <f>IF($N993=0,0,IF(AND($F993&lt;=EOMONTH(DATE(PlanYear,1,1),0),IF(ISNUMBER($G993),$G993,$F993)&gt;=DATE(PlanYear,1,1)),1,0))</f>
        <v>0</v>
      </c>
      <c r="P993">
        <f>IF($N993=0,0,IF(AND($F993&lt;=EOMONTH(DATE(PlanYear,2,1),0),IF(ISNUMBER($G993),$G993,$F993)&gt;=DATE(PlanYear,2,1)),1,0))</f>
        <v>0</v>
      </c>
      <c r="Q993">
        <f>IF($N993=0,0,IF(AND($F993&lt;=EOMONTH(DATE(PlanYear,3,1),0),IF(ISNUMBER($G993),$G993,$F993)&gt;=DATE(PlanYear,3,1)),1,0))</f>
        <v>0</v>
      </c>
      <c r="R993">
        <f>IF($N993=0,0,IF(AND($F993&lt;=EOMONTH(DATE(PlanYear,4,1),0),IF(ISNUMBER($G993),$G993,$F993)&gt;=DATE(PlanYear,4,1)),1,0))</f>
        <v>0</v>
      </c>
      <c r="S993">
        <f>IF($N993=0,0,IF(AND($F993&lt;=EOMONTH(DATE(PlanYear,5,1),0),IF(ISNUMBER($G993),$G993,$F993)&gt;=DATE(PlanYear,5,1)),1,0))</f>
        <v>0</v>
      </c>
      <c r="T993">
        <f>IF($N993=0,0,IF(AND($F993&lt;=EOMONTH(DATE(PlanYear,6,1),0),IF(ISNUMBER($G993),$G993,$F993)&gt;=DATE(PlanYear,6,1)),1,0))</f>
        <v>0</v>
      </c>
      <c r="U993">
        <f>IF($N993=0,0,IF(AND($F993&lt;=EOMONTH(DATE(PlanYear,7,1),0),IF(ISNUMBER($G993),$G993,$F993)&gt;=DATE(PlanYear,7,1)),1,0))</f>
        <v>0</v>
      </c>
      <c r="V993">
        <f>IF($N993=0,0,IF(AND($F993&lt;=EOMONTH(DATE(PlanYear,8,1),0),IF(ISNUMBER($G993),$G993,$F993)&gt;=DATE(PlanYear,8,1)),1,0))</f>
        <v>0</v>
      </c>
      <c r="W993">
        <f>IF($N993=0,0,IF(AND($F993&lt;=EOMONTH(DATE(PlanYear,9,1),0),IF(ISNUMBER($G993),$G993,$F993)&gt;=DATE(PlanYear,9,1)),1,0))</f>
        <v>0</v>
      </c>
      <c r="X993">
        <f>IF($N993=0,0,IF(AND($F993&lt;=EOMONTH(DATE(PlanYear,10,1),0),IF(ISNUMBER($G993),$G993,$F993)&gt;=DATE(PlanYear,10,1)),1,0))</f>
        <v>0</v>
      </c>
      <c r="Y993">
        <f>IF($N993=0,0,IF(AND($F993&lt;=EOMONTH(DATE(PlanYear,11,1),0),IF(ISNUMBER($G993),$G993,$F993)&gt;=DATE(PlanYear,11,1)),1,0))</f>
        <v>0</v>
      </c>
      <c r="Z993">
        <f>IF($N993=0,0,IF(AND($F993&lt;=EOMONTH(DATE(PlanYear,12,1),0),IF(ISNUMBER($G993),$G993,$F993)&gt;=DATE(PlanYear,12,1)),1,0))</f>
        <v>0</v>
      </c>
      <c r="AA993">
        <f>SUM($O993:$Z993)</f>
        <v>0</v>
      </c>
    </row>
    <row r="994" spans="1:27">
      <c r="A994" s="42">
        <f>IF($B994="","","ACT-"&amp;TEXT(ROW()-4,"000"))</f>
        <v>0</v>
      </c>
      <c r="M994" s="43">
        <f>IF(COUNTA($B994:$K994)=0,"",IF($B994="","Missing activity name",IF($C994="","Missing practice",IF(COUNTIF(PracticeNames,$C994)=0,"Practice not in Lists",IF($D994="","Missing motion",IF(NOT(ISNUMBER($F994)),"Missing or invalid start date",IF(AND(ISNUMBER($G994),$G994&lt;$F994),"End date before start",IF(AND($N994=1,$AA994=0),"Outside planning year","OK"))))))))</f>
        <v>0</v>
      </c>
      <c r="N994">
        <f>IF(AND($B994&lt;&gt;"",$C994&lt;&gt;"",$D994&lt;&gt;"",ISNUMBER($F994),COUNTIF(PracticeNames,$C994)&gt;0,COUNTIF(MotionNames,$D994)&gt;0,NOT(AND(ISNUMBER($G994),$G994&lt;$F994))),IF(StatusFilter="All (excl. Cancelled)",IF($H994="Cancelled",0,1),IF(StatusFilter="All",1,IF($H994=StatusFilter,1,0))),0)</f>
        <v>0</v>
      </c>
      <c r="O994">
        <f>IF($N994=0,0,IF(AND($F994&lt;=EOMONTH(DATE(PlanYear,1,1),0),IF(ISNUMBER($G994),$G994,$F994)&gt;=DATE(PlanYear,1,1)),1,0))</f>
        <v>0</v>
      </c>
      <c r="P994">
        <f>IF($N994=0,0,IF(AND($F994&lt;=EOMONTH(DATE(PlanYear,2,1),0),IF(ISNUMBER($G994),$G994,$F994)&gt;=DATE(PlanYear,2,1)),1,0))</f>
        <v>0</v>
      </c>
      <c r="Q994">
        <f>IF($N994=0,0,IF(AND($F994&lt;=EOMONTH(DATE(PlanYear,3,1),0),IF(ISNUMBER($G994),$G994,$F994)&gt;=DATE(PlanYear,3,1)),1,0))</f>
        <v>0</v>
      </c>
      <c r="R994">
        <f>IF($N994=0,0,IF(AND($F994&lt;=EOMONTH(DATE(PlanYear,4,1),0),IF(ISNUMBER($G994),$G994,$F994)&gt;=DATE(PlanYear,4,1)),1,0))</f>
        <v>0</v>
      </c>
      <c r="S994">
        <f>IF($N994=0,0,IF(AND($F994&lt;=EOMONTH(DATE(PlanYear,5,1),0),IF(ISNUMBER($G994),$G994,$F994)&gt;=DATE(PlanYear,5,1)),1,0))</f>
        <v>0</v>
      </c>
      <c r="T994">
        <f>IF($N994=0,0,IF(AND($F994&lt;=EOMONTH(DATE(PlanYear,6,1),0),IF(ISNUMBER($G994),$G994,$F994)&gt;=DATE(PlanYear,6,1)),1,0))</f>
        <v>0</v>
      </c>
      <c r="U994">
        <f>IF($N994=0,0,IF(AND($F994&lt;=EOMONTH(DATE(PlanYear,7,1),0),IF(ISNUMBER($G994),$G994,$F994)&gt;=DATE(PlanYear,7,1)),1,0))</f>
        <v>0</v>
      </c>
      <c r="V994">
        <f>IF($N994=0,0,IF(AND($F994&lt;=EOMONTH(DATE(PlanYear,8,1),0),IF(ISNUMBER($G994),$G994,$F994)&gt;=DATE(PlanYear,8,1)),1,0))</f>
        <v>0</v>
      </c>
      <c r="W994">
        <f>IF($N994=0,0,IF(AND($F994&lt;=EOMONTH(DATE(PlanYear,9,1),0),IF(ISNUMBER($G994),$G994,$F994)&gt;=DATE(PlanYear,9,1)),1,0))</f>
        <v>0</v>
      </c>
      <c r="X994">
        <f>IF($N994=0,0,IF(AND($F994&lt;=EOMONTH(DATE(PlanYear,10,1),0),IF(ISNUMBER($G994),$G994,$F994)&gt;=DATE(PlanYear,10,1)),1,0))</f>
        <v>0</v>
      </c>
      <c r="Y994">
        <f>IF($N994=0,0,IF(AND($F994&lt;=EOMONTH(DATE(PlanYear,11,1),0),IF(ISNUMBER($G994),$G994,$F994)&gt;=DATE(PlanYear,11,1)),1,0))</f>
        <v>0</v>
      </c>
      <c r="Z994">
        <f>IF($N994=0,0,IF(AND($F994&lt;=EOMONTH(DATE(PlanYear,12,1),0),IF(ISNUMBER($G994),$G994,$F994)&gt;=DATE(PlanYear,12,1)),1,0))</f>
        <v>0</v>
      </c>
      <c r="AA994">
        <f>SUM($O994:$Z994)</f>
        <v>0</v>
      </c>
    </row>
    <row r="995" spans="1:27">
      <c r="A995" s="42">
        <f>IF($B995="","","ACT-"&amp;TEXT(ROW()-4,"000"))</f>
        <v>0</v>
      </c>
      <c r="M995" s="43">
        <f>IF(COUNTA($B995:$K995)=0,"",IF($B995="","Missing activity name",IF($C995="","Missing practice",IF(COUNTIF(PracticeNames,$C995)=0,"Practice not in Lists",IF($D995="","Missing motion",IF(NOT(ISNUMBER($F995)),"Missing or invalid start date",IF(AND(ISNUMBER($G995),$G995&lt;$F995),"End date before start",IF(AND($N995=1,$AA995=0),"Outside planning year","OK"))))))))</f>
        <v>0</v>
      </c>
      <c r="N995">
        <f>IF(AND($B995&lt;&gt;"",$C995&lt;&gt;"",$D995&lt;&gt;"",ISNUMBER($F995),COUNTIF(PracticeNames,$C995)&gt;0,COUNTIF(MotionNames,$D995)&gt;0,NOT(AND(ISNUMBER($G995),$G995&lt;$F995))),IF(StatusFilter="All (excl. Cancelled)",IF($H995="Cancelled",0,1),IF(StatusFilter="All",1,IF($H995=StatusFilter,1,0))),0)</f>
        <v>0</v>
      </c>
      <c r="O995">
        <f>IF($N995=0,0,IF(AND($F995&lt;=EOMONTH(DATE(PlanYear,1,1),0),IF(ISNUMBER($G995),$G995,$F995)&gt;=DATE(PlanYear,1,1)),1,0))</f>
        <v>0</v>
      </c>
      <c r="P995">
        <f>IF($N995=0,0,IF(AND($F995&lt;=EOMONTH(DATE(PlanYear,2,1),0),IF(ISNUMBER($G995),$G995,$F995)&gt;=DATE(PlanYear,2,1)),1,0))</f>
        <v>0</v>
      </c>
      <c r="Q995">
        <f>IF($N995=0,0,IF(AND($F995&lt;=EOMONTH(DATE(PlanYear,3,1),0),IF(ISNUMBER($G995),$G995,$F995)&gt;=DATE(PlanYear,3,1)),1,0))</f>
        <v>0</v>
      </c>
      <c r="R995">
        <f>IF($N995=0,0,IF(AND($F995&lt;=EOMONTH(DATE(PlanYear,4,1),0),IF(ISNUMBER($G995),$G995,$F995)&gt;=DATE(PlanYear,4,1)),1,0))</f>
        <v>0</v>
      </c>
      <c r="S995">
        <f>IF($N995=0,0,IF(AND($F995&lt;=EOMONTH(DATE(PlanYear,5,1),0),IF(ISNUMBER($G995),$G995,$F995)&gt;=DATE(PlanYear,5,1)),1,0))</f>
        <v>0</v>
      </c>
      <c r="T995">
        <f>IF($N995=0,0,IF(AND($F995&lt;=EOMONTH(DATE(PlanYear,6,1),0),IF(ISNUMBER($G995),$G995,$F995)&gt;=DATE(PlanYear,6,1)),1,0))</f>
        <v>0</v>
      </c>
      <c r="U995">
        <f>IF($N995=0,0,IF(AND($F995&lt;=EOMONTH(DATE(PlanYear,7,1),0),IF(ISNUMBER($G995),$G995,$F995)&gt;=DATE(PlanYear,7,1)),1,0))</f>
        <v>0</v>
      </c>
      <c r="V995">
        <f>IF($N995=0,0,IF(AND($F995&lt;=EOMONTH(DATE(PlanYear,8,1),0),IF(ISNUMBER($G995),$G995,$F995)&gt;=DATE(PlanYear,8,1)),1,0))</f>
        <v>0</v>
      </c>
      <c r="W995">
        <f>IF($N995=0,0,IF(AND($F995&lt;=EOMONTH(DATE(PlanYear,9,1),0),IF(ISNUMBER($G995),$G995,$F995)&gt;=DATE(PlanYear,9,1)),1,0))</f>
        <v>0</v>
      </c>
      <c r="X995">
        <f>IF($N995=0,0,IF(AND($F995&lt;=EOMONTH(DATE(PlanYear,10,1),0),IF(ISNUMBER($G995),$G995,$F995)&gt;=DATE(PlanYear,10,1)),1,0))</f>
        <v>0</v>
      </c>
      <c r="Y995">
        <f>IF($N995=0,0,IF(AND($F995&lt;=EOMONTH(DATE(PlanYear,11,1),0),IF(ISNUMBER($G995),$G995,$F995)&gt;=DATE(PlanYear,11,1)),1,0))</f>
        <v>0</v>
      </c>
      <c r="Z995">
        <f>IF($N995=0,0,IF(AND($F995&lt;=EOMONTH(DATE(PlanYear,12,1),0),IF(ISNUMBER($G995),$G995,$F995)&gt;=DATE(PlanYear,12,1)),1,0))</f>
        <v>0</v>
      </c>
      <c r="AA995">
        <f>SUM($O995:$Z995)</f>
        <v>0</v>
      </c>
    </row>
    <row r="996" spans="1:27">
      <c r="A996" s="42">
        <f>IF($B996="","","ACT-"&amp;TEXT(ROW()-4,"000"))</f>
        <v>0</v>
      </c>
      <c r="M996" s="43">
        <f>IF(COUNTA($B996:$K996)=0,"",IF($B996="","Missing activity name",IF($C996="","Missing practice",IF(COUNTIF(PracticeNames,$C996)=0,"Practice not in Lists",IF($D996="","Missing motion",IF(NOT(ISNUMBER($F996)),"Missing or invalid start date",IF(AND(ISNUMBER($G996),$G996&lt;$F996),"End date before start",IF(AND($N996=1,$AA996=0),"Outside planning year","OK"))))))))</f>
        <v>0</v>
      </c>
      <c r="N996">
        <f>IF(AND($B996&lt;&gt;"",$C996&lt;&gt;"",$D996&lt;&gt;"",ISNUMBER($F996),COUNTIF(PracticeNames,$C996)&gt;0,COUNTIF(MotionNames,$D996)&gt;0,NOT(AND(ISNUMBER($G996),$G996&lt;$F996))),IF(StatusFilter="All (excl. Cancelled)",IF($H996="Cancelled",0,1),IF(StatusFilter="All",1,IF($H996=StatusFilter,1,0))),0)</f>
        <v>0</v>
      </c>
      <c r="O996">
        <f>IF($N996=0,0,IF(AND($F996&lt;=EOMONTH(DATE(PlanYear,1,1),0),IF(ISNUMBER($G996),$G996,$F996)&gt;=DATE(PlanYear,1,1)),1,0))</f>
        <v>0</v>
      </c>
      <c r="P996">
        <f>IF($N996=0,0,IF(AND($F996&lt;=EOMONTH(DATE(PlanYear,2,1),0),IF(ISNUMBER($G996),$G996,$F996)&gt;=DATE(PlanYear,2,1)),1,0))</f>
        <v>0</v>
      </c>
      <c r="Q996">
        <f>IF($N996=0,0,IF(AND($F996&lt;=EOMONTH(DATE(PlanYear,3,1),0),IF(ISNUMBER($G996),$G996,$F996)&gt;=DATE(PlanYear,3,1)),1,0))</f>
        <v>0</v>
      </c>
      <c r="R996">
        <f>IF($N996=0,0,IF(AND($F996&lt;=EOMONTH(DATE(PlanYear,4,1),0),IF(ISNUMBER($G996),$G996,$F996)&gt;=DATE(PlanYear,4,1)),1,0))</f>
        <v>0</v>
      </c>
      <c r="S996">
        <f>IF($N996=0,0,IF(AND($F996&lt;=EOMONTH(DATE(PlanYear,5,1),0),IF(ISNUMBER($G996),$G996,$F996)&gt;=DATE(PlanYear,5,1)),1,0))</f>
        <v>0</v>
      </c>
      <c r="T996">
        <f>IF($N996=0,0,IF(AND($F996&lt;=EOMONTH(DATE(PlanYear,6,1),0),IF(ISNUMBER($G996),$G996,$F996)&gt;=DATE(PlanYear,6,1)),1,0))</f>
        <v>0</v>
      </c>
      <c r="U996">
        <f>IF($N996=0,0,IF(AND($F996&lt;=EOMONTH(DATE(PlanYear,7,1),0),IF(ISNUMBER($G996),$G996,$F996)&gt;=DATE(PlanYear,7,1)),1,0))</f>
        <v>0</v>
      </c>
      <c r="V996">
        <f>IF($N996=0,0,IF(AND($F996&lt;=EOMONTH(DATE(PlanYear,8,1),0),IF(ISNUMBER($G996),$G996,$F996)&gt;=DATE(PlanYear,8,1)),1,0))</f>
        <v>0</v>
      </c>
      <c r="W996">
        <f>IF($N996=0,0,IF(AND($F996&lt;=EOMONTH(DATE(PlanYear,9,1),0),IF(ISNUMBER($G996),$G996,$F996)&gt;=DATE(PlanYear,9,1)),1,0))</f>
        <v>0</v>
      </c>
      <c r="X996">
        <f>IF($N996=0,0,IF(AND($F996&lt;=EOMONTH(DATE(PlanYear,10,1),0),IF(ISNUMBER($G996),$G996,$F996)&gt;=DATE(PlanYear,10,1)),1,0))</f>
        <v>0</v>
      </c>
      <c r="Y996">
        <f>IF($N996=0,0,IF(AND($F996&lt;=EOMONTH(DATE(PlanYear,11,1),0),IF(ISNUMBER($G996),$G996,$F996)&gt;=DATE(PlanYear,11,1)),1,0))</f>
        <v>0</v>
      </c>
      <c r="Z996">
        <f>IF($N996=0,0,IF(AND($F996&lt;=EOMONTH(DATE(PlanYear,12,1),0),IF(ISNUMBER($G996),$G996,$F996)&gt;=DATE(PlanYear,12,1)),1,0))</f>
        <v>0</v>
      </c>
      <c r="AA996">
        <f>SUM($O996:$Z996)</f>
        <v>0</v>
      </c>
    </row>
    <row r="997" spans="1:27">
      <c r="A997" s="42">
        <f>IF($B997="","","ACT-"&amp;TEXT(ROW()-4,"000"))</f>
        <v>0</v>
      </c>
      <c r="M997" s="43">
        <f>IF(COUNTA($B997:$K997)=0,"",IF($B997="","Missing activity name",IF($C997="","Missing practice",IF(COUNTIF(PracticeNames,$C997)=0,"Practice not in Lists",IF($D997="","Missing motion",IF(NOT(ISNUMBER($F997)),"Missing or invalid start date",IF(AND(ISNUMBER($G997),$G997&lt;$F997),"End date before start",IF(AND($N997=1,$AA997=0),"Outside planning year","OK"))))))))</f>
        <v>0</v>
      </c>
      <c r="N997">
        <f>IF(AND($B997&lt;&gt;"",$C997&lt;&gt;"",$D997&lt;&gt;"",ISNUMBER($F997),COUNTIF(PracticeNames,$C997)&gt;0,COUNTIF(MotionNames,$D997)&gt;0,NOT(AND(ISNUMBER($G997),$G997&lt;$F997))),IF(StatusFilter="All (excl. Cancelled)",IF($H997="Cancelled",0,1),IF(StatusFilter="All",1,IF($H997=StatusFilter,1,0))),0)</f>
        <v>0</v>
      </c>
      <c r="O997">
        <f>IF($N997=0,0,IF(AND($F997&lt;=EOMONTH(DATE(PlanYear,1,1),0),IF(ISNUMBER($G997),$G997,$F997)&gt;=DATE(PlanYear,1,1)),1,0))</f>
        <v>0</v>
      </c>
      <c r="P997">
        <f>IF($N997=0,0,IF(AND($F997&lt;=EOMONTH(DATE(PlanYear,2,1),0),IF(ISNUMBER($G997),$G997,$F997)&gt;=DATE(PlanYear,2,1)),1,0))</f>
        <v>0</v>
      </c>
      <c r="Q997">
        <f>IF($N997=0,0,IF(AND($F997&lt;=EOMONTH(DATE(PlanYear,3,1),0),IF(ISNUMBER($G997),$G997,$F997)&gt;=DATE(PlanYear,3,1)),1,0))</f>
        <v>0</v>
      </c>
      <c r="R997">
        <f>IF($N997=0,0,IF(AND($F997&lt;=EOMONTH(DATE(PlanYear,4,1),0),IF(ISNUMBER($G997),$G997,$F997)&gt;=DATE(PlanYear,4,1)),1,0))</f>
        <v>0</v>
      </c>
      <c r="S997">
        <f>IF($N997=0,0,IF(AND($F997&lt;=EOMONTH(DATE(PlanYear,5,1),0),IF(ISNUMBER($G997),$G997,$F997)&gt;=DATE(PlanYear,5,1)),1,0))</f>
        <v>0</v>
      </c>
      <c r="T997">
        <f>IF($N997=0,0,IF(AND($F997&lt;=EOMONTH(DATE(PlanYear,6,1),0),IF(ISNUMBER($G997),$G997,$F997)&gt;=DATE(PlanYear,6,1)),1,0))</f>
        <v>0</v>
      </c>
      <c r="U997">
        <f>IF($N997=0,0,IF(AND($F997&lt;=EOMONTH(DATE(PlanYear,7,1),0),IF(ISNUMBER($G997),$G997,$F997)&gt;=DATE(PlanYear,7,1)),1,0))</f>
        <v>0</v>
      </c>
      <c r="V997">
        <f>IF($N997=0,0,IF(AND($F997&lt;=EOMONTH(DATE(PlanYear,8,1),0),IF(ISNUMBER($G997),$G997,$F997)&gt;=DATE(PlanYear,8,1)),1,0))</f>
        <v>0</v>
      </c>
      <c r="W997">
        <f>IF($N997=0,0,IF(AND($F997&lt;=EOMONTH(DATE(PlanYear,9,1),0),IF(ISNUMBER($G997),$G997,$F997)&gt;=DATE(PlanYear,9,1)),1,0))</f>
        <v>0</v>
      </c>
      <c r="X997">
        <f>IF($N997=0,0,IF(AND($F997&lt;=EOMONTH(DATE(PlanYear,10,1),0),IF(ISNUMBER($G997),$G997,$F997)&gt;=DATE(PlanYear,10,1)),1,0))</f>
        <v>0</v>
      </c>
      <c r="Y997">
        <f>IF($N997=0,0,IF(AND($F997&lt;=EOMONTH(DATE(PlanYear,11,1),0),IF(ISNUMBER($G997),$G997,$F997)&gt;=DATE(PlanYear,11,1)),1,0))</f>
        <v>0</v>
      </c>
      <c r="Z997">
        <f>IF($N997=0,0,IF(AND($F997&lt;=EOMONTH(DATE(PlanYear,12,1),0),IF(ISNUMBER($G997),$G997,$F997)&gt;=DATE(PlanYear,12,1)),1,0))</f>
        <v>0</v>
      </c>
      <c r="AA997">
        <f>SUM($O997:$Z997)</f>
        <v>0</v>
      </c>
    </row>
    <row r="998" spans="1:27">
      <c r="A998" s="42">
        <f>IF($B998="","","ACT-"&amp;TEXT(ROW()-4,"000"))</f>
        <v>0</v>
      </c>
      <c r="M998" s="43">
        <f>IF(COUNTA($B998:$K998)=0,"",IF($B998="","Missing activity name",IF($C998="","Missing practice",IF(COUNTIF(PracticeNames,$C998)=0,"Practice not in Lists",IF($D998="","Missing motion",IF(NOT(ISNUMBER($F998)),"Missing or invalid start date",IF(AND(ISNUMBER($G998),$G998&lt;$F998),"End date before start",IF(AND($N998=1,$AA998=0),"Outside planning year","OK"))))))))</f>
        <v>0</v>
      </c>
      <c r="N998">
        <f>IF(AND($B998&lt;&gt;"",$C998&lt;&gt;"",$D998&lt;&gt;"",ISNUMBER($F998),COUNTIF(PracticeNames,$C998)&gt;0,COUNTIF(MotionNames,$D998)&gt;0,NOT(AND(ISNUMBER($G998),$G998&lt;$F998))),IF(StatusFilter="All (excl. Cancelled)",IF($H998="Cancelled",0,1),IF(StatusFilter="All",1,IF($H998=StatusFilter,1,0))),0)</f>
        <v>0</v>
      </c>
      <c r="O998">
        <f>IF($N998=0,0,IF(AND($F998&lt;=EOMONTH(DATE(PlanYear,1,1),0),IF(ISNUMBER($G998),$G998,$F998)&gt;=DATE(PlanYear,1,1)),1,0))</f>
        <v>0</v>
      </c>
      <c r="P998">
        <f>IF($N998=0,0,IF(AND($F998&lt;=EOMONTH(DATE(PlanYear,2,1),0),IF(ISNUMBER($G998),$G998,$F998)&gt;=DATE(PlanYear,2,1)),1,0))</f>
        <v>0</v>
      </c>
      <c r="Q998">
        <f>IF($N998=0,0,IF(AND($F998&lt;=EOMONTH(DATE(PlanYear,3,1),0),IF(ISNUMBER($G998),$G998,$F998)&gt;=DATE(PlanYear,3,1)),1,0))</f>
        <v>0</v>
      </c>
      <c r="R998">
        <f>IF($N998=0,0,IF(AND($F998&lt;=EOMONTH(DATE(PlanYear,4,1),0),IF(ISNUMBER($G998),$G998,$F998)&gt;=DATE(PlanYear,4,1)),1,0))</f>
        <v>0</v>
      </c>
      <c r="S998">
        <f>IF($N998=0,0,IF(AND($F998&lt;=EOMONTH(DATE(PlanYear,5,1),0),IF(ISNUMBER($G998),$G998,$F998)&gt;=DATE(PlanYear,5,1)),1,0))</f>
        <v>0</v>
      </c>
      <c r="T998">
        <f>IF($N998=0,0,IF(AND($F998&lt;=EOMONTH(DATE(PlanYear,6,1),0),IF(ISNUMBER($G998),$G998,$F998)&gt;=DATE(PlanYear,6,1)),1,0))</f>
        <v>0</v>
      </c>
      <c r="U998">
        <f>IF($N998=0,0,IF(AND($F998&lt;=EOMONTH(DATE(PlanYear,7,1),0),IF(ISNUMBER($G998),$G998,$F998)&gt;=DATE(PlanYear,7,1)),1,0))</f>
        <v>0</v>
      </c>
      <c r="V998">
        <f>IF($N998=0,0,IF(AND($F998&lt;=EOMONTH(DATE(PlanYear,8,1),0),IF(ISNUMBER($G998),$G998,$F998)&gt;=DATE(PlanYear,8,1)),1,0))</f>
        <v>0</v>
      </c>
      <c r="W998">
        <f>IF($N998=0,0,IF(AND($F998&lt;=EOMONTH(DATE(PlanYear,9,1),0),IF(ISNUMBER($G998),$G998,$F998)&gt;=DATE(PlanYear,9,1)),1,0))</f>
        <v>0</v>
      </c>
      <c r="X998">
        <f>IF($N998=0,0,IF(AND($F998&lt;=EOMONTH(DATE(PlanYear,10,1),0),IF(ISNUMBER($G998),$G998,$F998)&gt;=DATE(PlanYear,10,1)),1,0))</f>
        <v>0</v>
      </c>
      <c r="Y998">
        <f>IF($N998=0,0,IF(AND($F998&lt;=EOMONTH(DATE(PlanYear,11,1),0),IF(ISNUMBER($G998),$G998,$F998)&gt;=DATE(PlanYear,11,1)),1,0))</f>
        <v>0</v>
      </c>
      <c r="Z998">
        <f>IF($N998=0,0,IF(AND($F998&lt;=EOMONTH(DATE(PlanYear,12,1),0),IF(ISNUMBER($G998),$G998,$F998)&gt;=DATE(PlanYear,12,1)),1,0))</f>
        <v>0</v>
      </c>
      <c r="AA998">
        <f>SUM($O998:$Z998)</f>
        <v>0</v>
      </c>
    </row>
    <row r="999" spans="1:27">
      <c r="A999" s="42">
        <f>IF($B999="","","ACT-"&amp;TEXT(ROW()-4,"000"))</f>
        <v>0</v>
      </c>
      <c r="M999" s="43">
        <f>IF(COUNTA($B999:$K999)=0,"",IF($B999="","Missing activity name",IF($C999="","Missing practice",IF(COUNTIF(PracticeNames,$C999)=0,"Practice not in Lists",IF($D999="","Missing motion",IF(NOT(ISNUMBER($F999)),"Missing or invalid start date",IF(AND(ISNUMBER($G999),$G999&lt;$F999),"End date before start",IF(AND($N999=1,$AA999=0),"Outside planning year","OK"))))))))</f>
        <v>0</v>
      </c>
      <c r="N999">
        <f>IF(AND($B999&lt;&gt;"",$C999&lt;&gt;"",$D999&lt;&gt;"",ISNUMBER($F999),COUNTIF(PracticeNames,$C999)&gt;0,COUNTIF(MotionNames,$D999)&gt;0,NOT(AND(ISNUMBER($G999),$G999&lt;$F999))),IF(StatusFilter="All (excl. Cancelled)",IF($H999="Cancelled",0,1),IF(StatusFilter="All",1,IF($H999=StatusFilter,1,0))),0)</f>
        <v>0</v>
      </c>
      <c r="O999">
        <f>IF($N999=0,0,IF(AND($F999&lt;=EOMONTH(DATE(PlanYear,1,1),0),IF(ISNUMBER($G999),$G999,$F999)&gt;=DATE(PlanYear,1,1)),1,0))</f>
        <v>0</v>
      </c>
      <c r="P999">
        <f>IF($N999=0,0,IF(AND($F999&lt;=EOMONTH(DATE(PlanYear,2,1),0),IF(ISNUMBER($G999),$G999,$F999)&gt;=DATE(PlanYear,2,1)),1,0))</f>
        <v>0</v>
      </c>
      <c r="Q999">
        <f>IF($N999=0,0,IF(AND($F999&lt;=EOMONTH(DATE(PlanYear,3,1),0),IF(ISNUMBER($G999),$G999,$F999)&gt;=DATE(PlanYear,3,1)),1,0))</f>
        <v>0</v>
      </c>
      <c r="R999">
        <f>IF($N999=0,0,IF(AND($F999&lt;=EOMONTH(DATE(PlanYear,4,1),0),IF(ISNUMBER($G999),$G999,$F999)&gt;=DATE(PlanYear,4,1)),1,0))</f>
        <v>0</v>
      </c>
      <c r="S999">
        <f>IF($N999=0,0,IF(AND($F999&lt;=EOMONTH(DATE(PlanYear,5,1),0),IF(ISNUMBER($G999),$G999,$F999)&gt;=DATE(PlanYear,5,1)),1,0))</f>
        <v>0</v>
      </c>
      <c r="T999">
        <f>IF($N999=0,0,IF(AND($F999&lt;=EOMONTH(DATE(PlanYear,6,1),0),IF(ISNUMBER($G999),$G999,$F999)&gt;=DATE(PlanYear,6,1)),1,0))</f>
        <v>0</v>
      </c>
      <c r="U999">
        <f>IF($N999=0,0,IF(AND($F999&lt;=EOMONTH(DATE(PlanYear,7,1),0),IF(ISNUMBER($G999),$G999,$F999)&gt;=DATE(PlanYear,7,1)),1,0))</f>
        <v>0</v>
      </c>
      <c r="V999">
        <f>IF($N999=0,0,IF(AND($F999&lt;=EOMONTH(DATE(PlanYear,8,1),0),IF(ISNUMBER($G999),$G999,$F999)&gt;=DATE(PlanYear,8,1)),1,0))</f>
        <v>0</v>
      </c>
      <c r="W999">
        <f>IF($N999=0,0,IF(AND($F999&lt;=EOMONTH(DATE(PlanYear,9,1),0),IF(ISNUMBER($G999),$G999,$F999)&gt;=DATE(PlanYear,9,1)),1,0))</f>
        <v>0</v>
      </c>
      <c r="X999">
        <f>IF($N999=0,0,IF(AND($F999&lt;=EOMONTH(DATE(PlanYear,10,1),0),IF(ISNUMBER($G999),$G999,$F999)&gt;=DATE(PlanYear,10,1)),1,0))</f>
        <v>0</v>
      </c>
      <c r="Y999">
        <f>IF($N999=0,0,IF(AND($F999&lt;=EOMONTH(DATE(PlanYear,11,1),0),IF(ISNUMBER($G999),$G999,$F999)&gt;=DATE(PlanYear,11,1)),1,0))</f>
        <v>0</v>
      </c>
      <c r="Z999">
        <f>IF($N999=0,0,IF(AND($F999&lt;=EOMONTH(DATE(PlanYear,12,1),0),IF(ISNUMBER($G999),$G999,$F999)&gt;=DATE(PlanYear,12,1)),1,0))</f>
        <v>0</v>
      </c>
      <c r="AA999">
        <f>SUM($O999:$Z999)</f>
        <v>0</v>
      </c>
    </row>
    <row r="1000" spans="1:27">
      <c r="A1000" s="42">
        <f>IF($B1000="","","ACT-"&amp;TEXT(ROW()-4,"000"))</f>
        <v>0</v>
      </c>
      <c r="M1000" s="43">
        <f>IF(COUNTA($B1000:$K1000)=0,"",IF($B1000="","Missing activity name",IF($C1000="","Missing practice",IF(COUNTIF(PracticeNames,$C1000)=0,"Practice not in Lists",IF($D1000="","Missing motion",IF(NOT(ISNUMBER($F1000)),"Missing or invalid start date",IF(AND(ISNUMBER($G1000),$G1000&lt;$F1000),"End date before start",IF(AND($N1000=1,$AA1000=0),"Outside planning year","OK"))))))))</f>
        <v>0</v>
      </c>
      <c r="N1000">
        <f>IF(AND($B1000&lt;&gt;"",$C1000&lt;&gt;"",$D1000&lt;&gt;"",ISNUMBER($F1000),COUNTIF(PracticeNames,$C1000)&gt;0,COUNTIF(MotionNames,$D1000)&gt;0,NOT(AND(ISNUMBER($G1000),$G1000&lt;$F1000))),IF(StatusFilter="All (excl. Cancelled)",IF($H1000="Cancelled",0,1),IF(StatusFilter="All",1,IF($H1000=StatusFilter,1,0))),0)</f>
        <v>0</v>
      </c>
      <c r="O1000">
        <f>IF($N1000=0,0,IF(AND($F1000&lt;=EOMONTH(DATE(PlanYear,1,1),0),IF(ISNUMBER($G1000),$G1000,$F1000)&gt;=DATE(PlanYear,1,1)),1,0))</f>
        <v>0</v>
      </c>
      <c r="P1000">
        <f>IF($N1000=0,0,IF(AND($F1000&lt;=EOMONTH(DATE(PlanYear,2,1),0),IF(ISNUMBER($G1000),$G1000,$F1000)&gt;=DATE(PlanYear,2,1)),1,0))</f>
        <v>0</v>
      </c>
      <c r="Q1000">
        <f>IF($N1000=0,0,IF(AND($F1000&lt;=EOMONTH(DATE(PlanYear,3,1),0),IF(ISNUMBER($G1000),$G1000,$F1000)&gt;=DATE(PlanYear,3,1)),1,0))</f>
        <v>0</v>
      </c>
      <c r="R1000">
        <f>IF($N1000=0,0,IF(AND($F1000&lt;=EOMONTH(DATE(PlanYear,4,1),0),IF(ISNUMBER($G1000),$G1000,$F1000)&gt;=DATE(PlanYear,4,1)),1,0))</f>
        <v>0</v>
      </c>
      <c r="S1000">
        <f>IF($N1000=0,0,IF(AND($F1000&lt;=EOMONTH(DATE(PlanYear,5,1),0),IF(ISNUMBER($G1000),$G1000,$F1000)&gt;=DATE(PlanYear,5,1)),1,0))</f>
        <v>0</v>
      </c>
      <c r="T1000">
        <f>IF($N1000=0,0,IF(AND($F1000&lt;=EOMONTH(DATE(PlanYear,6,1),0),IF(ISNUMBER($G1000),$G1000,$F1000)&gt;=DATE(PlanYear,6,1)),1,0))</f>
        <v>0</v>
      </c>
      <c r="U1000">
        <f>IF($N1000=0,0,IF(AND($F1000&lt;=EOMONTH(DATE(PlanYear,7,1),0),IF(ISNUMBER($G1000),$G1000,$F1000)&gt;=DATE(PlanYear,7,1)),1,0))</f>
        <v>0</v>
      </c>
      <c r="V1000">
        <f>IF($N1000=0,0,IF(AND($F1000&lt;=EOMONTH(DATE(PlanYear,8,1),0),IF(ISNUMBER($G1000),$G1000,$F1000)&gt;=DATE(PlanYear,8,1)),1,0))</f>
        <v>0</v>
      </c>
      <c r="W1000">
        <f>IF($N1000=0,0,IF(AND($F1000&lt;=EOMONTH(DATE(PlanYear,9,1),0),IF(ISNUMBER($G1000),$G1000,$F1000)&gt;=DATE(PlanYear,9,1)),1,0))</f>
        <v>0</v>
      </c>
      <c r="X1000">
        <f>IF($N1000=0,0,IF(AND($F1000&lt;=EOMONTH(DATE(PlanYear,10,1),0),IF(ISNUMBER($G1000),$G1000,$F1000)&gt;=DATE(PlanYear,10,1)),1,0))</f>
        <v>0</v>
      </c>
      <c r="Y1000">
        <f>IF($N1000=0,0,IF(AND($F1000&lt;=EOMONTH(DATE(PlanYear,11,1),0),IF(ISNUMBER($G1000),$G1000,$F1000)&gt;=DATE(PlanYear,11,1)),1,0))</f>
        <v>0</v>
      </c>
      <c r="Z1000">
        <f>IF($N1000=0,0,IF(AND($F1000&lt;=EOMONTH(DATE(PlanYear,12,1),0),IF(ISNUMBER($G1000),$G1000,$F1000)&gt;=DATE(PlanYear,12,1)),1,0))</f>
        <v>0</v>
      </c>
      <c r="AA1000">
        <f>SUM($O1000:$Z1000)</f>
        <v>0</v>
      </c>
    </row>
    <row r="1001" spans="1:27">
      <c r="A1001" s="42">
        <f>IF($B1001="","","ACT-"&amp;TEXT(ROW()-4,"000"))</f>
        <v>0</v>
      </c>
      <c r="M1001" s="43">
        <f>IF(COUNTA($B1001:$K1001)=0,"",IF($B1001="","Missing activity name",IF($C1001="","Missing practice",IF(COUNTIF(PracticeNames,$C1001)=0,"Practice not in Lists",IF($D1001="","Missing motion",IF(NOT(ISNUMBER($F1001)),"Missing or invalid start date",IF(AND(ISNUMBER($G1001),$G1001&lt;$F1001),"End date before start",IF(AND($N1001=1,$AA1001=0),"Outside planning year","OK"))))))))</f>
        <v>0</v>
      </c>
      <c r="N1001">
        <f>IF(AND($B1001&lt;&gt;"",$C1001&lt;&gt;"",$D1001&lt;&gt;"",ISNUMBER($F1001),COUNTIF(PracticeNames,$C1001)&gt;0,COUNTIF(MotionNames,$D1001)&gt;0,NOT(AND(ISNUMBER($G1001),$G1001&lt;$F1001))),IF(StatusFilter="All (excl. Cancelled)",IF($H1001="Cancelled",0,1),IF(StatusFilter="All",1,IF($H1001=StatusFilter,1,0))),0)</f>
        <v>0</v>
      </c>
      <c r="O1001">
        <f>IF($N1001=0,0,IF(AND($F1001&lt;=EOMONTH(DATE(PlanYear,1,1),0),IF(ISNUMBER($G1001),$G1001,$F1001)&gt;=DATE(PlanYear,1,1)),1,0))</f>
        <v>0</v>
      </c>
      <c r="P1001">
        <f>IF($N1001=0,0,IF(AND($F1001&lt;=EOMONTH(DATE(PlanYear,2,1),0),IF(ISNUMBER($G1001),$G1001,$F1001)&gt;=DATE(PlanYear,2,1)),1,0))</f>
        <v>0</v>
      </c>
      <c r="Q1001">
        <f>IF($N1001=0,0,IF(AND($F1001&lt;=EOMONTH(DATE(PlanYear,3,1),0),IF(ISNUMBER($G1001),$G1001,$F1001)&gt;=DATE(PlanYear,3,1)),1,0))</f>
        <v>0</v>
      </c>
      <c r="R1001">
        <f>IF($N1001=0,0,IF(AND($F1001&lt;=EOMONTH(DATE(PlanYear,4,1),0),IF(ISNUMBER($G1001),$G1001,$F1001)&gt;=DATE(PlanYear,4,1)),1,0))</f>
        <v>0</v>
      </c>
      <c r="S1001">
        <f>IF($N1001=0,0,IF(AND($F1001&lt;=EOMONTH(DATE(PlanYear,5,1),0),IF(ISNUMBER($G1001),$G1001,$F1001)&gt;=DATE(PlanYear,5,1)),1,0))</f>
        <v>0</v>
      </c>
      <c r="T1001">
        <f>IF($N1001=0,0,IF(AND($F1001&lt;=EOMONTH(DATE(PlanYear,6,1),0),IF(ISNUMBER($G1001),$G1001,$F1001)&gt;=DATE(PlanYear,6,1)),1,0))</f>
        <v>0</v>
      </c>
      <c r="U1001">
        <f>IF($N1001=0,0,IF(AND($F1001&lt;=EOMONTH(DATE(PlanYear,7,1),0),IF(ISNUMBER($G1001),$G1001,$F1001)&gt;=DATE(PlanYear,7,1)),1,0))</f>
        <v>0</v>
      </c>
      <c r="V1001">
        <f>IF($N1001=0,0,IF(AND($F1001&lt;=EOMONTH(DATE(PlanYear,8,1),0),IF(ISNUMBER($G1001),$G1001,$F1001)&gt;=DATE(PlanYear,8,1)),1,0))</f>
        <v>0</v>
      </c>
      <c r="W1001">
        <f>IF($N1001=0,0,IF(AND($F1001&lt;=EOMONTH(DATE(PlanYear,9,1),0),IF(ISNUMBER($G1001),$G1001,$F1001)&gt;=DATE(PlanYear,9,1)),1,0))</f>
        <v>0</v>
      </c>
      <c r="X1001">
        <f>IF($N1001=0,0,IF(AND($F1001&lt;=EOMONTH(DATE(PlanYear,10,1),0),IF(ISNUMBER($G1001),$G1001,$F1001)&gt;=DATE(PlanYear,10,1)),1,0))</f>
        <v>0</v>
      </c>
      <c r="Y1001">
        <f>IF($N1001=0,0,IF(AND($F1001&lt;=EOMONTH(DATE(PlanYear,11,1),0),IF(ISNUMBER($G1001),$G1001,$F1001)&gt;=DATE(PlanYear,11,1)),1,0))</f>
        <v>0</v>
      </c>
      <c r="Z1001">
        <f>IF($N1001=0,0,IF(AND($F1001&lt;=EOMONTH(DATE(PlanYear,12,1),0),IF(ISNUMBER($G1001),$G1001,$F1001)&gt;=DATE(PlanYear,12,1)),1,0))</f>
        <v>0</v>
      </c>
      <c r="AA1001">
        <f>SUM($O1001:$Z1001)</f>
        <v>0</v>
      </c>
    </row>
    <row r="1002" spans="1:27">
      <c r="A1002" s="42">
        <f>IF($B1002="","","ACT-"&amp;TEXT(ROW()-4,"000"))</f>
        <v>0</v>
      </c>
      <c r="M1002" s="43">
        <f>IF(COUNTA($B1002:$K1002)=0,"",IF($B1002="","Missing activity name",IF($C1002="","Missing practice",IF(COUNTIF(PracticeNames,$C1002)=0,"Practice not in Lists",IF($D1002="","Missing motion",IF(NOT(ISNUMBER($F1002)),"Missing or invalid start date",IF(AND(ISNUMBER($G1002),$G1002&lt;$F1002),"End date before start",IF(AND($N1002=1,$AA1002=0),"Outside planning year","OK"))))))))</f>
        <v>0</v>
      </c>
      <c r="N1002">
        <f>IF(AND($B1002&lt;&gt;"",$C1002&lt;&gt;"",$D1002&lt;&gt;"",ISNUMBER($F1002),COUNTIF(PracticeNames,$C1002)&gt;0,COUNTIF(MotionNames,$D1002)&gt;0,NOT(AND(ISNUMBER($G1002),$G1002&lt;$F1002))),IF(StatusFilter="All (excl. Cancelled)",IF($H1002="Cancelled",0,1),IF(StatusFilter="All",1,IF($H1002=StatusFilter,1,0))),0)</f>
        <v>0</v>
      </c>
      <c r="O1002">
        <f>IF($N1002=0,0,IF(AND($F1002&lt;=EOMONTH(DATE(PlanYear,1,1),0),IF(ISNUMBER($G1002),$G1002,$F1002)&gt;=DATE(PlanYear,1,1)),1,0))</f>
        <v>0</v>
      </c>
      <c r="P1002">
        <f>IF($N1002=0,0,IF(AND($F1002&lt;=EOMONTH(DATE(PlanYear,2,1),0),IF(ISNUMBER($G1002),$G1002,$F1002)&gt;=DATE(PlanYear,2,1)),1,0))</f>
        <v>0</v>
      </c>
      <c r="Q1002">
        <f>IF($N1002=0,0,IF(AND($F1002&lt;=EOMONTH(DATE(PlanYear,3,1),0),IF(ISNUMBER($G1002),$G1002,$F1002)&gt;=DATE(PlanYear,3,1)),1,0))</f>
        <v>0</v>
      </c>
      <c r="R1002">
        <f>IF($N1002=0,0,IF(AND($F1002&lt;=EOMONTH(DATE(PlanYear,4,1),0),IF(ISNUMBER($G1002),$G1002,$F1002)&gt;=DATE(PlanYear,4,1)),1,0))</f>
        <v>0</v>
      </c>
      <c r="S1002">
        <f>IF($N1002=0,0,IF(AND($F1002&lt;=EOMONTH(DATE(PlanYear,5,1),0),IF(ISNUMBER($G1002),$G1002,$F1002)&gt;=DATE(PlanYear,5,1)),1,0))</f>
        <v>0</v>
      </c>
      <c r="T1002">
        <f>IF($N1002=0,0,IF(AND($F1002&lt;=EOMONTH(DATE(PlanYear,6,1),0),IF(ISNUMBER($G1002),$G1002,$F1002)&gt;=DATE(PlanYear,6,1)),1,0))</f>
        <v>0</v>
      </c>
      <c r="U1002">
        <f>IF($N1002=0,0,IF(AND($F1002&lt;=EOMONTH(DATE(PlanYear,7,1),0),IF(ISNUMBER($G1002),$G1002,$F1002)&gt;=DATE(PlanYear,7,1)),1,0))</f>
        <v>0</v>
      </c>
      <c r="V1002">
        <f>IF($N1002=0,0,IF(AND($F1002&lt;=EOMONTH(DATE(PlanYear,8,1),0),IF(ISNUMBER($G1002),$G1002,$F1002)&gt;=DATE(PlanYear,8,1)),1,0))</f>
        <v>0</v>
      </c>
      <c r="W1002">
        <f>IF($N1002=0,0,IF(AND($F1002&lt;=EOMONTH(DATE(PlanYear,9,1),0),IF(ISNUMBER($G1002),$G1002,$F1002)&gt;=DATE(PlanYear,9,1)),1,0))</f>
        <v>0</v>
      </c>
      <c r="X1002">
        <f>IF($N1002=0,0,IF(AND($F1002&lt;=EOMONTH(DATE(PlanYear,10,1),0),IF(ISNUMBER($G1002),$G1002,$F1002)&gt;=DATE(PlanYear,10,1)),1,0))</f>
        <v>0</v>
      </c>
      <c r="Y1002">
        <f>IF($N1002=0,0,IF(AND($F1002&lt;=EOMONTH(DATE(PlanYear,11,1),0),IF(ISNUMBER($G1002),$G1002,$F1002)&gt;=DATE(PlanYear,11,1)),1,0))</f>
        <v>0</v>
      </c>
      <c r="Z1002">
        <f>IF($N1002=0,0,IF(AND($F1002&lt;=EOMONTH(DATE(PlanYear,12,1),0),IF(ISNUMBER($G1002),$G1002,$F1002)&gt;=DATE(PlanYear,12,1)),1,0))</f>
        <v>0</v>
      </c>
      <c r="AA1002">
        <f>SUM($O1002:$Z1002)</f>
        <v>0</v>
      </c>
    </row>
    <row r="1003" spans="1:27">
      <c r="A1003" s="42">
        <f>IF($B1003="","","ACT-"&amp;TEXT(ROW()-4,"000"))</f>
        <v>0</v>
      </c>
      <c r="M1003" s="43">
        <f>IF(COUNTA($B1003:$K1003)=0,"",IF($B1003="","Missing activity name",IF($C1003="","Missing practice",IF(COUNTIF(PracticeNames,$C1003)=0,"Practice not in Lists",IF($D1003="","Missing motion",IF(NOT(ISNUMBER($F1003)),"Missing or invalid start date",IF(AND(ISNUMBER($G1003),$G1003&lt;$F1003),"End date before start",IF(AND($N1003=1,$AA1003=0),"Outside planning year","OK"))))))))</f>
        <v>0</v>
      </c>
      <c r="N1003">
        <f>IF(AND($B1003&lt;&gt;"",$C1003&lt;&gt;"",$D1003&lt;&gt;"",ISNUMBER($F1003),COUNTIF(PracticeNames,$C1003)&gt;0,COUNTIF(MotionNames,$D1003)&gt;0,NOT(AND(ISNUMBER($G1003),$G1003&lt;$F1003))),IF(StatusFilter="All (excl. Cancelled)",IF($H1003="Cancelled",0,1),IF(StatusFilter="All",1,IF($H1003=StatusFilter,1,0))),0)</f>
        <v>0</v>
      </c>
      <c r="O1003">
        <f>IF($N1003=0,0,IF(AND($F1003&lt;=EOMONTH(DATE(PlanYear,1,1),0),IF(ISNUMBER($G1003),$G1003,$F1003)&gt;=DATE(PlanYear,1,1)),1,0))</f>
        <v>0</v>
      </c>
      <c r="P1003">
        <f>IF($N1003=0,0,IF(AND($F1003&lt;=EOMONTH(DATE(PlanYear,2,1),0),IF(ISNUMBER($G1003),$G1003,$F1003)&gt;=DATE(PlanYear,2,1)),1,0))</f>
        <v>0</v>
      </c>
      <c r="Q1003">
        <f>IF($N1003=0,0,IF(AND($F1003&lt;=EOMONTH(DATE(PlanYear,3,1),0),IF(ISNUMBER($G1003),$G1003,$F1003)&gt;=DATE(PlanYear,3,1)),1,0))</f>
        <v>0</v>
      </c>
      <c r="R1003">
        <f>IF($N1003=0,0,IF(AND($F1003&lt;=EOMONTH(DATE(PlanYear,4,1),0),IF(ISNUMBER($G1003),$G1003,$F1003)&gt;=DATE(PlanYear,4,1)),1,0))</f>
        <v>0</v>
      </c>
      <c r="S1003">
        <f>IF($N1003=0,0,IF(AND($F1003&lt;=EOMONTH(DATE(PlanYear,5,1),0),IF(ISNUMBER($G1003),$G1003,$F1003)&gt;=DATE(PlanYear,5,1)),1,0))</f>
        <v>0</v>
      </c>
      <c r="T1003">
        <f>IF($N1003=0,0,IF(AND($F1003&lt;=EOMONTH(DATE(PlanYear,6,1),0),IF(ISNUMBER($G1003),$G1003,$F1003)&gt;=DATE(PlanYear,6,1)),1,0))</f>
        <v>0</v>
      </c>
      <c r="U1003">
        <f>IF($N1003=0,0,IF(AND($F1003&lt;=EOMONTH(DATE(PlanYear,7,1),0),IF(ISNUMBER($G1003),$G1003,$F1003)&gt;=DATE(PlanYear,7,1)),1,0))</f>
        <v>0</v>
      </c>
      <c r="V1003">
        <f>IF($N1003=0,0,IF(AND($F1003&lt;=EOMONTH(DATE(PlanYear,8,1),0),IF(ISNUMBER($G1003),$G1003,$F1003)&gt;=DATE(PlanYear,8,1)),1,0))</f>
        <v>0</v>
      </c>
      <c r="W1003">
        <f>IF($N1003=0,0,IF(AND($F1003&lt;=EOMONTH(DATE(PlanYear,9,1),0),IF(ISNUMBER($G1003),$G1003,$F1003)&gt;=DATE(PlanYear,9,1)),1,0))</f>
        <v>0</v>
      </c>
      <c r="X1003">
        <f>IF($N1003=0,0,IF(AND($F1003&lt;=EOMONTH(DATE(PlanYear,10,1),0),IF(ISNUMBER($G1003),$G1003,$F1003)&gt;=DATE(PlanYear,10,1)),1,0))</f>
        <v>0</v>
      </c>
      <c r="Y1003">
        <f>IF($N1003=0,0,IF(AND($F1003&lt;=EOMONTH(DATE(PlanYear,11,1),0),IF(ISNUMBER($G1003),$G1003,$F1003)&gt;=DATE(PlanYear,11,1)),1,0))</f>
        <v>0</v>
      </c>
      <c r="Z1003">
        <f>IF($N1003=0,0,IF(AND($F1003&lt;=EOMONTH(DATE(PlanYear,12,1),0),IF(ISNUMBER($G1003),$G1003,$F1003)&gt;=DATE(PlanYear,12,1)),1,0))</f>
        <v>0</v>
      </c>
      <c r="AA1003">
        <f>SUM($O1003:$Z1003)</f>
        <v>0</v>
      </c>
    </row>
    <row r="1004" spans="1:27">
      <c r="A1004" s="42">
        <f>IF($B1004="","","ACT-"&amp;TEXT(ROW()-4,"000"))</f>
        <v>0</v>
      </c>
      <c r="M1004" s="43">
        <f>IF(COUNTA($B1004:$K1004)=0,"",IF($B1004="","Missing activity name",IF($C1004="","Missing practice",IF(COUNTIF(PracticeNames,$C1004)=0,"Practice not in Lists",IF($D1004="","Missing motion",IF(NOT(ISNUMBER($F1004)),"Missing or invalid start date",IF(AND(ISNUMBER($G1004),$G1004&lt;$F1004),"End date before start",IF(AND($N1004=1,$AA1004=0),"Outside planning year","OK"))))))))</f>
        <v>0</v>
      </c>
      <c r="N1004">
        <f>IF(AND($B1004&lt;&gt;"",$C1004&lt;&gt;"",$D1004&lt;&gt;"",ISNUMBER($F1004),COUNTIF(PracticeNames,$C1004)&gt;0,COUNTIF(MotionNames,$D1004)&gt;0,NOT(AND(ISNUMBER($G1004),$G1004&lt;$F1004))),IF(StatusFilter="All (excl. Cancelled)",IF($H1004="Cancelled",0,1),IF(StatusFilter="All",1,IF($H1004=StatusFilter,1,0))),0)</f>
        <v>0</v>
      </c>
      <c r="O1004">
        <f>IF($N1004=0,0,IF(AND($F1004&lt;=EOMONTH(DATE(PlanYear,1,1),0),IF(ISNUMBER($G1004),$G1004,$F1004)&gt;=DATE(PlanYear,1,1)),1,0))</f>
        <v>0</v>
      </c>
      <c r="P1004">
        <f>IF($N1004=0,0,IF(AND($F1004&lt;=EOMONTH(DATE(PlanYear,2,1),0),IF(ISNUMBER($G1004),$G1004,$F1004)&gt;=DATE(PlanYear,2,1)),1,0))</f>
        <v>0</v>
      </c>
      <c r="Q1004">
        <f>IF($N1004=0,0,IF(AND($F1004&lt;=EOMONTH(DATE(PlanYear,3,1),0),IF(ISNUMBER($G1004),$G1004,$F1004)&gt;=DATE(PlanYear,3,1)),1,0))</f>
        <v>0</v>
      </c>
      <c r="R1004">
        <f>IF($N1004=0,0,IF(AND($F1004&lt;=EOMONTH(DATE(PlanYear,4,1),0),IF(ISNUMBER($G1004),$G1004,$F1004)&gt;=DATE(PlanYear,4,1)),1,0))</f>
        <v>0</v>
      </c>
      <c r="S1004">
        <f>IF($N1004=0,0,IF(AND($F1004&lt;=EOMONTH(DATE(PlanYear,5,1),0),IF(ISNUMBER($G1004),$G1004,$F1004)&gt;=DATE(PlanYear,5,1)),1,0))</f>
        <v>0</v>
      </c>
      <c r="T1004">
        <f>IF($N1004=0,0,IF(AND($F1004&lt;=EOMONTH(DATE(PlanYear,6,1),0),IF(ISNUMBER($G1004),$G1004,$F1004)&gt;=DATE(PlanYear,6,1)),1,0))</f>
        <v>0</v>
      </c>
      <c r="U1004">
        <f>IF($N1004=0,0,IF(AND($F1004&lt;=EOMONTH(DATE(PlanYear,7,1),0),IF(ISNUMBER($G1004),$G1004,$F1004)&gt;=DATE(PlanYear,7,1)),1,0))</f>
        <v>0</v>
      </c>
      <c r="V1004">
        <f>IF($N1004=0,0,IF(AND($F1004&lt;=EOMONTH(DATE(PlanYear,8,1),0),IF(ISNUMBER($G1004),$G1004,$F1004)&gt;=DATE(PlanYear,8,1)),1,0))</f>
        <v>0</v>
      </c>
      <c r="W1004">
        <f>IF($N1004=0,0,IF(AND($F1004&lt;=EOMONTH(DATE(PlanYear,9,1),0),IF(ISNUMBER($G1004),$G1004,$F1004)&gt;=DATE(PlanYear,9,1)),1,0))</f>
        <v>0</v>
      </c>
      <c r="X1004">
        <f>IF($N1004=0,0,IF(AND($F1004&lt;=EOMONTH(DATE(PlanYear,10,1),0),IF(ISNUMBER($G1004),$G1004,$F1004)&gt;=DATE(PlanYear,10,1)),1,0))</f>
        <v>0</v>
      </c>
      <c r="Y1004">
        <f>IF($N1004=0,0,IF(AND($F1004&lt;=EOMONTH(DATE(PlanYear,11,1),0),IF(ISNUMBER($G1004),$G1004,$F1004)&gt;=DATE(PlanYear,11,1)),1,0))</f>
        <v>0</v>
      </c>
      <c r="Z1004">
        <f>IF($N1004=0,0,IF(AND($F1004&lt;=EOMONTH(DATE(PlanYear,12,1),0),IF(ISNUMBER($G1004),$G1004,$F1004)&gt;=DATE(PlanYear,12,1)),1,0))</f>
        <v>0</v>
      </c>
      <c r="AA1004">
        <f>SUM($O1004:$Z1004)</f>
        <v>0</v>
      </c>
    </row>
  </sheetData>
  <conditionalFormatting sqref="A5:M1004">
    <cfRule type="expression" dxfId="2" priority="1">
      <formula>AND($M5&lt;&gt;"",$M5&lt;&gt;"OK")</formula>
    </cfRule>
  </conditionalFormatting>
  <conditionalFormatting sqref="D5:D1004">
    <cfRule type="expression" dxfId="3" priority="2">
      <formula>$D5=Lists!$E$5</formula>
    </cfRule>
    <cfRule type="expression" dxfId="4" priority="3">
      <formula>$D5=Lists!$E$6</formula>
    </cfRule>
    <cfRule type="expression" dxfId="5" priority="4">
      <formula>$D5=Lists!$E$7</formula>
    </cfRule>
  </conditionalFormatting>
  <conditionalFormatting sqref="H5:H1004">
    <cfRule type="expression" dxfId="6" priority="5">
      <formula>AND($H5&lt;&gt;"",$H5=Lists!$I$5)</formula>
    </cfRule>
    <cfRule type="expression" dxfId="7" priority="6">
      <formula>AND($H5&lt;&gt;"",$H5=Lists!$I$6)</formula>
    </cfRule>
    <cfRule type="expression" dxfId="8" priority="7">
      <formula>AND($H5&lt;&gt;"",$H5=Lists!$I$7)</formula>
    </cfRule>
    <cfRule type="expression" dxfId="9" priority="8">
      <formula>AND($H5&lt;&gt;"",$H5=Lists!$I$8)</formula>
    </cfRule>
    <cfRule type="expression" dxfId="10" priority="9">
      <formula>AND($H5&lt;&gt;"",$H5=Lists!$I$9)</formula>
    </cfRule>
    <cfRule type="expression" dxfId="11" priority="10">
      <formula>AND($H5&lt;&gt;"",$H5=Lists!$I$10)</formula>
    </cfRule>
    <cfRule type="expression" dxfId="12" priority="11">
      <formula>AND($H5&lt;&gt;"",$H5=Lists!$I$11)</formula>
    </cfRule>
    <cfRule type="expression" dxfId="12" priority="12">
      <formula>AND($H5&lt;&gt;"",$H5=Lists!$I$12)</formula>
    </cfRule>
    <cfRule type="expression" dxfId="12" priority="13">
      <formula>AND($H5&lt;&gt;"",$H5=Lists!$I$13)</formula>
    </cfRule>
    <cfRule type="expression" dxfId="12" priority="14">
      <formula>AND($H5&lt;&gt;"",$H5=Lists!$I$14)</formula>
    </cfRule>
  </conditionalFormatting>
  <dataValidations count="6">
    <dataValidation type="list" allowBlank="1" showInputMessage="1" showErrorMessage="1" errorTitle="Practice" error="Pick a practice from the list (add new ones on the Lists sheet)." sqref="C5:C1004">
      <formula1>PracticeList</formula1>
    </dataValidation>
    <dataValidation type="list" allowBlank="1" showInputMessage="1" showErrorMessage="1" sqref="D5:D1004">
      <formula1>MotionNames</formula1>
    </dataValidation>
    <dataValidation type="list" errorStyle="warning" allowBlank="1" showInputMessage="1" showErrorMessage="1" sqref="E5:E1004">
      <formula1>TypeList</formula1>
    </dataValidation>
    <dataValidation type="list" allowBlank="1" showInputMessage="1" showErrorMessage="1" sqref="H5:H1004">
      <formula1>StatusList</formula1>
    </dataValidation>
    <dataValidation type="date" operator="greaterThanOrEqual" allowBlank="1" showInputMessage="1" showErrorMessage="1" error="Enter a valid date, e.g. 15-Mar-2027." sqref="F5:F1004">
      <formula1>43831</formula1>
    </dataValidation>
    <dataValidation type="custom" allowBlank="1" showInputMessage="1" showErrorMessage="1" error="End date must be a date on or after the start date." sqref="G5:G1004">
      <formula1>OR($G5="",AND(ISNUMBER($G5),$G5&gt;=$F5))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1:M24"/>
  <sheetViews>
    <sheetView showGridLines="0" workbookViewId="0"/>
  </sheetViews>
  <sheetFormatPr defaultRowHeight="15"/>
  <cols>
    <col min="1" max="1" width="3.7109375" customWidth="1"/>
    <col min="2" max="2" width="28.7109375" customWidth="1"/>
    <col min="3" max="4" width="3.7109375" customWidth="1"/>
    <col min="5" max="5" width="28.7109375" customWidth="1"/>
    <col min="6" max="6" width="3.7109375" customWidth="1"/>
    <col min="7" max="7" width="26.7109375" customWidth="1"/>
    <col min="8" max="8" width="3.7109375" customWidth="1"/>
    <col min="9" max="9" width="18.7109375" customWidth="1"/>
    <col min="10" max="10" width="3.7109375" customWidth="1"/>
    <col min="11" max="11" width="24.7109375" customWidth="1"/>
    <col min="12" max="12" width="3.7109375" customWidth="1"/>
    <col min="13" max="13" width="14.7109375" customWidth="1"/>
  </cols>
  <sheetData>
    <row r="1" spans="2:13">
      <c r="B1" s="2" t="s">
        <v>0</v>
      </c>
    </row>
    <row r="2" spans="2:13">
      <c r="B2" s="11" t="s">
        <v>1</v>
      </c>
    </row>
    <row r="4" spans="2:13">
      <c r="B4" s="12" t="s">
        <v>2</v>
      </c>
      <c r="E4" s="12" t="s">
        <v>24</v>
      </c>
      <c r="G4" s="12" t="s">
        <v>7</v>
      </c>
      <c r="I4" s="12" t="s">
        <v>17</v>
      </c>
      <c r="K4" s="12" t="s">
        <v>28</v>
      </c>
      <c r="M4" s="12" t="s">
        <v>31</v>
      </c>
    </row>
    <row r="5" spans="2:13">
      <c r="B5" s="44" t="s">
        <v>3</v>
      </c>
      <c r="E5" s="8" t="s">
        <v>25</v>
      </c>
      <c r="G5" s="44" t="s">
        <v>8</v>
      </c>
      <c r="I5" s="44" t="s">
        <v>18</v>
      </c>
      <c r="K5" s="45" t="s">
        <v>29</v>
      </c>
      <c r="M5" s="45" t="s">
        <v>32</v>
      </c>
    </row>
    <row r="6" spans="2:13">
      <c r="B6" s="44" t="s">
        <v>4</v>
      </c>
      <c r="E6" s="9" t="s">
        <v>26</v>
      </c>
      <c r="G6" s="44" t="s">
        <v>9</v>
      </c>
      <c r="I6" s="44" t="s">
        <v>19</v>
      </c>
      <c r="K6" s="45" t="s">
        <v>30</v>
      </c>
      <c r="M6" s="45" t="s">
        <v>33</v>
      </c>
    </row>
    <row r="7" spans="2:13">
      <c r="B7" s="44" t="s">
        <v>5</v>
      </c>
      <c r="E7" s="10" t="s">
        <v>27</v>
      </c>
      <c r="G7" s="44" t="s">
        <v>10</v>
      </c>
      <c r="I7" s="44" t="s">
        <v>20</v>
      </c>
      <c r="K7" s="45">
        <f>IF($I5="","",$I5)</f>
        <v>0</v>
      </c>
      <c r="M7" s="45" t="s">
        <v>34</v>
      </c>
    </row>
    <row r="8" spans="2:13">
      <c r="B8" s="44" t="s">
        <v>6</v>
      </c>
      <c r="G8" s="44" t="s">
        <v>11</v>
      </c>
      <c r="I8" s="44" t="s">
        <v>21</v>
      </c>
      <c r="K8" s="45">
        <f>IF($I6="","",$I6)</f>
        <v>0</v>
      </c>
      <c r="M8" s="45" t="s">
        <v>35</v>
      </c>
    </row>
    <row r="9" spans="2:13">
      <c r="B9" s="44"/>
      <c r="G9" s="44" t="s">
        <v>12</v>
      </c>
      <c r="I9" s="44" t="s">
        <v>22</v>
      </c>
      <c r="K9" s="45">
        <f>IF($I7="","",$I7)</f>
        <v>0</v>
      </c>
      <c r="M9" s="45" t="s">
        <v>36</v>
      </c>
    </row>
    <row r="10" spans="2:13">
      <c r="B10" s="44"/>
      <c r="G10" s="44" t="s">
        <v>13</v>
      </c>
      <c r="I10" s="44" t="s">
        <v>23</v>
      </c>
      <c r="K10" s="45">
        <f>IF($I8="","",$I8)</f>
        <v>0</v>
      </c>
      <c r="M10" s="45" t="s">
        <v>37</v>
      </c>
    </row>
    <row r="11" spans="2:13">
      <c r="B11" s="44"/>
      <c r="G11" s="44" t="s">
        <v>14</v>
      </c>
      <c r="I11" s="44"/>
      <c r="K11" s="45">
        <f>IF($I9="","",$I9)</f>
        <v>0</v>
      </c>
      <c r="M11" s="45" t="s">
        <v>38</v>
      </c>
    </row>
    <row r="12" spans="2:13">
      <c r="B12" s="44"/>
      <c r="G12" s="44" t="s">
        <v>15</v>
      </c>
      <c r="I12" s="44"/>
      <c r="K12" s="45">
        <f>IF($I10="","",$I10)</f>
        <v>0</v>
      </c>
      <c r="M12" s="45" t="s">
        <v>39</v>
      </c>
    </row>
    <row r="13" spans="2:13">
      <c r="B13" s="44"/>
      <c r="G13" s="44" t="s">
        <v>16</v>
      </c>
      <c r="I13" s="44"/>
      <c r="K13" s="45">
        <f>IF($I11="","",$I11)</f>
        <v>0</v>
      </c>
      <c r="M13" s="45" t="s">
        <v>40</v>
      </c>
    </row>
    <row r="14" spans="2:13">
      <c r="B14" s="44"/>
      <c r="G14" s="44"/>
      <c r="I14" s="44"/>
      <c r="K14" s="45">
        <f>IF($I12="","",$I12)</f>
        <v>0</v>
      </c>
      <c r="M14" s="45" t="s">
        <v>41</v>
      </c>
    </row>
    <row r="15" spans="2:13">
      <c r="B15" s="44"/>
      <c r="G15" s="44"/>
      <c r="K15" s="45">
        <f>IF($I13="","",$I13)</f>
        <v>0</v>
      </c>
      <c r="M15" s="45" t="s">
        <v>42</v>
      </c>
    </row>
    <row r="16" spans="2:13">
      <c r="B16" s="44"/>
      <c r="G16" s="44"/>
      <c r="K16" s="45">
        <f>IF($I14="","",$I14)</f>
        <v>0</v>
      </c>
      <c r="M16" s="45" t="s">
        <v>43</v>
      </c>
    </row>
    <row r="17" spans="7:7">
      <c r="G17" s="44"/>
    </row>
    <row r="18" spans="7:7">
      <c r="G18" s="44"/>
    </row>
    <row r="19" spans="7:7">
      <c r="G19" s="44"/>
    </row>
    <row r="20" spans="7:7">
      <c r="G20" s="44"/>
    </row>
    <row r="21" spans="7:7">
      <c r="G21" s="44"/>
    </row>
    <row r="22" spans="7:7">
      <c r="G22" s="44"/>
    </row>
    <row r="23" spans="7:7">
      <c r="G23" s="44"/>
    </row>
    <row r="24" spans="7:7">
      <c r="G24" s="44"/>
    </row>
  </sheetData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7"/>
  <sheetViews>
    <sheetView showGridLines="0" workbookViewId="0"/>
  </sheetViews>
  <sheetFormatPr defaultRowHeight="15"/>
  <cols>
    <col min="1" max="1" width="28.7109375" customWidth="1"/>
    <col min="2" max="2" width="30.7109375" customWidth="1"/>
    <col min="3" max="3" width="70.7109375" customWidth="1"/>
  </cols>
  <sheetData>
    <row r="1" spans="1:3">
      <c r="A1" s="2" t="s">
        <v>44</v>
      </c>
    </row>
    <row r="4" spans="1:3">
      <c r="A4" s="22" t="s">
        <v>45</v>
      </c>
      <c r="B4" s="30">
        <v>2027</v>
      </c>
      <c r="C4" s="11" t="s">
        <v>46</v>
      </c>
    </row>
    <row r="5" spans="1:3">
      <c r="A5" s="22" t="s">
        <v>47</v>
      </c>
      <c r="B5" s="30" t="s">
        <v>29</v>
      </c>
      <c r="C5" s="11" t="s">
        <v>48</v>
      </c>
    </row>
    <row r="6" spans="1:3">
      <c r="A6" s="22" t="s">
        <v>49</v>
      </c>
      <c r="B6" s="30">
        <v>3</v>
      </c>
      <c r="C6" s="11" t="s">
        <v>50</v>
      </c>
    </row>
    <row r="7" spans="1:3">
      <c r="A7" s="22" t="s">
        <v>51</v>
      </c>
      <c r="B7" s="46" t="s">
        <v>52</v>
      </c>
      <c r="C7" s="11" t="s">
        <v>53</v>
      </c>
    </row>
  </sheetData>
  <dataValidations count="3">
    <dataValidation type="whole" allowBlank="1" showInputMessage="1" showErrorMessage="1" error="Enter a 4-digit year." sqref="B4">
      <formula1>2020</formula1>
      <formula2>2100</formula2>
    </dataValidation>
    <dataValidation type="list" allowBlank="1" showInputMessage="1" showErrorMessage="1" sqref="B5">
      <formula1>FilterList</formula1>
    </dataValidation>
    <dataValidation type="whole" allowBlank="1" showInputMessage="1" showErrorMessage="1" sqref="B6">
      <formula1>1</formula1>
      <formula2>50</formula2>
    </dataValidation>
  </dataValidations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"/>
  <sheetViews>
    <sheetView showGridLines="0" workbookViewId="0"/>
  </sheetViews>
  <sheetFormatPr defaultRowHeight="15"/>
  <cols>
    <col min="1" max="1" width="14.7109375" customWidth="1"/>
    <col min="2" max="2" width="22.7109375" customWidth="1"/>
    <col min="3" max="3" width="90.7109375" customWidth="1"/>
  </cols>
  <sheetData>
    <row r="1" spans="1:3">
      <c r="A1" s="2" t="s">
        <v>166</v>
      </c>
    </row>
    <row r="2" spans="1:3">
      <c r="A2" s="11" t="s">
        <v>167</v>
      </c>
    </row>
    <row r="4" spans="1:3">
      <c r="A4" s="12" t="s">
        <v>168</v>
      </c>
      <c r="B4" s="12" t="s">
        <v>169</v>
      </c>
      <c r="C4" s="12" t="s">
        <v>170</v>
      </c>
    </row>
    <row r="5" spans="1:3">
      <c r="A5" s="36">
        <v>46321</v>
      </c>
      <c r="B5" t="s">
        <v>171</v>
      </c>
      <c r="C5" t="s">
        <v>172</v>
      </c>
    </row>
  </sheetData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004"/>
  <sheetViews>
    <sheetView showGridLines="0" workbookViewId="0"/>
  </sheetViews>
  <sheetFormatPr defaultRowHeight="15"/>
  <sheetData>
    <row r="1" spans="1:18">
      <c r="A1" s="47" t="s">
        <v>98</v>
      </c>
    </row>
    <row r="3" spans="1:18">
      <c r="A3">
        <f>IF(Lists!$B$5="","",Lists!$B$5)</f>
        <v>0</v>
      </c>
      <c r="B3">
        <f>IF($A3="",0,SUMIFS('Activity Planner'!$O$5:$O$1004,'Activity Planner'!$C$5:$C$1004,$A3))</f>
        <v>0</v>
      </c>
      <c r="C3">
        <f>IF($A3="",0,SUMIFS('Activity Planner'!$P$5:$P$1004,'Activity Planner'!$C$5:$C$1004,$A3))</f>
        <v>0</v>
      </c>
      <c r="D3">
        <f>IF($A3="",0,SUMIFS('Activity Planner'!$Q$5:$Q$1004,'Activity Planner'!$C$5:$C$1004,$A3))</f>
        <v>0</v>
      </c>
      <c r="E3">
        <f>IF($A3="",0,SUMIFS('Activity Planner'!$R$5:$R$1004,'Activity Planner'!$C$5:$C$1004,$A3))</f>
        <v>0</v>
      </c>
      <c r="F3">
        <f>IF($A3="",0,SUMIFS('Activity Planner'!$S$5:$S$1004,'Activity Planner'!$C$5:$C$1004,$A3))</f>
        <v>0</v>
      </c>
      <c r="G3">
        <f>IF($A3="",0,SUMIFS('Activity Planner'!$T$5:$T$1004,'Activity Planner'!$C$5:$C$1004,$A3))</f>
        <v>0</v>
      </c>
      <c r="H3">
        <f>IF($A3="",0,SUMIFS('Activity Planner'!$U$5:$U$1004,'Activity Planner'!$C$5:$C$1004,$A3))</f>
        <v>0</v>
      </c>
      <c r="I3">
        <f>IF($A3="",0,SUMIFS('Activity Planner'!$V$5:$V$1004,'Activity Planner'!$C$5:$C$1004,$A3))</f>
        <v>0</v>
      </c>
      <c r="J3">
        <f>IF($A3="",0,SUMIFS('Activity Planner'!$W$5:$W$1004,'Activity Planner'!$C$5:$C$1004,$A3))</f>
        <v>0</v>
      </c>
      <c r="K3">
        <f>IF($A3="",0,SUMIFS('Activity Planner'!$X$5:$X$1004,'Activity Planner'!$C$5:$C$1004,$A3))</f>
        <v>0</v>
      </c>
      <c r="L3">
        <f>IF($A3="",0,SUMIFS('Activity Planner'!$Y$5:$Y$1004,'Activity Planner'!$C$5:$C$1004,$A3))</f>
        <v>0</v>
      </c>
      <c r="M3">
        <f>IF($A3="",0,SUMIFS('Activity Planner'!$Z$5:$Z$1004,'Activity Planner'!$C$5:$C$1004,$A3))</f>
        <v>0</v>
      </c>
    </row>
    <row r="4" spans="1:18">
      <c r="A4">
        <f>IF(Lists!$B$6="","",Lists!$B$6)</f>
        <v>0</v>
      </c>
      <c r="B4">
        <f>IF($A4="",0,SUMIFS('Activity Planner'!$O$5:$O$1004,'Activity Planner'!$C$5:$C$1004,$A4))</f>
        <v>0</v>
      </c>
      <c r="C4">
        <f>IF($A4="",0,SUMIFS('Activity Planner'!$P$5:$P$1004,'Activity Planner'!$C$5:$C$1004,$A4))</f>
        <v>0</v>
      </c>
      <c r="D4">
        <f>IF($A4="",0,SUMIFS('Activity Planner'!$Q$5:$Q$1004,'Activity Planner'!$C$5:$C$1004,$A4))</f>
        <v>0</v>
      </c>
      <c r="E4">
        <f>IF($A4="",0,SUMIFS('Activity Planner'!$R$5:$R$1004,'Activity Planner'!$C$5:$C$1004,$A4))</f>
        <v>0</v>
      </c>
      <c r="F4">
        <f>IF($A4="",0,SUMIFS('Activity Planner'!$S$5:$S$1004,'Activity Planner'!$C$5:$C$1004,$A4))</f>
        <v>0</v>
      </c>
      <c r="G4">
        <f>IF($A4="",0,SUMIFS('Activity Planner'!$T$5:$T$1004,'Activity Planner'!$C$5:$C$1004,$A4))</f>
        <v>0</v>
      </c>
      <c r="H4">
        <f>IF($A4="",0,SUMIFS('Activity Planner'!$U$5:$U$1004,'Activity Planner'!$C$5:$C$1004,$A4))</f>
        <v>0</v>
      </c>
      <c r="I4">
        <f>IF($A4="",0,SUMIFS('Activity Planner'!$V$5:$V$1004,'Activity Planner'!$C$5:$C$1004,$A4))</f>
        <v>0</v>
      </c>
      <c r="J4">
        <f>IF($A4="",0,SUMIFS('Activity Planner'!$W$5:$W$1004,'Activity Planner'!$C$5:$C$1004,$A4))</f>
        <v>0</v>
      </c>
      <c r="K4">
        <f>IF($A4="",0,SUMIFS('Activity Planner'!$X$5:$X$1004,'Activity Planner'!$C$5:$C$1004,$A4))</f>
        <v>0</v>
      </c>
      <c r="L4">
        <f>IF($A4="",0,SUMIFS('Activity Planner'!$Y$5:$Y$1004,'Activity Planner'!$C$5:$C$1004,$A4))</f>
        <v>0</v>
      </c>
      <c r="M4">
        <f>IF($A4="",0,SUMIFS('Activity Planner'!$Z$5:$Z$1004,'Activity Planner'!$C$5:$C$1004,$A4))</f>
        <v>0</v>
      </c>
      <c r="Q4" s="47" t="s">
        <v>102</v>
      </c>
      <c r="R4" s="47" t="s">
        <v>103</v>
      </c>
    </row>
    <row r="5" spans="1:18">
      <c r="A5">
        <f>IF(Lists!$B$7="","",Lists!$B$7)</f>
        <v>0</v>
      </c>
      <c r="B5">
        <f>IF($A5="",0,SUMIFS('Activity Planner'!$O$5:$O$1004,'Activity Planner'!$C$5:$C$1004,$A5))</f>
        <v>0</v>
      </c>
      <c r="C5">
        <f>IF($A5="",0,SUMIFS('Activity Planner'!$P$5:$P$1004,'Activity Planner'!$C$5:$C$1004,$A5))</f>
        <v>0</v>
      </c>
      <c r="D5">
        <f>IF($A5="",0,SUMIFS('Activity Planner'!$Q$5:$Q$1004,'Activity Planner'!$C$5:$C$1004,$A5))</f>
        <v>0</v>
      </c>
      <c r="E5">
        <f>IF($A5="",0,SUMIFS('Activity Planner'!$R$5:$R$1004,'Activity Planner'!$C$5:$C$1004,$A5))</f>
        <v>0</v>
      </c>
      <c r="F5">
        <f>IF($A5="",0,SUMIFS('Activity Planner'!$S$5:$S$1004,'Activity Planner'!$C$5:$C$1004,$A5))</f>
        <v>0</v>
      </c>
      <c r="G5">
        <f>IF($A5="",0,SUMIFS('Activity Planner'!$T$5:$T$1004,'Activity Planner'!$C$5:$C$1004,$A5))</f>
        <v>0</v>
      </c>
      <c r="H5">
        <f>IF($A5="",0,SUMIFS('Activity Planner'!$U$5:$U$1004,'Activity Planner'!$C$5:$C$1004,$A5))</f>
        <v>0</v>
      </c>
      <c r="I5">
        <f>IF($A5="",0,SUMIFS('Activity Planner'!$V$5:$V$1004,'Activity Planner'!$C$5:$C$1004,$A5))</f>
        <v>0</v>
      </c>
      <c r="J5">
        <f>IF($A5="",0,SUMIFS('Activity Planner'!$W$5:$W$1004,'Activity Planner'!$C$5:$C$1004,$A5))</f>
        <v>0</v>
      </c>
      <c r="K5">
        <f>IF($A5="",0,SUMIFS('Activity Planner'!$X$5:$X$1004,'Activity Planner'!$C$5:$C$1004,$A5))</f>
        <v>0</v>
      </c>
      <c r="L5">
        <f>IF($A5="",0,SUMIFS('Activity Planner'!$Y$5:$Y$1004,'Activity Planner'!$C$5:$C$1004,$A5))</f>
        <v>0</v>
      </c>
      <c r="M5">
        <f>IF($A5="",0,SUMIFS('Activity Planner'!$Z$5:$Z$1004,'Activity Planner'!$C$5:$C$1004,$A5))</f>
        <v>0</v>
      </c>
      <c r="Q5">
        <f>IF(INDEX('Activity Planner'!$O5:$Z5,SelMonthNum)=1,'Activity Planner'!$F5+ROW()/100000,"")</f>
        <v>0</v>
      </c>
      <c r="R5">
        <f>IF(AND('Activity Planner'!$N5=1,'Activity Planner'!$C5=SelPractice,'Activity Planner'!$AA5&gt;0),'Activity Planner'!$F5+ROW()/100000,"")</f>
        <v>0</v>
      </c>
    </row>
    <row r="6" spans="1:18">
      <c r="A6">
        <f>IF(Lists!$B$8="","",Lists!$B$8)</f>
        <v>0</v>
      </c>
      <c r="B6">
        <f>IF($A6="",0,SUMIFS('Activity Planner'!$O$5:$O$1004,'Activity Planner'!$C$5:$C$1004,$A6))</f>
        <v>0</v>
      </c>
      <c r="C6">
        <f>IF($A6="",0,SUMIFS('Activity Planner'!$P$5:$P$1004,'Activity Planner'!$C$5:$C$1004,$A6))</f>
        <v>0</v>
      </c>
      <c r="D6">
        <f>IF($A6="",0,SUMIFS('Activity Planner'!$Q$5:$Q$1004,'Activity Planner'!$C$5:$C$1004,$A6))</f>
        <v>0</v>
      </c>
      <c r="E6">
        <f>IF($A6="",0,SUMIFS('Activity Planner'!$R$5:$R$1004,'Activity Planner'!$C$5:$C$1004,$A6))</f>
        <v>0</v>
      </c>
      <c r="F6">
        <f>IF($A6="",0,SUMIFS('Activity Planner'!$S$5:$S$1004,'Activity Planner'!$C$5:$C$1004,$A6))</f>
        <v>0</v>
      </c>
      <c r="G6">
        <f>IF($A6="",0,SUMIFS('Activity Planner'!$T$5:$T$1004,'Activity Planner'!$C$5:$C$1004,$A6))</f>
        <v>0</v>
      </c>
      <c r="H6">
        <f>IF($A6="",0,SUMIFS('Activity Planner'!$U$5:$U$1004,'Activity Planner'!$C$5:$C$1004,$A6))</f>
        <v>0</v>
      </c>
      <c r="I6">
        <f>IF($A6="",0,SUMIFS('Activity Planner'!$V$5:$V$1004,'Activity Planner'!$C$5:$C$1004,$A6))</f>
        <v>0</v>
      </c>
      <c r="J6">
        <f>IF($A6="",0,SUMIFS('Activity Planner'!$W$5:$W$1004,'Activity Planner'!$C$5:$C$1004,$A6))</f>
        <v>0</v>
      </c>
      <c r="K6">
        <f>IF($A6="",0,SUMIFS('Activity Planner'!$X$5:$X$1004,'Activity Planner'!$C$5:$C$1004,$A6))</f>
        <v>0</v>
      </c>
      <c r="L6">
        <f>IF($A6="",0,SUMIFS('Activity Planner'!$Y$5:$Y$1004,'Activity Planner'!$C$5:$C$1004,$A6))</f>
        <v>0</v>
      </c>
      <c r="M6">
        <f>IF($A6="",0,SUMIFS('Activity Planner'!$Z$5:$Z$1004,'Activity Planner'!$C$5:$C$1004,$A6))</f>
        <v>0</v>
      </c>
      <c r="Q6">
        <f>IF(INDEX('Activity Planner'!$O6:$Z6,SelMonthNum)=1,'Activity Planner'!$F6+ROW()/100000,"")</f>
        <v>0</v>
      </c>
      <c r="R6">
        <f>IF(AND('Activity Planner'!$N6=1,'Activity Planner'!$C6=SelPractice,'Activity Planner'!$AA6&gt;0),'Activity Planner'!$F6+ROW()/100000,"")</f>
        <v>0</v>
      </c>
    </row>
    <row r="7" spans="1:18">
      <c r="A7">
        <f>IF(Lists!$B$9="","",Lists!$B$9)</f>
        <v>0</v>
      </c>
      <c r="B7">
        <f>IF($A7="",0,SUMIFS('Activity Planner'!$O$5:$O$1004,'Activity Planner'!$C$5:$C$1004,$A7))</f>
        <v>0</v>
      </c>
      <c r="C7">
        <f>IF($A7="",0,SUMIFS('Activity Planner'!$P$5:$P$1004,'Activity Planner'!$C$5:$C$1004,$A7))</f>
        <v>0</v>
      </c>
      <c r="D7">
        <f>IF($A7="",0,SUMIFS('Activity Planner'!$Q$5:$Q$1004,'Activity Planner'!$C$5:$C$1004,$A7))</f>
        <v>0</v>
      </c>
      <c r="E7">
        <f>IF($A7="",0,SUMIFS('Activity Planner'!$R$5:$R$1004,'Activity Planner'!$C$5:$C$1004,$A7))</f>
        <v>0</v>
      </c>
      <c r="F7">
        <f>IF($A7="",0,SUMIFS('Activity Planner'!$S$5:$S$1004,'Activity Planner'!$C$5:$C$1004,$A7))</f>
        <v>0</v>
      </c>
      <c r="G7">
        <f>IF($A7="",0,SUMIFS('Activity Planner'!$T$5:$T$1004,'Activity Planner'!$C$5:$C$1004,$A7))</f>
        <v>0</v>
      </c>
      <c r="H7">
        <f>IF($A7="",0,SUMIFS('Activity Planner'!$U$5:$U$1004,'Activity Planner'!$C$5:$C$1004,$A7))</f>
        <v>0</v>
      </c>
      <c r="I7">
        <f>IF($A7="",0,SUMIFS('Activity Planner'!$V$5:$V$1004,'Activity Planner'!$C$5:$C$1004,$A7))</f>
        <v>0</v>
      </c>
      <c r="J7">
        <f>IF($A7="",0,SUMIFS('Activity Planner'!$W$5:$W$1004,'Activity Planner'!$C$5:$C$1004,$A7))</f>
        <v>0</v>
      </c>
      <c r="K7">
        <f>IF($A7="",0,SUMIFS('Activity Planner'!$X$5:$X$1004,'Activity Planner'!$C$5:$C$1004,$A7))</f>
        <v>0</v>
      </c>
      <c r="L7">
        <f>IF($A7="",0,SUMIFS('Activity Planner'!$Y$5:$Y$1004,'Activity Planner'!$C$5:$C$1004,$A7))</f>
        <v>0</v>
      </c>
      <c r="M7">
        <f>IF($A7="",0,SUMIFS('Activity Planner'!$Z$5:$Z$1004,'Activity Planner'!$C$5:$C$1004,$A7))</f>
        <v>0</v>
      </c>
      <c r="Q7">
        <f>IF(INDEX('Activity Planner'!$O7:$Z7,SelMonthNum)=1,'Activity Planner'!$F7+ROW()/100000,"")</f>
        <v>0</v>
      </c>
      <c r="R7">
        <f>IF(AND('Activity Planner'!$N7=1,'Activity Planner'!$C7=SelPractice,'Activity Planner'!$AA7&gt;0),'Activity Planner'!$F7+ROW()/100000,"")</f>
        <v>0</v>
      </c>
    </row>
    <row r="8" spans="1:18">
      <c r="A8">
        <f>IF(Lists!$B$10="","",Lists!$B$10)</f>
        <v>0</v>
      </c>
      <c r="B8">
        <f>IF($A8="",0,SUMIFS('Activity Planner'!$O$5:$O$1004,'Activity Planner'!$C$5:$C$1004,$A8))</f>
        <v>0</v>
      </c>
      <c r="C8">
        <f>IF($A8="",0,SUMIFS('Activity Planner'!$P$5:$P$1004,'Activity Planner'!$C$5:$C$1004,$A8))</f>
        <v>0</v>
      </c>
      <c r="D8">
        <f>IF($A8="",0,SUMIFS('Activity Planner'!$Q$5:$Q$1004,'Activity Planner'!$C$5:$C$1004,$A8))</f>
        <v>0</v>
      </c>
      <c r="E8">
        <f>IF($A8="",0,SUMIFS('Activity Planner'!$R$5:$R$1004,'Activity Planner'!$C$5:$C$1004,$A8))</f>
        <v>0</v>
      </c>
      <c r="F8">
        <f>IF($A8="",0,SUMIFS('Activity Planner'!$S$5:$S$1004,'Activity Planner'!$C$5:$C$1004,$A8))</f>
        <v>0</v>
      </c>
      <c r="G8">
        <f>IF($A8="",0,SUMIFS('Activity Planner'!$T$5:$T$1004,'Activity Planner'!$C$5:$C$1004,$A8))</f>
        <v>0</v>
      </c>
      <c r="H8">
        <f>IF($A8="",0,SUMIFS('Activity Planner'!$U$5:$U$1004,'Activity Planner'!$C$5:$C$1004,$A8))</f>
        <v>0</v>
      </c>
      <c r="I8">
        <f>IF($A8="",0,SUMIFS('Activity Planner'!$V$5:$V$1004,'Activity Planner'!$C$5:$C$1004,$A8))</f>
        <v>0</v>
      </c>
      <c r="J8">
        <f>IF($A8="",0,SUMIFS('Activity Planner'!$W$5:$W$1004,'Activity Planner'!$C$5:$C$1004,$A8))</f>
        <v>0</v>
      </c>
      <c r="K8">
        <f>IF($A8="",0,SUMIFS('Activity Planner'!$X$5:$X$1004,'Activity Planner'!$C$5:$C$1004,$A8))</f>
        <v>0</v>
      </c>
      <c r="L8">
        <f>IF($A8="",0,SUMIFS('Activity Planner'!$Y$5:$Y$1004,'Activity Planner'!$C$5:$C$1004,$A8))</f>
        <v>0</v>
      </c>
      <c r="M8">
        <f>IF($A8="",0,SUMIFS('Activity Planner'!$Z$5:$Z$1004,'Activity Planner'!$C$5:$C$1004,$A8))</f>
        <v>0</v>
      </c>
      <c r="Q8">
        <f>IF(INDEX('Activity Planner'!$O8:$Z8,SelMonthNum)=1,'Activity Planner'!$F8+ROW()/100000,"")</f>
        <v>0</v>
      </c>
      <c r="R8">
        <f>IF(AND('Activity Planner'!$N8=1,'Activity Planner'!$C8=SelPractice,'Activity Planner'!$AA8&gt;0),'Activity Planner'!$F8+ROW()/100000,"")</f>
        <v>0</v>
      </c>
    </row>
    <row r="9" spans="1:18">
      <c r="A9">
        <f>IF(Lists!$B$11="","",Lists!$B$11)</f>
        <v>0</v>
      </c>
      <c r="B9">
        <f>IF($A9="",0,SUMIFS('Activity Planner'!$O$5:$O$1004,'Activity Planner'!$C$5:$C$1004,$A9))</f>
        <v>0</v>
      </c>
      <c r="C9">
        <f>IF($A9="",0,SUMIFS('Activity Planner'!$P$5:$P$1004,'Activity Planner'!$C$5:$C$1004,$A9))</f>
        <v>0</v>
      </c>
      <c r="D9">
        <f>IF($A9="",0,SUMIFS('Activity Planner'!$Q$5:$Q$1004,'Activity Planner'!$C$5:$C$1004,$A9))</f>
        <v>0</v>
      </c>
      <c r="E9">
        <f>IF($A9="",0,SUMIFS('Activity Planner'!$R$5:$R$1004,'Activity Planner'!$C$5:$C$1004,$A9))</f>
        <v>0</v>
      </c>
      <c r="F9">
        <f>IF($A9="",0,SUMIFS('Activity Planner'!$S$5:$S$1004,'Activity Planner'!$C$5:$C$1004,$A9))</f>
        <v>0</v>
      </c>
      <c r="G9">
        <f>IF($A9="",0,SUMIFS('Activity Planner'!$T$5:$T$1004,'Activity Planner'!$C$5:$C$1004,$A9))</f>
        <v>0</v>
      </c>
      <c r="H9">
        <f>IF($A9="",0,SUMIFS('Activity Planner'!$U$5:$U$1004,'Activity Planner'!$C$5:$C$1004,$A9))</f>
        <v>0</v>
      </c>
      <c r="I9">
        <f>IF($A9="",0,SUMIFS('Activity Planner'!$V$5:$V$1004,'Activity Planner'!$C$5:$C$1004,$A9))</f>
        <v>0</v>
      </c>
      <c r="J9">
        <f>IF($A9="",0,SUMIFS('Activity Planner'!$W$5:$W$1004,'Activity Planner'!$C$5:$C$1004,$A9))</f>
        <v>0</v>
      </c>
      <c r="K9">
        <f>IF($A9="",0,SUMIFS('Activity Planner'!$X$5:$X$1004,'Activity Planner'!$C$5:$C$1004,$A9))</f>
        <v>0</v>
      </c>
      <c r="L9">
        <f>IF($A9="",0,SUMIFS('Activity Planner'!$Y$5:$Y$1004,'Activity Planner'!$C$5:$C$1004,$A9))</f>
        <v>0</v>
      </c>
      <c r="M9">
        <f>IF($A9="",0,SUMIFS('Activity Planner'!$Z$5:$Z$1004,'Activity Planner'!$C$5:$C$1004,$A9))</f>
        <v>0</v>
      </c>
      <c r="Q9">
        <f>IF(INDEX('Activity Planner'!$O9:$Z9,SelMonthNum)=1,'Activity Planner'!$F9+ROW()/100000,"")</f>
        <v>0</v>
      </c>
      <c r="R9">
        <f>IF(AND('Activity Planner'!$N9=1,'Activity Planner'!$C9=SelPractice,'Activity Planner'!$AA9&gt;0),'Activity Planner'!$F9+ROW()/100000,"")</f>
        <v>0</v>
      </c>
    </row>
    <row r="10" spans="1:18">
      <c r="A10">
        <f>IF(Lists!$B$12="","",Lists!$B$12)</f>
        <v>0</v>
      </c>
      <c r="B10">
        <f>IF($A10="",0,SUMIFS('Activity Planner'!$O$5:$O$1004,'Activity Planner'!$C$5:$C$1004,$A10))</f>
        <v>0</v>
      </c>
      <c r="C10">
        <f>IF($A10="",0,SUMIFS('Activity Planner'!$P$5:$P$1004,'Activity Planner'!$C$5:$C$1004,$A10))</f>
        <v>0</v>
      </c>
      <c r="D10">
        <f>IF($A10="",0,SUMIFS('Activity Planner'!$Q$5:$Q$1004,'Activity Planner'!$C$5:$C$1004,$A10))</f>
        <v>0</v>
      </c>
      <c r="E10">
        <f>IF($A10="",0,SUMIFS('Activity Planner'!$R$5:$R$1004,'Activity Planner'!$C$5:$C$1004,$A10))</f>
        <v>0</v>
      </c>
      <c r="F10">
        <f>IF($A10="",0,SUMIFS('Activity Planner'!$S$5:$S$1004,'Activity Planner'!$C$5:$C$1004,$A10))</f>
        <v>0</v>
      </c>
      <c r="G10">
        <f>IF($A10="",0,SUMIFS('Activity Planner'!$T$5:$T$1004,'Activity Planner'!$C$5:$C$1004,$A10))</f>
        <v>0</v>
      </c>
      <c r="H10">
        <f>IF($A10="",0,SUMIFS('Activity Planner'!$U$5:$U$1004,'Activity Planner'!$C$5:$C$1004,$A10))</f>
        <v>0</v>
      </c>
      <c r="I10">
        <f>IF($A10="",0,SUMIFS('Activity Planner'!$V$5:$V$1004,'Activity Planner'!$C$5:$C$1004,$A10))</f>
        <v>0</v>
      </c>
      <c r="J10">
        <f>IF($A10="",0,SUMIFS('Activity Planner'!$W$5:$W$1004,'Activity Planner'!$C$5:$C$1004,$A10))</f>
        <v>0</v>
      </c>
      <c r="K10">
        <f>IF($A10="",0,SUMIFS('Activity Planner'!$X$5:$X$1004,'Activity Planner'!$C$5:$C$1004,$A10))</f>
        <v>0</v>
      </c>
      <c r="L10">
        <f>IF($A10="",0,SUMIFS('Activity Planner'!$Y$5:$Y$1004,'Activity Planner'!$C$5:$C$1004,$A10))</f>
        <v>0</v>
      </c>
      <c r="M10">
        <f>IF($A10="",0,SUMIFS('Activity Planner'!$Z$5:$Z$1004,'Activity Planner'!$C$5:$C$1004,$A10))</f>
        <v>0</v>
      </c>
      <c r="Q10">
        <f>IF(INDEX('Activity Planner'!$O10:$Z10,SelMonthNum)=1,'Activity Planner'!$F10+ROW()/100000,"")</f>
        <v>0</v>
      </c>
      <c r="R10">
        <f>IF(AND('Activity Planner'!$N10=1,'Activity Planner'!$C10=SelPractice,'Activity Planner'!$AA10&gt;0),'Activity Planner'!$F10+ROW()/100000,"")</f>
        <v>0</v>
      </c>
    </row>
    <row r="11" spans="1:18">
      <c r="A11">
        <f>IF(Lists!$B$13="","",Lists!$B$13)</f>
        <v>0</v>
      </c>
      <c r="B11">
        <f>IF($A11="",0,SUMIFS('Activity Planner'!$O$5:$O$1004,'Activity Planner'!$C$5:$C$1004,$A11))</f>
        <v>0</v>
      </c>
      <c r="C11">
        <f>IF($A11="",0,SUMIFS('Activity Planner'!$P$5:$P$1004,'Activity Planner'!$C$5:$C$1004,$A11))</f>
        <v>0</v>
      </c>
      <c r="D11">
        <f>IF($A11="",0,SUMIFS('Activity Planner'!$Q$5:$Q$1004,'Activity Planner'!$C$5:$C$1004,$A11))</f>
        <v>0</v>
      </c>
      <c r="E11">
        <f>IF($A11="",0,SUMIFS('Activity Planner'!$R$5:$R$1004,'Activity Planner'!$C$5:$C$1004,$A11))</f>
        <v>0</v>
      </c>
      <c r="F11">
        <f>IF($A11="",0,SUMIFS('Activity Planner'!$S$5:$S$1004,'Activity Planner'!$C$5:$C$1004,$A11))</f>
        <v>0</v>
      </c>
      <c r="G11">
        <f>IF($A11="",0,SUMIFS('Activity Planner'!$T$5:$T$1004,'Activity Planner'!$C$5:$C$1004,$A11))</f>
        <v>0</v>
      </c>
      <c r="H11">
        <f>IF($A11="",0,SUMIFS('Activity Planner'!$U$5:$U$1004,'Activity Planner'!$C$5:$C$1004,$A11))</f>
        <v>0</v>
      </c>
      <c r="I11">
        <f>IF($A11="",0,SUMIFS('Activity Planner'!$V$5:$V$1004,'Activity Planner'!$C$5:$C$1004,$A11))</f>
        <v>0</v>
      </c>
      <c r="J11">
        <f>IF($A11="",0,SUMIFS('Activity Planner'!$W$5:$W$1004,'Activity Planner'!$C$5:$C$1004,$A11))</f>
        <v>0</v>
      </c>
      <c r="K11">
        <f>IF($A11="",0,SUMIFS('Activity Planner'!$X$5:$X$1004,'Activity Planner'!$C$5:$C$1004,$A11))</f>
        <v>0</v>
      </c>
      <c r="L11">
        <f>IF($A11="",0,SUMIFS('Activity Planner'!$Y$5:$Y$1004,'Activity Planner'!$C$5:$C$1004,$A11))</f>
        <v>0</v>
      </c>
      <c r="M11">
        <f>IF($A11="",0,SUMIFS('Activity Planner'!$Z$5:$Z$1004,'Activity Planner'!$C$5:$C$1004,$A11))</f>
        <v>0</v>
      </c>
      <c r="Q11">
        <f>IF(INDEX('Activity Planner'!$O11:$Z11,SelMonthNum)=1,'Activity Planner'!$F11+ROW()/100000,"")</f>
        <v>0</v>
      </c>
      <c r="R11">
        <f>IF(AND('Activity Planner'!$N11=1,'Activity Planner'!$C11=SelPractice,'Activity Planner'!$AA11&gt;0),'Activity Planner'!$F11+ROW()/100000,"")</f>
        <v>0</v>
      </c>
    </row>
    <row r="12" spans="1:18">
      <c r="A12">
        <f>IF(Lists!$B$14="","",Lists!$B$14)</f>
        <v>0</v>
      </c>
      <c r="B12">
        <f>IF($A12="",0,SUMIFS('Activity Planner'!$O$5:$O$1004,'Activity Planner'!$C$5:$C$1004,$A12))</f>
        <v>0</v>
      </c>
      <c r="C12">
        <f>IF($A12="",0,SUMIFS('Activity Planner'!$P$5:$P$1004,'Activity Planner'!$C$5:$C$1004,$A12))</f>
        <v>0</v>
      </c>
      <c r="D12">
        <f>IF($A12="",0,SUMIFS('Activity Planner'!$Q$5:$Q$1004,'Activity Planner'!$C$5:$C$1004,$A12))</f>
        <v>0</v>
      </c>
      <c r="E12">
        <f>IF($A12="",0,SUMIFS('Activity Planner'!$R$5:$R$1004,'Activity Planner'!$C$5:$C$1004,$A12))</f>
        <v>0</v>
      </c>
      <c r="F12">
        <f>IF($A12="",0,SUMIFS('Activity Planner'!$S$5:$S$1004,'Activity Planner'!$C$5:$C$1004,$A12))</f>
        <v>0</v>
      </c>
      <c r="G12">
        <f>IF($A12="",0,SUMIFS('Activity Planner'!$T$5:$T$1004,'Activity Planner'!$C$5:$C$1004,$A12))</f>
        <v>0</v>
      </c>
      <c r="H12">
        <f>IF($A12="",0,SUMIFS('Activity Planner'!$U$5:$U$1004,'Activity Planner'!$C$5:$C$1004,$A12))</f>
        <v>0</v>
      </c>
      <c r="I12">
        <f>IF($A12="",0,SUMIFS('Activity Planner'!$V$5:$V$1004,'Activity Planner'!$C$5:$C$1004,$A12))</f>
        <v>0</v>
      </c>
      <c r="J12">
        <f>IF($A12="",0,SUMIFS('Activity Planner'!$W$5:$W$1004,'Activity Planner'!$C$5:$C$1004,$A12))</f>
        <v>0</v>
      </c>
      <c r="K12">
        <f>IF($A12="",0,SUMIFS('Activity Planner'!$X$5:$X$1004,'Activity Planner'!$C$5:$C$1004,$A12))</f>
        <v>0</v>
      </c>
      <c r="L12">
        <f>IF($A12="",0,SUMIFS('Activity Planner'!$Y$5:$Y$1004,'Activity Planner'!$C$5:$C$1004,$A12))</f>
        <v>0</v>
      </c>
      <c r="M12">
        <f>IF($A12="",0,SUMIFS('Activity Planner'!$Z$5:$Z$1004,'Activity Planner'!$C$5:$C$1004,$A12))</f>
        <v>0</v>
      </c>
      <c r="Q12">
        <f>IF(INDEX('Activity Planner'!$O12:$Z12,SelMonthNum)=1,'Activity Planner'!$F12+ROW()/100000,"")</f>
        <v>0</v>
      </c>
      <c r="R12">
        <f>IF(AND('Activity Planner'!$N12=1,'Activity Planner'!$C12=SelPractice,'Activity Planner'!$AA12&gt;0),'Activity Planner'!$F12+ROW()/100000,"")</f>
        <v>0</v>
      </c>
    </row>
    <row r="13" spans="1:18">
      <c r="A13">
        <f>IF(Lists!$B$15="","",Lists!$B$15)</f>
        <v>0</v>
      </c>
      <c r="B13">
        <f>IF($A13="",0,SUMIFS('Activity Planner'!$O$5:$O$1004,'Activity Planner'!$C$5:$C$1004,$A13))</f>
        <v>0</v>
      </c>
      <c r="C13">
        <f>IF($A13="",0,SUMIFS('Activity Planner'!$P$5:$P$1004,'Activity Planner'!$C$5:$C$1004,$A13))</f>
        <v>0</v>
      </c>
      <c r="D13">
        <f>IF($A13="",0,SUMIFS('Activity Planner'!$Q$5:$Q$1004,'Activity Planner'!$C$5:$C$1004,$A13))</f>
        <v>0</v>
      </c>
      <c r="E13">
        <f>IF($A13="",0,SUMIFS('Activity Planner'!$R$5:$R$1004,'Activity Planner'!$C$5:$C$1004,$A13))</f>
        <v>0</v>
      </c>
      <c r="F13">
        <f>IF($A13="",0,SUMIFS('Activity Planner'!$S$5:$S$1004,'Activity Planner'!$C$5:$C$1004,$A13))</f>
        <v>0</v>
      </c>
      <c r="G13">
        <f>IF($A13="",0,SUMIFS('Activity Planner'!$T$5:$T$1004,'Activity Planner'!$C$5:$C$1004,$A13))</f>
        <v>0</v>
      </c>
      <c r="H13">
        <f>IF($A13="",0,SUMIFS('Activity Planner'!$U$5:$U$1004,'Activity Planner'!$C$5:$C$1004,$A13))</f>
        <v>0</v>
      </c>
      <c r="I13">
        <f>IF($A13="",0,SUMIFS('Activity Planner'!$V$5:$V$1004,'Activity Planner'!$C$5:$C$1004,$A13))</f>
        <v>0</v>
      </c>
      <c r="J13">
        <f>IF($A13="",0,SUMIFS('Activity Planner'!$W$5:$W$1004,'Activity Planner'!$C$5:$C$1004,$A13))</f>
        <v>0</v>
      </c>
      <c r="K13">
        <f>IF($A13="",0,SUMIFS('Activity Planner'!$X$5:$X$1004,'Activity Planner'!$C$5:$C$1004,$A13))</f>
        <v>0</v>
      </c>
      <c r="L13">
        <f>IF($A13="",0,SUMIFS('Activity Planner'!$Y$5:$Y$1004,'Activity Planner'!$C$5:$C$1004,$A13))</f>
        <v>0</v>
      </c>
      <c r="M13">
        <f>IF($A13="",0,SUMIFS('Activity Planner'!$Z$5:$Z$1004,'Activity Planner'!$C$5:$C$1004,$A13))</f>
        <v>0</v>
      </c>
      <c r="Q13">
        <f>IF(INDEX('Activity Planner'!$O13:$Z13,SelMonthNum)=1,'Activity Planner'!$F13+ROW()/100000,"")</f>
        <v>0</v>
      </c>
      <c r="R13">
        <f>IF(AND('Activity Planner'!$N13=1,'Activity Planner'!$C13=SelPractice,'Activity Planner'!$AA13&gt;0),'Activity Planner'!$F13+ROW()/100000,"")</f>
        <v>0</v>
      </c>
    </row>
    <row r="14" spans="1:18">
      <c r="A14">
        <f>IF(Lists!$B$16="","",Lists!$B$16)</f>
        <v>0</v>
      </c>
      <c r="B14">
        <f>IF($A14="",0,SUMIFS('Activity Planner'!$O$5:$O$1004,'Activity Planner'!$C$5:$C$1004,$A14))</f>
        <v>0</v>
      </c>
      <c r="C14">
        <f>IF($A14="",0,SUMIFS('Activity Planner'!$P$5:$P$1004,'Activity Planner'!$C$5:$C$1004,$A14))</f>
        <v>0</v>
      </c>
      <c r="D14">
        <f>IF($A14="",0,SUMIFS('Activity Planner'!$Q$5:$Q$1004,'Activity Planner'!$C$5:$C$1004,$A14))</f>
        <v>0</v>
      </c>
      <c r="E14">
        <f>IF($A14="",0,SUMIFS('Activity Planner'!$R$5:$R$1004,'Activity Planner'!$C$5:$C$1004,$A14))</f>
        <v>0</v>
      </c>
      <c r="F14">
        <f>IF($A14="",0,SUMIFS('Activity Planner'!$S$5:$S$1004,'Activity Planner'!$C$5:$C$1004,$A14))</f>
        <v>0</v>
      </c>
      <c r="G14">
        <f>IF($A14="",0,SUMIFS('Activity Planner'!$T$5:$T$1004,'Activity Planner'!$C$5:$C$1004,$A14))</f>
        <v>0</v>
      </c>
      <c r="H14">
        <f>IF($A14="",0,SUMIFS('Activity Planner'!$U$5:$U$1004,'Activity Planner'!$C$5:$C$1004,$A14))</f>
        <v>0</v>
      </c>
      <c r="I14">
        <f>IF($A14="",0,SUMIFS('Activity Planner'!$V$5:$V$1004,'Activity Planner'!$C$5:$C$1004,$A14))</f>
        <v>0</v>
      </c>
      <c r="J14">
        <f>IF($A14="",0,SUMIFS('Activity Planner'!$W$5:$W$1004,'Activity Planner'!$C$5:$C$1004,$A14))</f>
        <v>0</v>
      </c>
      <c r="K14">
        <f>IF($A14="",0,SUMIFS('Activity Planner'!$X$5:$X$1004,'Activity Planner'!$C$5:$C$1004,$A14))</f>
        <v>0</v>
      </c>
      <c r="L14">
        <f>IF($A14="",0,SUMIFS('Activity Planner'!$Y$5:$Y$1004,'Activity Planner'!$C$5:$C$1004,$A14))</f>
        <v>0</v>
      </c>
      <c r="M14">
        <f>IF($A14="",0,SUMIFS('Activity Planner'!$Z$5:$Z$1004,'Activity Planner'!$C$5:$C$1004,$A14))</f>
        <v>0</v>
      </c>
      <c r="Q14">
        <f>IF(INDEX('Activity Planner'!$O14:$Z14,SelMonthNum)=1,'Activity Planner'!$F14+ROW()/100000,"")</f>
        <v>0</v>
      </c>
      <c r="R14">
        <f>IF(AND('Activity Planner'!$N14=1,'Activity Planner'!$C14=SelPractice,'Activity Planner'!$AA14&gt;0),'Activity Planner'!$F14+ROW()/100000,"")</f>
        <v>0</v>
      </c>
    </row>
    <row r="15" spans="1:18">
      <c r="Q15">
        <f>IF(INDEX('Activity Planner'!$O15:$Z15,SelMonthNum)=1,'Activity Planner'!$F15+ROW()/100000,"")</f>
        <v>0</v>
      </c>
      <c r="R15">
        <f>IF(AND('Activity Planner'!$N15=1,'Activity Planner'!$C15=SelPractice,'Activity Planner'!$AA15&gt;0),'Activity Planner'!$F15+ROW()/100000,"")</f>
        <v>0</v>
      </c>
    </row>
    <row r="16" spans="1:18">
      <c r="Q16">
        <f>IF(INDEX('Activity Planner'!$O16:$Z16,SelMonthNum)=1,'Activity Planner'!$F16+ROW()/100000,"")</f>
        <v>0</v>
      </c>
      <c r="R16">
        <f>IF(AND('Activity Planner'!$N16=1,'Activity Planner'!$C16=SelPractice,'Activity Planner'!$AA16&gt;0),'Activity Planner'!$F16+ROW()/100000,"")</f>
        <v>0</v>
      </c>
    </row>
    <row r="17" spans="1:18">
      <c r="Q17">
        <f>IF(INDEX('Activity Planner'!$O17:$Z17,SelMonthNum)=1,'Activity Planner'!$F17+ROW()/100000,"")</f>
        <v>0</v>
      </c>
      <c r="R17">
        <f>IF(AND('Activity Planner'!$N17=1,'Activity Planner'!$C17=SelPractice,'Activity Planner'!$AA17&gt;0),'Activity Planner'!$F17+ROW()/100000,"")</f>
        <v>0</v>
      </c>
    </row>
    <row r="18" spans="1:18">
      <c r="A18">
        <f>IF(Lists!$B$5="","",Lists!$B$5)</f>
        <v>0</v>
      </c>
      <c r="B18">
        <f>IF($A18="",0,SUMIFS('Activity Planner'!$O$5:$O$1004,'Activity Planner'!$C$5:$C$1004,$A18,'Activity Planner'!$D$5:$D$1004,Lists!$E$5))</f>
        <v>0</v>
      </c>
      <c r="C18">
        <f>IF($A18="",0,SUMIFS('Activity Planner'!$P$5:$P$1004,'Activity Planner'!$C$5:$C$1004,$A18,'Activity Planner'!$D$5:$D$1004,Lists!$E$5))</f>
        <v>0</v>
      </c>
      <c r="D18">
        <f>IF($A18="",0,SUMIFS('Activity Planner'!$Q$5:$Q$1004,'Activity Planner'!$C$5:$C$1004,$A18,'Activity Planner'!$D$5:$D$1004,Lists!$E$5))</f>
        <v>0</v>
      </c>
      <c r="E18">
        <f>IF($A18="",0,SUMIFS('Activity Planner'!$R$5:$R$1004,'Activity Planner'!$C$5:$C$1004,$A18,'Activity Planner'!$D$5:$D$1004,Lists!$E$5))</f>
        <v>0</v>
      </c>
      <c r="F18">
        <f>IF($A18="",0,SUMIFS('Activity Planner'!$S$5:$S$1004,'Activity Planner'!$C$5:$C$1004,$A18,'Activity Planner'!$D$5:$D$1004,Lists!$E$5))</f>
        <v>0</v>
      </c>
      <c r="G18">
        <f>IF($A18="",0,SUMIFS('Activity Planner'!$T$5:$T$1004,'Activity Planner'!$C$5:$C$1004,$A18,'Activity Planner'!$D$5:$D$1004,Lists!$E$5))</f>
        <v>0</v>
      </c>
      <c r="H18">
        <f>IF($A18="",0,SUMIFS('Activity Planner'!$U$5:$U$1004,'Activity Planner'!$C$5:$C$1004,$A18,'Activity Planner'!$D$5:$D$1004,Lists!$E$5))</f>
        <v>0</v>
      </c>
      <c r="I18">
        <f>IF($A18="",0,SUMIFS('Activity Planner'!$V$5:$V$1004,'Activity Planner'!$C$5:$C$1004,$A18,'Activity Planner'!$D$5:$D$1004,Lists!$E$5))</f>
        <v>0</v>
      </c>
      <c r="J18">
        <f>IF($A18="",0,SUMIFS('Activity Planner'!$W$5:$W$1004,'Activity Planner'!$C$5:$C$1004,$A18,'Activity Planner'!$D$5:$D$1004,Lists!$E$5))</f>
        <v>0</v>
      </c>
      <c r="K18">
        <f>IF($A18="",0,SUMIFS('Activity Planner'!$X$5:$X$1004,'Activity Planner'!$C$5:$C$1004,$A18,'Activity Planner'!$D$5:$D$1004,Lists!$E$5))</f>
        <v>0</v>
      </c>
      <c r="L18">
        <f>IF($A18="",0,SUMIFS('Activity Planner'!$Y$5:$Y$1004,'Activity Planner'!$C$5:$C$1004,$A18,'Activity Planner'!$D$5:$D$1004,Lists!$E$5))</f>
        <v>0</v>
      </c>
      <c r="M18">
        <f>IF($A18="",0,SUMIFS('Activity Planner'!$Z$5:$Z$1004,'Activity Planner'!$C$5:$C$1004,$A18,'Activity Planner'!$D$5:$D$1004,Lists!$E$5))</f>
        <v>0</v>
      </c>
      <c r="Q18">
        <f>IF(INDEX('Activity Planner'!$O18:$Z18,SelMonthNum)=1,'Activity Planner'!$F18+ROW()/100000,"")</f>
        <v>0</v>
      </c>
      <c r="R18">
        <f>IF(AND('Activity Planner'!$N18=1,'Activity Planner'!$C18=SelPractice,'Activity Planner'!$AA18&gt;0),'Activity Planner'!$F18+ROW()/100000,"")</f>
        <v>0</v>
      </c>
    </row>
    <row r="19" spans="1:18">
      <c r="A19">
        <f>IF(Lists!$B$6="","",Lists!$B$6)</f>
        <v>0</v>
      </c>
      <c r="B19">
        <f>IF($A19="",0,SUMIFS('Activity Planner'!$O$5:$O$1004,'Activity Planner'!$C$5:$C$1004,$A19,'Activity Planner'!$D$5:$D$1004,Lists!$E$5))</f>
        <v>0</v>
      </c>
      <c r="C19">
        <f>IF($A19="",0,SUMIFS('Activity Planner'!$P$5:$P$1004,'Activity Planner'!$C$5:$C$1004,$A19,'Activity Planner'!$D$5:$D$1004,Lists!$E$5))</f>
        <v>0</v>
      </c>
      <c r="D19">
        <f>IF($A19="",0,SUMIFS('Activity Planner'!$Q$5:$Q$1004,'Activity Planner'!$C$5:$C$1004,$A19,'Activity Planner'!$D$5:$D$1004,Lists!$E$5))</f>
        <v>0</v>
      </c>
      <c r="E19">
        <f>IF($A19="",0,SUMIFS('Activity Planner'!$R$5:$R$1004,'Activity Planner'!$C$5:$C$1004,$A19,'Activity Planner'!$D$5:$D$1004,Lists!$E$5))</f>
        <v>0</v>
      </c>
      <c r="F19">
        <f>IF($A19="",0,SUMIFS('Activity Planner'!$S$5:$S$1004,'Activity Planner'!$C$5:$C$1004,$A19,'Activity Planner'!$D$5:$D$1004,Lists!$E$5))</f>
        <v>0</v>
      </c>
      <c r="G19">
        <f>IF($A19="",0,SUMIFS('Activity Planner'!$T$5:$T$1004,'Activity Planner'!$C$5:$C$1004,$A19,'Activity Planner'!$D$5:$D$1004,Lists!$E$5))</f>
        <v>0</v>
      </c>
      <c r="H19">
        <f>IF($A19="",0,SUMIFS('Activity Planner'!$U$5:$U$1004,'Activity Planner'!$C$5:$C$1004,$A19,'Activity Planner'!$D$5:$D$1004,Lists!$E$5))</f>
        <v>0</v>
      </c>
      <c r="I19">
        <f>IF($A19="",0,SUMIFS('Activity Planner'!$V$5:$V$1004,'Activity Planner'!$C$5:$C$1004,$A19,'Activity Planner'!$D$5:$D$1004,Lists!$E$5))</f>
        <v>0</v>
      </c>
      <c r="J19">
        <f>IF($A19="",0,SUMIFS('Activity Planner'!$W$5:$W$1004,'Activity Planner'!$C$5:$C$1004,$A19,'Activity Planner'!$D$5:$D$1004,Lists!$E$5))</f>
        <v>0</v>
      </c>
      <c r="K19">
        <f>IF($A19="",0,SUMIFS('Activity Planner'!$X$5:$X$1004,'Activity Planner'!$C$5:$C$1004,$A19,'Activity Planner'!$D$5:$D$1004,Lists!$E$5))</f>
        <v>0</v>
      </c>
      <c r="L19">
        <f>IF($A19="",0,SUMIFS('Activity Planner'!$Y$5:$Y$1004,'Activity Planner'!$C$5:$C$1004,$A19,'Activity Planner'!$D$5:$D$1004,Lists!$E$5))</f>
        <v>0</v>
      </c>
      <c r="M19">
        <f>IF($A19="",0,SUMIFS('Activity Planner'!$Z$5:$Z$1004,'Activity Planner'!$C$5:$C$1004,$A19,'Activity Planner'!$D$5:$D$1004,Lists!$E$5))</f>
        <v>0</v>
      </c>
      <c r="Q19">
        <f>IF(INDEX('Activity Planner'!$O19:$Z19,SelMonthNum)=1,'Activity Planner'!$F19+ROW()/100000,"")</f>
        <v>0</v>
      </c>
      <c r="R19">
        <f>IF(AND('Activity Planner'!$N19=1,'Activity Planner'!$C19=SelPractice,'Activity Planner'!$AA19&gt;0),'Activity Planner'!$F19+ROW()/100000,"")</f>
        <v>0</v>
      </c>
    </row>
    <row r="20" spans="1:18">
      <c r="A20">
        <f>IF(Lists!$B$7="","",Lists!$B$7)</f>
        <v>0</v>
      </c>
      <c r="B20">
        <f>IF($A20="",0,SUMIFS('Activity Planner'!$O$5:$O$1004,'Activity Planner'!$C$5:$C$1004,$A20,'Activity Planner'!$D$5:$D$1004,Lists!$E$5))</f>
        <v>0</v>
      </c>
      <c r="C20">
        <f>IF($A20="",0,SUMIFS('Activity Planner'!$P$5:$P$1004,'Activity Planner'!$C$5:$C$1004,$A20,'Activity Planner'!$D$5:$D$1004,Lists!$E$5))</f>
        <v>0</v>
      </c>
      <c r="D20">
        <f>IF($A20="",0,SUMIFS('Activity Planner'!$Q$5:$Q$1004,'Activity Planner'!$C$5:$C$1004,$A20,'Activity Planner'!$D$5:$D$1004,Lists!$E$5))</f>
        <v>0</v>
      </c>
      <c r="E20">
        <f>IF($A20="",0,SUMIFS('Activity Planner'!$R$5:$R$1004,'Activity Planner'!$C$5:$C$1004,$A20,'Activity Planner'!$D$5:$D$1004,Lists!$E$5))</f>
        <v>0</v>
      </c>
      <c r="F20">
        <f>IF($A20="",0,SUMIFS('Activity Planner'!$S$5:$S$1004,'Activity Planner'!$C$5:$C$1004,$A20,'Activity Planner'!$D$5:$D$1004,Lists!$E$5))</f>
        <v>0</v>
      </c>
      <c r="G20">
        <f>IF($A20="",0,SUMIFS('Activity Planner'!$T$5:$T$1004,'Activity Planner'!$C$5:$C$1004,$A20,'Activity Planner'!$D$5:$D$1004,Lists!$E$5))</f>
        <v>0</v>
      </c>
      <c r="H20">
        <f>IF($A20="",0,SUMIFS('Activity Planner'!$U$5:$U$1004,'Activity Planner'!$C$5:$C$1004,$A20,'Activity Planner'!$D$5:$D$1004,Lists!$E$5))</f>
        <v>0</v>
      </c>
      <c r="I20">
        <f>IF($A20="",0,SUMIFS('Activity Planner'!$V$5:$V$1004,'Activity Planner'!$C$5:$C$1004,$A20,'Activity Planner'!$D$5:$D$1004,Lists!$E$5))</f>
        <v>0</v>
      </c>
      <c r="J20">
        <f>IF($A20="",0,SUMIFS('Activity Planner'!$W$5:$W$1004,'Activity Planner'!$C$5:$C$1004,$A20,'Activity Planner'!$D$5:$D$1004,Lists!$E$5))</f>
        <v>0</v>
      </c>
      <c r="K20">
        <f>IF($A20="",0,SUMIFS('Activity Planner'!$X$5:$X$1004,'Activity Planner'!$C$5:$C$1004,$A20,'Activity Planner'!$D$5:$D$1004,Lists!$E$5))</f>
        <v>0</v>
      </c>
      <c r="L20">
        <f>IF($A20="",0,SUMIFS('Activity Planner'!$Y$5:$Y$1004,'Activity Planner'!$C$5:$C$1004,$A20,'Activity Planner'!$D$5:$D$1004,Lists!$E$5))</f>
        <v>0</v>
      </c>
      <c r="M20">
        <f>IF($A20="",0,SUMIFS('Activity Planner'!$Z$5:$Z$1004,'Activity Planner'!$C$5:$C$1004,$A20,'Activity Planner'!$D$5:$D$1004,Lists!$E$5))</f>
        <v>0</v>
      </c>
      <c r="Q20">
        <f>IF(INDEX('Activity Planner'!$O20:$Z20,SelMonthNum)=1,'Activity Planner'!$F20+ROW()/100000,"")</f>
        <v>0</v>
      </c>
      <c r="R20">
        <f>IF(AND('Activity Planner'!$N20=1,'Activity Planner'!$C20=SelPractice,'Activity Planner'!$AA20&gt;0),'Activity Planner'!$F20+ROW()/100000,"")</f>
        <v>0</v>
      </c>
    </row>
    <row r="21" spans="1:18">
      <c r="A21">
        <f>IF(Lists!$B$8="","",Lists!$B$8)</f>
        <v>0</v>
      </c>
      <c r="B21">
        <f>IF($A21="",0,SUMIFS('Activity Planner'!$O$5:$O$1004,'Activity Planner'!$C$5:$C$1004,$A21,'Activity Planner'!$D$5:$D$1004,Lists!$E$5))</f>
        <v>0</v>
      </c>
      <c r="C21">
        <f>IF($A21="",0,SUMIFS('Activity Planner'!$P$5:$P$1004,'Activity Planner'!$C$5:$C$1004,$A21,'Activity Planner'!$D$5:$D$1004,Lists!$E$5))</f>
        <v>0</v>
      </c>
      <c r="D21">
        <f>IF($A21="",0,SUMIFS('Activity Planner'!$Q$5:$Q$1004,'Activity Planner'!$C$5:$C$1004,$A21,'Activity Planner'!$D$5:$D$1004,Lists!$E$5))</f>
        <v>0</v>
      </c>
      <c r="E21">
        <f>IF($A21="",0,SUMIFS('Activity Planner'!$R$5:$R$1004,'Activity Planner'!$C$5:$C$1004,$A21,'Activity Planner'!$D$5:$D$1004,Lists!$E$5))</f>
        <v>0</v>
      </c>
      <c r="F21">
        <f>IF($A21="",0,SUMIFS('Activity Planner'!$S$5:$S$1004,'Activity Planner'!$C$5:$C$1004,$A21,'Activity Planner'!$D$5:$D$1004,Lists!$E$5))</f>
        <v>0</v>
      </c>
      <c r="G21">
        <f>IF($A21="",0,SUMIFS('Activity Planner'!$T$5:$T$1004,'Activity Planner'!$C$5:$C$1004,$A21,'Activity Planner'!$D$5:$D$1004,Lists!$E$5))</f>
        <v>0</v>
      </c>
      <c r="H21">
        <f>IF($A21="",0,SUMIFS('Activity Planner'!$U$5:$U$1004,'Activity Planner'!$C$5:$C$1004,$A21,'Activity Planner'!$D$5:$D$1004,Lists!$E$5))</f>
        <v>0</v>
      </c>
      <c r="I21">
        <f>IF($A21="",0,SUMIFS('Activity Planner'!$V$5:$V$1004,'Activity Planner'!$C$5:$C$1004,$A21,'Activity Planner'!$D$5:$D$1004,Lists!$E$5))</f>
        <v>0</v>
      </c>
      <c r="J21">
        <f>IF($A21="",0,SUMIFS('Activity Planner'!$W$5:$W$1004,'Activity Planner'!$C$5:$C$1004,$A21,'Activity Planner'!$D$5:$D$1004,Lists!$E$5))</f>
        <v>0</v>
      </c>
      <c r="K21">
        <f>IF($A21="",0,SUMIFS('Activity Planner'!$X$5:$X$1004,'Activity Planner'!$C$5:$C$1004,$A21,'Activity Planner'!$D$5:$D$1004,Lists!$E$5))</f>
        <v>0</v>
      </c>
      <c r="L21">
        <f>IF($A21="",0,SUMIFS('Activity Planner'!$Y$5:$Y$1004,'Activity Planner'!$C$5:$C$1004,$A21,'Activity Planner'!$D$5:$D$1004,Lists!$E$5))</f>
        <v>0</v>
      </c>
      <c r="M21">
        <f>IF($A21="",0,SUMIFS('Activity Planner'!$Z$5:$Z$1004,'Activity Planner'!$C$5:$C$1004,$A21,'Activity Planner'!$D$5:$D$1004,Lists!$E$5))</f>
        <v>0</v>
      </c>
      <c r="Q21">
        <f>IF(INDEX('Activity Planner'!$O21:$Z21,SelMonthNum)=1,'Activity Planner'!$F21+ROW()/100000,"")</f>
        <v>0</v>
      </c>
      <c r="R21">
        <f>IF(AND('Activity Planner'!$N21=1,'Activity Planner'!$C21=SelPractice,'Activity Planner'!$AA21&gt;0),'Activity Planner'!$F21+ROW()/100000,"")</f>
        <v>0</v>
      </c>
    </row>
    <row r="22" spans="1:18">
      <c r="A22">
        <f>IF(Lists!$B$9="","",Lists!$B$9)</f>
        <v>0</v>
      </c>
      <c r="B22">
        <f>IF($A22="",0,SUMIFS('Activity Planner'!$O$5:$O$1004,'Activity Planner'!$C$5:$C$1004,$A22,'Activity Planner'!$D$5:$D$1004,Lists!$E$5))</f>
        <v>0</v>
      </c>
      <c r="C22">
        <f>IF($A22="",0,SUMIFS('Activity Planner'!$P$5:$P$1004,'Activity Planner'!$C$5:$C$1004,$A22,'Activity Planner'!$D$5:$D$1004,Lists!$E$5))</f>
        <v>0</v>
      </c>
      <c r="D22">
        <f>IF($A22="",0,SUMIFS('Activity Planner'!$Q$5:$Q$1004,'Activity Planner'!$C$5:$C$1004,$A22,'Activity Planner'!$D$5:$D$1004,Lists!$E$5))</f>
        <v>0</v>
      </c>
      <c r="E22">
        <f>IF($A22="",0,SUMIFS('Activity Planner'!$R$5:$R$1004,'Activity Planner'!$C$5:$C$1004,$A22,'Activity Planner'!$D$5:$D$1004,Lists!$E$5))</f>
        <v>0</v>
      </c>
      <c r="F22">
        <f>IF($A22="",0,SUMIFS('Activity Planner'!$S$5:$S$1004,'Activity Planner'!$C$5:$C$1004,$A22,'Activity Planner'!$D$5:$D$1004,Lists!$E$5))</f>
        <v>0</v>
      </c>
      <c r="G22">
        <f>IF($A22="",0,SUMIFS('Activity Planner'!$T$5:$T$1004,'Activity Planner'!$C$5:$C$1004,$A22,'Activity Planner'!$D$5:$D$1004,Lists!$E$5))</f>
        <v>0</v>
      </c>
      <c r="H22">
        <f>IF($A22="",0,SUMIFS('Activity Planner'!$U$5:$U$1004,'Activity Planner'!$C$5:$C$1004,$A22,'Activity Planner'!$D$5:$D$1004,Lists!$E$5))</f>
        <v>0</v>
      </c>
      <c r="I22">
        <f>IF($A22="",0,SUMIFS('Activity Planner'!$V$5:$V$1004,'Activity Planner'!$C$5:$C$1004,$A22,'Activity Planner'!$D$5:$D$1004,Lists!$E$5))</f>
        <v>0</v>
      </c>
      <c r="J22">
        <f>IF($A22="",0,SUMIFS('Activity Planner'!$W$5:$W$1004,'Activity Planner'!$C$5:$C$1004,$A22,'Activity Planner'!$D$5:$D$1004,Lists!$E$5))</f>
        <v>0</v>
      </c>
      <c r="K22">
        <f>IF($A22="",0,SUMIFS('Activity Planner'!$X$5:$X$1004,'Activity Planner'!$C$5:$C$1004,$A22,'Activity Planner'!$D$5:$D$1004,Lists!$E$5))</f>
        <v>0</v>
      </c>
      <c r="L22">
        <f>IF($A22="",0,SUMIFS('Activity Planner'!$Y$5:$Y$1004,'Activity Planner'!$C$5:$C$1004,$A22,'Activity Planner'!$D$5:$D$1004,Lists!$E$5))</f>
        <v>0</v>
      </c>
      <c r="M22">
        <f>IF($A22="",0,SUMIFS('Activity Planner'!$Z$5:$Z$1004,'Activity Planner'!$C$5:$C$1004,$A22,'Activity Planner'!$D$5:$D$1004,Lists!$E$5))</f>
        <v>0</v>
      </c>
      <c r="Q22">
        <f>IF(INDEX('Activity Planner'!$O22:$Z22,SelMonthNum)=1,'Activity Planner'!$F22+ROW()/100000,"")</f>
        <v>0</v>
      </c>
      <c r="R22">
        <f>IF(AND('Activity Planner'!$N22=1,'Activity Planner'!$C22=SelPractice,'Activity Planner'!$AA22&gt;0),'Activity Planner'!$F22+ROW()/100000,"")</f>
        <v>0</v>
      </c>
    </row>
    <row r="23" spans="1:18">
      <c r="A23">
        <f>IF(Lists!$B$10="","",Lists!$B$10)</f>
        <v>0</v>
      </c>
      <c r="B23">
        <f>IF($A23="",0,SUMIFS('Activity Planner'!$O$5:$O$1004,'Activity Planner'!$C$5:$C$1004,$A23,'Activity Planner'!$D$5:$D$1004,Lists!$E$5))</f>
        <v>0</v>
      </c>
      <c r="C23">
        <f>IF($A23="",0,SUMIFS('Activity Planner'!$P$5:$P$1004,'Activity Planner'!$C$5:$C$1004,$A23,'Activity Planner'!$D$5:$D$1004,Lists!$E$5))</f>
        <v>0</v>
      </c>
      <c r="D23">
        <f>IF($A23="",0,SUMIFS('Activity Planner'!$Q$5:$Q$1004,'Activity Planner'!$C$5:$C$1004,$A23,'Activity Planner'!$D$5:$D$1004,Lists!$E$5))</f>
        <v>0</v>
      </c>
      <c r="E23">
        <f>IF($A23="",0,SUMIFS('Activity Planner'!$R$5:$R$1004,'Activity Planner'!$C$5:$C$1004,$A23,'Activity Planner'!$D$5:$D$1004,Lists!$E$5))</f>
        <v>0</v>
      </c>
      <c r="F23">
        <f>IF($A23="",0,SUMIFS('Activity Planner'!$S$5:$S$1004,'Activity Planner'!$C$5:$C$1004,$A23,'Activity Planner'!$D$5:$D$1004,Lists!$E$5))</f>
        <v>0</v>
      </c>
      <c r="G23">
        <f>IF($A23="",0,SUMIFS('Activity Planner'!$T$5:$T$1004,'Activity Planner'!$C$5:$C$1004,$A23,'Activity Planner'!$D$5:$D$1004,Lists!$E$5))</f>
        <v>0</v>
      </c>
      <c r="H23">
        <f>IF($A23="",0,SUMIFS('Activity Planner'!$U$5:$U$1004,'Activity Planner'!$C$5:$C$1004,$A23,'Activity Planner'!$D$5:$D$1004,Lists!$E$5))</f>
        <v>0</v>
      </c>
      <c r="I23">
        <f>IF($A23="",0,SUMIFS('Activity Planner'!$V$5:$V$1004,'Activity Planner'!$C$5:$C$1004,$A23,'Activity Planner'!$D$5:$D$1004,Lists!$E$5))</f>
        <v>0</v>
      </c>
      <c r="J23">
        <f>IF($A23="",0,SUMIFS('Activity Planner'!$W$5:$W$1004,'Activity Planner'!$C$5:$C$1004,$A23,'Activity Planner'!$D$5:$D$1004,Lists!$E$5))</f>
        <v>0</v>
      </c>
      <c r="K23">
        <f>IF($A23="",0,SUMIFS('Activity Planner'!$X$5:$X$1004,'Activity Planner'!$C$5:$C$1004,$A23,'Activity Planner'!$D$5:$D$1004,Lists!$E$5))</f>
        <v>0</v>
      </c>
      <c r="L23">
        <f>IF($A23="",0,SUMIFS('Activity Planner'!$Y$5:$Y$1004,'Activity Planner'!$C$5:$C$1004,$A23,'Activity Planner'!$D$5:$D$1004,Lists!$E$5))</f>
        <v>0</v>
      </c>
      <c r="M23">
        <f>IF($A23="",0,SUMIFS('Activity Planner'!$Z$5:$Z$1004,'Activity Planner'!$C$5:$C$1004,$A23,'Activity Planner'!$D$5:$D$1004,Lists!$E$5))</f>
        <v>0</v>
      </c>
      <c r="Q23">
        <f>IF(INDEX('Activity Planner'!$O23:$Z23,SelMonthNum)=1,'Activity Planner'!$F23+ROW()/100000,"")</f>
        <v>0</v>
      </c>
      <c r="R23">
        <f>IF(AND('Activity Planner'!$N23=1,'Activity Planner'!$C23=SelPractice,'Activity Planner'!$AA23&gt;0),'Activity Planner'!$F23+ROW()/100000,"")</f>
        <v>0</v>
      </c>
    </row>
    <row r="24" spans="1:18">
      <c r="A24">
        <f>IF(Lists!$B$11="","",Lists!$B$11)</f>
        <v>0</v>
      </c>
      <c r="B24">
        <f>IF($A24="",0,SUMIFS('Activity Planner'!$O$5:$O$1004,'Activity Planner'!$C$5:$C$1004,$A24,'Activity Planner'!$D$5:$D$1004,Lists!$E$5))</f>
        <v>0</v>
      </c>
      <c r="C24">
        <f>IF($A24="",0,SUMIFS('Activity Planner'!$P$5:$P$1004,'Activity Planner'!$C$5:$C$1004,$A24,'Activity Planner'!$D$5:$D$1004,Lists!$E$5))</f>
        <v>0</v>
      </c>
      <c r="D24">
        <f>IF($A24="",0,SUMIFS('Activity Planner'!$Q$5:$Q$1004,'Activity Planner'!$C$5:$C$1004,$A24,'Activity Planner'!$D$5:$D$1004,Lists!$E$5))</f>
        <v>0</v>
      </c>
      <c r="E24">
        <f>IF($A24="",0,SUMIFS('Activity Planner'!$R$5:$R$1004,'Activity Planner'!$C$5:$C$1004,$A24,'Activity Planner'!$D$5:$D$1004,Lists!$E$5))</f>
        <v>0</v>
      </c>
      <c r="F24">
        <f>IF($A24="",0,SUMIFS('Activity Planner'!$S$5:$S$1004,'Activity Planner'!$C$5:$C$1004,$A24,'Activity Planner'!$D$5:$D$1004,Lists!$E$5))</f>
        <v>0</v>
      </c>
      <c r="G24">
        <f>IF($A24="",0,SUMIFS('Activity Planner'!$T$5:$T$1004,'Activity Planner'!$C$5:$C$1004,$A24,'Activity Planner'!$D$5:$D$1004,Lists!$E$5))</f>
        <v>0</v>
      </c>
      <c r="H24">
        <f>IF($A24="",0,SUMIFS('Activity Planner'!$U$5:$U$1004,'Activity Planner'!$C$5:$C$1004,$A24,'Activity Planner'!$D$5:$D$1004,Lists!$E$5))</f>
        <v>0</v>
      </c>
      <c r="I24">
        <f>IF($A24="",0,SUMIFS('Activity Planner'!$V$5:$V$1004,'Activity Planner'!$C$5:$C$1004,$A24,'Activity Planner'!$D$5:$D$1004,Lists!$E$5))</f>
        <v>0</v>
      </c>
      <c r="J24">
        <f>IF($A24="",0,SUMIFS('Activity Planner'!$W$5:$W$1004,'Activity Planner'!$C$5:$C$1004,$A24,'Activity Planner'!$D$5:$D$1004,Lists!$E$5))</f>
        <v>0</v>
      </c>
      <c r="K24">
        <f>IF($A24="",0,SUMIFS('Activity Planner'!$X$5:$X$1004,'Activity Planner'!$C$5:$C$1004,$A24,'Activity Planner'!$D$5:$D$1004,Lists!$E$5))</f>
        <v>0</v>
      </c>
      <c r="L24">
        <f>IF($A24="",0,SUMIFS('Activity Planner'!$Y$5:$Y$1004,'Activity Planner'!$C$5:$C$1004,$A24,'Activity Planner'!$D$5:$D$1004,Lists!$E$5))</f>
        <v>0</v>
      </c>
      <c r="M24">
        <f>IF($A24="",0,SUMIFS('Activity Planner'!$Z$5:$Z$1004,'Activity Planner'!$C$5:$C$1004,$A24,'Activity Planner'!$D$5:$D$1004,Lists!$E$5))</f>
        <v>0</v>
      </c>
      <c r="Q24">
        <f>IF(INDEX('Activity Planner'!$O24:$Z24,SelMonthNum)=1,'Activity Planner'!$F24+ROW()/100000,"")</f>
        <v>0</v>
      </c>
      <c r="R24">
        <f>IF(AND('Activity Planner'!$N24=1,'Activity Planner'!$C24=SelPractice,'Activity Planner'!$AA24&gt;0),'Activity Planner'!$F24+ROW()/100000,"")</f>
        <v>0</v>
      </c>
    </row>
    <row r="25" spans="1:18">
      <c r="A25">
        <f>IF(Lists!$B$12="","",Lists!$B$12)</f>
        <v>0</v>
      </c>
      <c r="B25">
        <f>IF($A25="",0,SUMIFS('Activity Planner'!$O$5:$O$1004,'Activity Planner'!$C$5:$C$1004,$A25,'Activity Planner'!$D$5:$D$1004,Lists!$E$5))</f>
        <v>0</v>
      </c>
      <c r="C25">
        <f>IF($A25="",0,SUMIFS('Activity Planner'!$P$5:$P$1004,'Activity Planner'!$C$5:$C$1004,$A25,'Activity Planner'!$D$5:$D$1004,Lists!$E$5))</f>
        <v>0</v>
      </c>
      <c r="D25">
        <f>IF($A25="",0,SUMIFS('Activity Planner'!$Q$5:$Q$1004,'Activity Planner'!$C$5:$C$1004,$A25,'Activity Planner'!$D$5:$D$1004,Lists!$E$5))</f>
        <v>0</v>
      </c>
      <c r="E25">
        <f>IF($A25="",0,SUMIFS('Activity Planner'!$R$5:$R$1004,'Activity Planner'!$C$5:$C$1004,$A25,'Activity Planner'!$D$5:$D$1004,Lists!$E$5))</f>
        <v>0</v>
      </c>
      <c r="F25">
        <f>IF($A25="",0,SUMIFS('Activity Planner'!$S$5:$S$1004,'Activity Planner'!$C$5:$C$1004,$A25,'Activity Planner'!$D$5:$D$1004,Lists!$E$5))</f>
        <v>0</v>
      </c>
      <c r="G25">
        <f>IF($A25="",0,SUMIFS('Activity Planner'!$T$5:$T$1004,'Activity Planner'!$C$5:$C$1004,$A25,'Activity Planner'!$D$5:$D$1004,Lists!$E$5))</f>
        <v>0</v>
      </c>
      <c r="H25">
        <f>IF($A25="",0,SUMIFS('Activity Planner'!$U$5:$U$1004,'Activity Planner'!$C$5:$C$1004,$A25,'Activity Planner'!$D$5:$D$1004,Lists!$E$5))</f>
        <v>0</v>
      </c>
      <c r="I25">
        <f>IF($A25="",0,SUMIFS('Activity Planner'!$V$5:$V$1004,'Activity Planner'!$C$5:$C$1004,$A25,'Activity Planner'!$D$5:$D$1004,Lists!$E$5))</f>
        <v>0</v>
      </c>
      <c r="J25">
        <f>IF($A25="",0,SUMIFS('Activity Planner'!$W$5:$W$1004,'Activity Planner'!$C$5:$C$1004,$A25,'Activity Planner'!$D$5:$D$1004,Lists!$E$5))</f>
        <v>0</v>
      </c>
      <c r="K25">
        <f>IF($A25="",0,SUMIFS('Activity Planner'!$X$5:$X$1004,'Activity Planner'!$C$5:$C$1004,$A25,'Activity Planner'!$D$5:$D$1004,Lists!$E$5))</f>
        <v>0</v>
      </c>
      <c r="L25">
        <f>IF($A25="",0,SUMIFS('Activity Planner'!$Y$5:$Y$1004,'Activity Planner'!$C$5:$C$1004,$A25,'Activity Planner'!$D$5:$D$1004,Lists!$E$5))</f>
        <v>0</v>
      </c>
      <c r="M25">
        <f>IF($A25="",0,SUMIFS('Activity Planner'!$Z$5:$Z$1004,'Activity Planner'!$C$5:$C$1004,$A25,'Activity Planner'!$D$5:$D$1004,Lists!$E$5))</f>
        <v>0</v>
      </c>
      <c r="Q25">
        <f>IF(INDEX('Activity Planner'!$O25:$Z25,SelMonthNum)=1,'Activity Planner'!$F25+ROW()/100000,"")</f>
        <v>0</v>
      </c>
      <c r="R25">
        <f>IF(AND('Activity Planner'!$N25=1,'Activity Planner'!$C25=SelPractice,'Activity Planner'!$AA25&gt;0),'Activity Planner'!$F25+ROW()/100000,"")</f>
        <v>0</v>
      </c>
    </row>
    <row r="26" spans="1:18">
      <c r="A26">
        <f>IF(Lists!$B$13="","",Lists!$B$13)</f>
        <v>0</v>
      </c>
      <c r="B26">
        <f>IF($A26="",0,SUMIFS('Activity Planner'!$O$5:$O$1004,'Activity Planner'!$C$5:$C$1004,$A26,'Activity Planner'!$D$5:$D$1004,Lists!$E$5))</f>
        <v>0</v>
      </c>
      <c r="C26">
        <f>IF($A26="",0,SUMIFS('Activity Planner'!$P$5:$P$1004,'Activity Planner'!$C$5:$C$1004,$A26,'Activity Planner'!$D$5:$D$1004,Lists!$E$5))</f>
        <v>0</v>
      </c>
      <c r="D26">
        <f>IF($A26="",0,SUMIFS('Activity Planner'!$Q$5:$Q$1004,'Activity Planner'!$C$5:$C$1004,$A26,'Activity Planner'!$D$5:$D$1004,Lists!$E$5))</f>
        <v>0</v>
      </c>
      <c r="E26">
        <f>IF($A26="",0,SUMIFS('Activity Planner'!$R$5:$R$1004,'Activity Planner'!$C$5:$C$1004,$A26,'Activity Planner'!$D$5:$D$1004,Lists!$E$5))</f>
        <v>0</v>
      </c>
      <c r="F26">
        <f>IF($A26="",0,SUMIFS('Activity Planner'!$S$5:$S$1004,'Activity Planner'!$C$5:$C$1004,$A26,'Activity Planner'!$D$5:$D$1004,Lists!$E$5))</f>
        <v>0</v>
      </c>
      <c r="G26">
        <f>IF($A26="",0,SUMIFS('Activity Planner'!$T$5:$T$1004,'Activity Planner'!$C$5:$C$1004,$A26,'Activity Planner'!$D$5:$D$1004,Lists!$E$5))</f>
        <v>0</v>
      </c>
      <c r="H26">
        <f>IF($A26="",0,SUMIFS('Activity Planner'!$U$5:$U$1004,'Activity Planner'!$C$5:$C$1004,$A26,'Activity Planner'!$D$5:$D$1004,Lists!$E$5))</f>
        <v>0</v>
      </c>
      <c r="I26">
        <f>IF($A26="",0,SUMIFS('Activity Planner'!$V$5:$V$1004,'Activity Planner'!$C$5:$C$1004,$A26,'Activity Planner'!$D$5:$D$1004,Lists!$E$5))</f>
        <v>0</v>
      </c>
      <c r="J26">
        <f>IF($A26="",0,SUMIFS('Activity Planner'!$W$5:$W$1004,'Activity Planner'!$C$5:$C$1004,$A26,'Activity Planner'!$D$5:$D$1004,Lists!$E$5))</f>
        <v>0</v>
      </c>
      <c r="K26">
        <f>IF($A26="",0,SUMIFS('Activity Planner'!$X$5:$X$1004,'Activity Planner'!$C$5:$C$1004,$A26,'Activity Planner'!$D$5:$D$1004,Lists!$E$5))</f>
        <v>0</v>
      </c>
      <c r="L26">
        <f>IF($A26="",0,SUMIFS('Activity Planner'!$Y$5:$Y$1004,'Activity Planner'!$C$5:$C$1004,$A26,'Activity Planner'!$D$5:$D$1004,Lists!$E$5))</f>
        <v>0</v>
      </c>
      <c r="M26">
        <f>IF($A26="",0,SUMIFS('Activity Planner'!$Z$5:$Z$1004,'Activity Planner'!$C$5:$C$1004,$A26,'Activity Planner'!$D$5:$D$1004,Lists!$E$5))</f>
        <v>0</v>
      </c>
      <c r="Q26">
        <f>IF(INDEX('Activity Planner'!$O26:$Z26,SelMonthNum)=1,'Activity Planner'!$F26+ROW()/100000,"")</f>
        <v>0</v>
      </c>
      <c r="R26">
        <f>IF(AND('Activity Planner'!$N26=1,'Activity Planner'!$C26=SelPractice,'Activity Planner'!$AA26&gt;0),'Activity Planner'!$F26+ROW()/100000,"")</f>
        <v>0</v>
      </c>
    </row>
    <row r="27" spans="1:18">
      <c r="A27">
        <f>IF(Lists!$B$14="","",Lists!$B$14)</f>
        <v>0</v>
      </c>
      <c r="B27">
        <f>IF($A27="",0,SUMIFS('Activity Planner'!$O$5:$O$1004,'Activity Planner'!$C$5:$C$1004,$A27,'Activity Planner'!$D$5:$D$1004,Lists!$E$5))</f>
        <v>0</v>
      </c>
      <c r="C27">
        <f>IF($A27="",0,SUMIFS('Activity Planner'!$P$5:$P$1004,'Activity Planner'!$C$5:$C$1004,$A27,'Activity Planner'!$D$5:$D$1004,Lists!$E$5))</f>
        <v>0</v>
      </c>
      <c r="D27">
        <f>IF($A27="",0,SUMIFS('Activity Planner'!$Q$5:$Q$1004,'Activity Planner'!$C$5:$C$1004,$A27,'Activity Planner'!$D$5:$D$1004,Lists!$E$5))</f>
        <v>0</v>
      </c>
      <c r="E27">
        <f>IF($A27="",0,SUMIFS('Activity Planner'!$R$5:$R$1004,'Activity Planner'!$C$5:$C$1004,$A27,'Activity Planner'!$D$5:$D$1004,Lists!$E$5))</f>
        <v>0</v>
      </c>
      <c r="F27">
        <f>IF($A27="",0,SUMIFS('Activity Planner'!$S$5:$S$1004,'Activity Planner'!$C$5:$C$1004,$A27,'Activity Planner'!$D$5:$D$1004,Lists!$E$5))</f>
        <v>0</v>
      </c>
      <c r="G27">
        <f>IF($A27="",0,SUMIFS('Activity Planner'!$T$5:$T$1004,'Activity Planner'!$C$5:$C$1004,$A27,'Activity Planner'!$D$5:$D$1004,Lists!$E$5))</f>
        <v>0</v>
      </c>
      <c r="H27">
        <f>IF($A27="",0,SUMIFS('Activity Planner'!$U$5:$U$1004,'Activity Planner'!$C$5:$C$1004,$A27,'Activity Planner'!$D$5:$D$1004,Lists!$E$5))</f>
        <v>0</v>
      </c>
      <c r="I27">
        <f>IF($A27="",0,SUMIFS('Activity Planner'!$V$5:$V$1004,'Activity Planner'!$C$5:$C$1004,$A27,'Activity Planner'!$D$5:$D$1004,Lists!$E$5))</f>
        <v>0</v>
      </c>
      <c r="J27">
        <f>IF($A27="",0,SUMIFS('Activity Planner'!$W$5:$W$1004,'Activity Planner'!$C$5:$C$1004,$A27,'Activity Planner'!$D$5:$D$1004,Lists!$E$5))</f>
        <v>0</v>
      </c>
      <c r="K27">
        <f>IF($A27="",0,SUMIFS('Activity Planner'!$X$5:$X$1004,'Activity Planner'!$C$5:$C$1004,$A27,'Activity Planner'!$D$5:$D$1004,Lists!$E$5))</f>
        <v>0</v>
      </c>
      <c r="L27">
        <f>IF($A27="",0,SUMIFS('Activity Planner'!$Y$5:$Y$1004,'Activity Planner'!$C$5:$C$1004,$A27,'Activity Planner'!$D$5:$D$1004,Lists!$E$5))</f>
        <v>0</v>
      </c>
      <c r="M27">
        <f>IF($A27="",0,SUMIFS('Activity Planner'!$Z$5:$Z$1004,'Activity Planner'!$C$5:$C$1004,$A27,'Activity Planner'!$D$5:$D$1004,Lists!$E$5))</f>
        <v>0</v>
      </c>
      <c r="Q27">
        <f>IF(INDEX('Activity Planner'!$O27:$Z27,SelMonthNum)=1,'Activity Planner'!$F27+ROW()/100000,"")</f>
        <v>0</v>
      </c>
      <c r="R27">
        <f>IF(AND('Activity Planner'!$N27=1,'Activity Planner'!$C27=SelPractice,'Activity Planner'!$AA27&gt;0),'Activity Planner'!$F27+ROW()/100000,"")</f>
        <v>0</v>
      </c>
    </row>
    <row r="28" spans="1:18">
      <c r="A28">
        <f>IF(Lists!$B$15="","",Lists!$B$15)</f>
        <v>0</v>
      </c>
      <c r="B28">
        <f>IF($A28="",0,SUMIFS('Activity Planner'!$O$5:$O$1004,'Activity Planner'!$C$5:$C$1004,$A28,'Activity Planner'!$D$5:$D$1004,Lists!$E$5))</f>
        <v>0</v>
      </c>
      <c r="C28">
        <f>IF($A28="",0,SUMIFS('Activity Planner'!$P$5:$P$1004,'Activity Planner'!$C$5:$C$1004,$A28,'Activity Planner'!$D$5:$D$1004,Lists!$E$5))</f>
        <v>0</v>
      </c>
      <c r="D28">
        <f>IF($A28="",0,SUMIFS('Activity Planner'!$Q$5:$Q$1004,'Activity Planner'!$C$5:$C$1004,$A28,'Activity Planner'!$D$5:$D$1004,Lists!$E$5))</f>
        <v>0</v>
      </c>
      <c r="E28">
        <f>IF($A28="",0,SUMIFS('Activity Planner'!$R$5:$R$1004,'Activity Planner'!$C$5:$C$1004,$A28,'Activity Planner'!$D$5:$D$1004,Lists!$E$5))</f>
        <v>0</v>
      </c>
      <c r="F28">
        <f>IF($A28="",0,SUMIFS('Activity Planner'!$S$5:$S$1004,'Activity Planner'!$C$5:$C$1004,$A28,'Activity Planner'!$D$5:$D$1004,Lists!$E$5))</f>
        <v>0</v>
      </c>
      <c r="G28">
        <f>IF($A28="",0,SUMIFS('Activity Planner'!$T$5:$T$1004,'Activity Planner'!$C$5:$C$1004,$A28,'Activity Planner'!$D$5:$D$1004,Lists!$E$5))</f>
        <v>0</v>
      </c>
      <c r="H28">
        <f>IF($A28="",0,SUMIFS('Activity Planner'!$U$5:$U$1004,'Activity Planner'!$C$5:$C$1004,$A28,'Activity Planner'!$D$5:$D$1004,Lists!$E$5))</f>
        <v>0</v>
      </c>
      <c r="I28">
        <f>IF($A28="",0,SUMIFS('Activity Planner'!$V$5:$V$1004,'Activity Planner'!$C$5:$C$1004,$A28,'Activity Planner'!$D$5:$D$1004,Lists!$E$5))</f>
        <v>0</v>
      </c>
      <c r="J28">
        <f>IF($A28="",0,SUMIFS('Activity Planner'!$W$5:$W$1004,'Activity Planner'!$C$5:$C$1004,$A28,'Activity Planner'!$D$5:$D$1004,Lists!$E$5))</f>
        <v>0</v>
      </c>
      <c r="K28">
        <f>IF($A28="",0,SUMIFS('Activity Planner'!$X$5:$X$1004,'Activity Planner'!$C$5:$C$1004,$A28,'Activity Planner'!$D$5:$D$1004,Lists!$E$5))</f>
        <v>0</v>
      </c>
      <c r="L28">
        <f>IF($A28="",0,SUMIFS('Activity Planner'!$Y$5:$Y$1004,'Activity Planner'!$C$5:$C$1004,$A28,'Activity Planner'!$D$5:$D$1004,Lists!$E$5))</f>
        <v>0</v>
      </c>
      <c r="M28">
        <f>IF($A28="",0,SUMIFS('Activity Planner'!$Z$5:$Z$1004,'Activity Planner'!$C$5:$C$1004,$A28,'Activity Planner'!$D$5:$D$1004,Lists!$E$5))</f>
        <v>0</v>
      </c>
      <c r="Q28">
        <f>IF(INDEX('Activity Planner'!$O28:$Z28,SelMonthNum)=1,'Activity Planner'!$F28+ROW()/100000,"")</f>
        <v>0</v>
      </c>
      <c r="R28">
        <f>IF(AND('Activity Planner'!$N28=1,'Activity Planner'!$C28=SelPractice,'Activity Planner'!$AA28&gt;0),'Activity Planner'!$F28+ROW()/100000,"")</f>
        <v>0</v>
      </c>
    </row>
    <row r="29" spans="1:18">
      <c r="A29">
        <f>IF(Lists!$B$16="","",Lists!$B$16)</f>
        <v>0</v>
      </c>
      <c r="B29">
        <f>IF($A29="",0,SUMIFS('Activity Planner'!$O$5:$O$1004,'Activity Planner'!$C$5:$C$1004,$A29,'Activity Planner'!$D$5:$D$1004,Lists!$E$5))</f>
        <v>0</v>
      </c>
      <c r="C29">
        <f>IF($A29="",0,SUMIFS('Activity Planner'!$P$5:$P$1004,'Activity Planner'!$C$5:$C$1004,$A29,'Activity Planner'!$D$5:$D$1004,Lists!$E$5))</f>
        <v>0</v>
      </c>
      <c r="D29">
        <f>IF($A29="",0,SUMIFS('Activity Planner'!$Q$5:$Q$1004,'Activity Planner'!$C$5:$C$1004,$A29,'Activity Planner'!$D$5:$D$1004,Lists!$E$5))</f>
        <v>0</v>
      </c>
      <c r="E29">
        <f>IF($A29="",0,SUMIFS('Activity Planner'!$R$5:$R$1004,'Activity Planner'!$C$5:$C$1004,$A29,'Activity Planner'!$D$5:$D$1004,Lists!$E$5))</f>
        <v>0</v>
      </c>
      <c r="F29">
        <f>IF($A29="",0,SUMIFS('Activity Planner'!$S$5:$S$1004,'Activity Planner'!$C$5:$C$1004,$A29,'Activity Planner'!$D$5:$D$1004,Lists!$E$5))</f>
        <v>0</v>
      </c>
      <c r="G29">
        <f>IF($A29="",0,SUMIFS('Activity Planner'!$T$5:$T$1004,'Activity Planner'!$C$5:$C$1004,$A29,'Activity Planner'!$D$5:$D$1004,Lists!$E$5))</f>
        <v>0</v>
      </c>
      <c r="H29">
        <f>IF($A29="",0,SUMIFS('Activity Planner'!$U$5:$U$1004,'Activity Planner'!$C$5:$C$1004,$A29,'Activity Planner'!$D$5:$D$1004,Lists!$E$5))</f>
        <v>0</v>
      </c>
      <c r="I29">
        <f>IF($A29="",0,SUMIFS('Activity Planner'!$V$5:$V$1004,'Activity Planner'!$C$5:$C$1004,$A29,'Activity Planner'!$D$5:$D$1004,Lists!$E$5))</f>
        <v>0</v>
      </c>
      <c r="J29">
        <f>IF($A29="",0,SUMIFS('Activity Planner'!$W$5:$W$1004,'Activity Planner'!$C$5:$C$1004,$A29,'Activity Planner'!$D$5:$D$1004,Lists!$E$5))</f>
        <v>0</v>
      </c>
      <c r="K29">
        <f>IF($A29="",0,SUMIFS('Activity Planner'!$X$5:$X$1004,'Activity Planner'!$C$5:$C$1004,$A29,'Activity Planner'!$D$5:$D$1004,Lists!$E$5))</f>
        <v>0</v>
      </c>
      <c r="L29">
        <f>IF($A29="",0,SUMIFS('Activity Planner'!$Y$5:$Y$1004,'Activity Planner'!$C$5:$C$1004,$A29,'Activity Planner'!$D$5:$D$1004,Lists!$E$5))</f>
        <v>0</v>
      </c>
      <c r="M29">
        <f>IF($A29="",0,SUMIFS('Activity Planner'!$Z$5:$Z$1004,'Activity Planner'!$C$5:$C$1004,$A29,'Activity Planner'!$D$5:$D$1004,Lists!$E$5))</f>
        <v>0</v>
      </c>
      <c r="Q29">
        <f>IF(INDEX('Activity Planner'!$O29:$Z29,SelMonthNum)=1,'Activity Planner'!$F29+ROW()/100000,"")</f>
        <v>0</v>
      </c>
      <c r="R29">
        <f>IF(AND('Activity Planner'!$N29=1,'Activity Planner'!$C29=SelPractice,'Activity Planner'!$AA29&gt;0),'Activity Planner'!$F29+ROW()/100000,"")</f>
        <v>0</v>
      </c>
    </row>
    <row r="30" spans="1:18">
      <c r="Q30">
        <f>IF(INDEX('Activity Planner'!$O30:$Z30,SelMonthNum)=1,'Activity Planner'!$F30+ROW()/100000,"")</f>
        <v>0</v>
      </c>
      <c r="R30">
        <f>IF(AND('Activity Planner'!$N30=1,'Activity Planner'!$C30=SelPractice,'Activity Planner'!$AA30&gt;0),'Activity Planner'!$F30+ROW()/100000,"")</f>
        <v>0</v>
      </c>
    </row>
    <row r="31" spans="1:18">
      <c r="Q31">
        <f>IF(INDEX('Activity Planner'!$O31:$Z31,SelMonthNum)=1,'Activity Planner'!$F31+ROW()/100000,"")</f>
        <v>0</v>
      </c>
      <c r="R31">
        <f>IF(AND('Activity Planner'!$N31=1,'Activity Planner'!$C31=SelPractice,'Activity Planner'!$AA31&gt;0),'Activity Planner'!$F31+ROW()/100000,"")</f>
        <v>0</v>
      </c>
    </row>
    <row r="32" spans="1:18">
      <c r="Q32">
        <f>IF(INDEX('Activity Planner'!$O32:$Z32,SelMonthNum)=1,'Activity Planner'!$F32+ROW()/100000,"")</f>
        <v>0</v>
      </c>
      <c r="R32">
        <f>IF(AND('Activity Planner'!$N32=1,'Activity Planner'!$C32=SelPractice,'Activity Planner'!$AA32&gt;0),'Activity Planner'!$F32+ROW()/100000,"")</f>
        <v>0</v>
      </c>
    </row>
    <row r="33" spans="1:18">
      <c r="A33">
        <f>IF(Lists!$B$5="","",Lists!$B$5)</f>
        <v>0</v>
      </c>
      <c r="B33">
        <f>IF($A33="",0,SUMIFS('Activity Planner'!$O$5:$O$1004,'Activity Planner'!$C$5:$C$1004,$A33,'Activity Planner'!$D$5:$D$1004,Lists!$E$6))</f>
        <v>0</v>
      </c>
      <c r="C33">
        <f>IF($A33="",0,SUMIFS('Activity Planner'!$P$5:$P$1004,'Activity Planner'!$C$5:$C$1004,$A33,'Activity Planner'!$D$5:$D$1004,Lists!$E$6))</f>
        <v>0</v>
      </c>
      <c r="D33">
        <f>IF($A33="",0,SUMIFS('Activity Planner'!$Q$5:$Q$1004,'Activity Planner'!$C$5:$C$1004,$A33,'Activity Planner'!$D$5:$D$1004,Lists!$E$6))</f>
        <v>0</v>
      </c>
      <c r="E33">
        <f>IF($A33="",0,SUMIFS('Activity Planner'!$R$5:$R$1004,'Activity Planner'!$C$5:$C$1004,$A33,'Activity Planner'!$D$5:$D$1004,Lists!$E$6))</f>
        <v>0</v>
      </c>
      <c r="F33">
        <f>IF($A33="",0,SUMIFS('Activity Planner'!$S$5:$S$1004,'Activity Planner'!$C$5:$C$1004,$A33,'Activity Planner'!$D$5:$D$1004,Lists!$E$6))</f>
        <v>0</v>
      </c>
      <c r="G33">
        <f>IF($A33="",0,SUMIFS('Activity Planner'!$T$5:$T$1004,'Activity Planner'!$C$5:$C$1004,$A33,'Activity Planner'!$D$5:$D$1004,Lists!$E$6))</f>
        <v>0</v>
      </c>
      <c r="H33">
        <f>IF($A33="",0,SUMIFS('Activity Planner'!$U$5:$U$1004,'Activity Planner'!$C$5:$C$1004,$A33,'Activity Planner'!$D$5:$D$1004,Lists!$E$6))</f>
        <v>0</v>
      </c>
      <c r="I33">
        <f>IF($A33="",0,SUMIFS('Activity Planner'!$V$5:$V$1004,'Activity Planner'!$C$5:$C$1004,$A33,'Activity Planner'!$D$5:$D$1004,Lists!$E$6))</f>
        <v>0</v>
      </c>
      <c r="J33">
        <f>IF($A33="",0,SUMIFS('Activity Planner'!$W$5:$W$1004,'Activity Planner'!$C$5:$C$1004,$A33,'Activity Planner'!$D$5:$D$1004,Lists!$E$6))</f>
        <v>0</v>
      </c>
      <c r="K33">
        <f>IF($A33="",0,SUMIFS('Activity Planner'!$X$5:$X$1004,'Activity Planner'!$C$5:$C$1004,$A33,'Activity Planner'!$D$5:$D$1004,Lists!$E$6))</f>
        <v>0</v>
      </c>
      <c r="L33">
        <f>IF($A33="",0,SUMIFS('Activity Planner'!$Y$5:$Y$1004,'Activity Planner'!$C$5:$C$1004,$A33,'Activity Planner'!$D$5:$D$1004,Lists!$E$6))</f>
        <v>0</v>
      </c>
      <c r="M33">
        <f>IF($A33="",0,SUMIFS('Activity Planner'!$Z$5:$Z$1004,'Activity Planner'!$C$5:$C$1004,$A33,'Activity Planner'!$D$5:$D$1004,Lists!$E$6))</f>
        <v>0</v>
      </c>
      <c r="Q33">
        <f>IF(INDEX('Activity Planner'!$O33:$Z33,SelMonthNum)=1,'Activity Planner'!$F33+ROW()/100000,"")</f>
        <v>0</v>
      </c>
      <c r="R33">
        <f>IF(AND('Activity Planner'!$N33=1,'Activity Planner'!$C33=SelPractice,'Activity Planner'!$AA33&gt;0),'Activity Planner'!$F33+ROW()/100000,"")</f>
        <v>0</v>
      </c>
    </row>
    <row r="34" spans="1:18">
      <c r="A34">
        <f>IF(Lists!$B$6="","",Lists!$B$6)</f>
        <v>0</v>
      </c>
      <c r="B34">
        <f>IF($A34="",0,SUMIFS('Activity Planner'!$O$5:$O$1004,'Activity Planner'!$C$5:$C$1004,$A34,'Activity Planner'!$D$5:$D$1004,Lists!$E$6))</f>
        <v>0</v>
      </c>
      <c r="C34">
        <f>IF($A34="",0,SUMIFS('Activity Planner'!$P$5:$P$1004,'Activity Planner'!$C$5:$C$1004,$A34,'Activity Planner'!$D$5:$D$1004,Lists!$E$6))</f>
        <v>0</v>
      </c>
      <c r="D34">
        <f>IF($A34="",0,SUMIFS('Activity Planner'!$Q$5:$Q$1004,'Activity Planner'!$C$5:$C$1004,$A34,'Activity Planner'!$D$5:$D$1004,Lists!$E$6))</f>
        <v>0</v>
      </c>
      <c r="E34">
        <f>IF($A34="",0,SUMIFS('Activity Planner'!$R$5:$R$1004,'Activity Planner'!$C$5:$C$1004,$A34,'Activity Planner'!$D$5:$D$1004,Lists!$E$6))</f>
        <v>0</v>
      </c>
      <c r="F34">
        <f>IF($A34="",0,SUMIFS('Activity Planner'!$S$5:$S$1004,'Activity Planner'!$C$5:$C$1004,$A34,'Activity Planner'!$D$5:$D$1004,Lists!$E$6))</f>
        <v>0</v>
      </c>
      <c r="G34">
        <f>IF($A34="",0,SUMIFS('Activity Planner'!$T$5:$T$1004,'Activity Planner'!$C$5:$C$1004,$A34,'Activity Planner'!$D$5:$D$1004,Lists!$E$6))</f>
        <v>0</v>
      </c>
      <c r="H34">
        <f>IF($A34="",0,SUMIFS('Activity Planner'!$U$5:$U$1004,'Activity Planner'!$C$5:$C$1004,$A34,'Activity Planner'!$D$5:$D$1004,Lists!$E$6))</f>
        <v>0</v>
      </c>
      <c r="I34">
        <f>IF($A34="",0,SUMIFS('Activity Planner'!$V$5:$V$1004,'Activity Planner'!$C$5:$C$1004,$A34,'Activity Planner'!$D$5:$D$1004,Lists!$E$6))</f>
        <v>0</v>
      </c>
      <c r="J34">
        <f>IF($A34="",0,SUMIFS('Activity Planner'!$W$5:$W$1004,'Activity Planner'!$C$5:$C$1004,$A34,'Activity Planner'!$D$5:$D$1004,Lists!$E$6))</f>
        <v>0</v>
      </c>
      <c r="K34">
        <f>IF($A34="",0,SUMIFS('Activity Planner'!$X$5:$X$1004,'Activity Planner'!$C$5:$C$1004,$A34,'Activity Planner'!$D$5:$D$1004,Lists!$E$6))</f>
        <v>0</v>
      </c>
      <c r="L34">
        <f>IF($A34="",0,SUMIFS('Activity Planner'!$Y$5:$Y$1004,'Activity Planner'!$C$5:$C$1004,$A34,'Activity Planner'!$D$5:$D$1004,Lists!$E$6))</f>
        <v>0</v>
      </c>
      <c r="M34">
        <f>IF($A34="",0,SUMIFS('Activity Planner'!$Z$5:$Z$1004,'Activity Planner'!$C$5:$C$1004,$A34,'Activity Planner'!$D$5:$D$1004,Lists!$E$6))</f>
        <v>0</v>
      </c>
      <c r="Q34">
        <f>IF(INDEX('Activity Planner'!$O34:$Z34,SelMonthNum)=1,'Activity Planner'!$F34+ROW()/100000,"")</f>
        <v>0</v>
      </c>
      <c r="R34">
        <f>IF(AND('Activity Planner'!$N34=1,'Activity Planner'!$C34=SelPractice,'Activity Planner'!$AA34&gt;0),'Activity Planner'!$F34+ROW()/100000,"")</f>
        <v>0</v>
      </c>
    </row>
    <row r="35" spans="1:18">
      <c r="A35">
        <f>IF(Lists!$B$7="","",Lists!$B$7)</f>
        <v>0</v>
      </c>
      <c r="B35">
        <f>IF($A35="",0,SUMIFS('Activity Planner'!$O$5:$O$1004,'Activity Planner'!$C$5:$C$1004,$A35,'Activity Planner'!$D$5:$D$1004,Lists!$E$6))</f>
        <v>0</v>
      </c>
      <c r="C35">
        <f>IF($A35="",0,SUMIFS('Activity Planner'!$P$5:$P$1004,'Activity Planner'!$C$5:$C$1004,$A35,'Activity Planner'!$D$5:$D$1004,Lists!$E$6))</f>
        <v>0</v>
      </c>
      <c r="D35">
        <f>IF($A35="",0,SUMIFS('Activity Planner'!$Q$5:$Q$1004,'Activity Planner'!$C$5:$C$1004,$A35,'Activity Planner'!$D$5:$D$1004,Lists!$E$6))</f>
        <v>0</v>
      </c>
      <c r="E35">
        <f>IF($A35="",0,SUMIFS('Activity Planner'!$R$5:$R$1004,'Activity Planner'!$C$5:$C$1004,$A35,'Activity Planner'!$D$5:$D$1004,Lists!$E$6))</f>
        <v>0</v>
      </c>
      <c r="F35">
        <f>IF($A35="",0,SUMIFS('Activity Planner'!$S$5:$S$1004,'Activity Planner'!$C$5:$C$1004,$A35,'Activity Planner'!$D$5:$D$1004,Lists!$E$6))</f>
        <v>0</v>
      </c>
      <c r="G35">
        <f>IF($A35="",0,SUMIFS('Activity Planner'!$T$5:$T$1004,'Activity Planner'!$C$5:$C$1004,$A35,'Activity Planner'!$D$5:$D$1004,Lists!$E$6))</f>
        <v>0</v>
      </c>
      <c r="H35">
        <f>IF($A35="",0,SUMIFS('Activity Planner'!$U$5:$U$1004,'Activity Planner'!$C$5:$C$1004,$A35,'Activity Planner'!$D$5:$D$1004,Lists!$E$6))</f>
        <v>0</v>
      </c>
      <c r="I35">
        <f>IF($A35="",0,SUMIFS('Activity Planner'!$V$5:$V$1004,'Activity Planner'!$C$5:$C$1004,$A35,'Activity Planner'!$D$5:$D$1004,Lists!$E$6))</f>
        <v>0</v>
      </c>
      <c r="J35">
        <f>IF($A35="",0,SUMIFS('Activity Planner'!$W$5:$W$1004,'Activity Planner'!$C$5:$C$1004,$A35,'Activity Planner'!$D$5:$D$1004,Lists!$E$6))</f>
        <v>0</v>
      </c>
      <c r="K35">
        <f>IF($A35="",0,SUMIFS('Activity Planner'!$X$5:$X$1004,'Activity Planner'!$C$5:$C$1004,$A35,'Activity Planner'!$D$5:$D$1004,Lists!$E$6))</f>
        <v>0</v>
      </c>
      <c r="L35">
        <f>IF($A35="",0,SUMIFS('Activity Planner'!$Y$5:$Y$1004,'Activity Planner'!$C$5:$C$1004,$A35,'Activity Planner'!$D$5:$D$1004,Lists!$E$6))</f>
        <v>0</v>
      </c>
      <c r="M35">
        <f>IF($A35="",0,SUMIFS('Activity Planner'!$Z$5:$Z$1004,'Activity Planner'!$C$5:$C$1004,$A35,'Activity Planner'!$D$5:$D$1004,Lists!$E$6))</f>
        <v>0</v>
      </c>
      <c r="Q35">
        <f>IF(INDEX('Activity Planner'!$O35:$Z35,SelMonthNum)=1,'Activity Planner'!$F35+ROW()/100000,"")</f>
        <v>0</v>
      </c>
      <c r="R35">
        <f>IF(AND('Activity Planner'!$N35=1,'Activity Planner'!$C35=SelPractice,'Activity Planner'!$AA35&gt;0),'Activity Planner'!$F35+ROW()/100000,"")</f>
        <v>0</v>
      </c>
    </row>
    <row r="36" spans="1:18">
      <c r="A36">
        <f>IF(Lists!$B$8="","",Lists!$B$8)</f>
        <v>0</v>
      </c>
      <c r="B36">
        <f>IF($A36="",0,SUMIFS('Activity Planner'!$O$5:$O$1004,'Activity Planner'!$C$5:$C$1004,$A36,'Activity Planner'!$D$5:$D$1004,Lists!$E$6))</f>
        <v>0</v>
      </c>
      <c r="C36">
        <f>IF($A36="",0,SUMIFS('Activity Planner'!$P$5:$P$1004,'Activity Planner'!$C$5:$C$1004,$A36,'Activity Planner'!$D$5:$D$1004,Lists!$E$6))</f>
        <v>0</v>
      </c>
      <c r="D36">
        <f>IF($A36="",0,SUMIFS('Activity Planner'!$Q$5:$Q$1004,'Activity Planner'!$C$5:$C$1004,$A36,'Activity Planner'!$D$5:$D$1004,Lists!$E$6))</f>
        <v>0</v>
      </c>
      <c r="E36">
        <f>IF($A36="",0,SUMIFS('Activity Planner'!$R$5:$R$1004,'Activity Planner'!$C$5:$C$1004,$A36,'Activity Planner'!$D$5:$D$1004,Lists!$E$6))</f>
        <v>0</v>
      </c>
      <c r="F36">
        <f>IF($A36="",0,SUMIFS('Activity Planner'!$S$5:$S$1004,'Activity Planner'!$C$5:$C$1004,$A36,'Activity Planner'!$D$5:$D$1004,Lists!$E$6))</f>
        <v>0</v>
      </c>
      <c r="G36">
        <f>IF($A36="",0,SUMIFS('Activity Planner'!$T$5:$T$1004,'Activity Planner'!$C$5:$C$1004,$A36,'Activity Planner'!$D$5:$D$1004,Lists!$E$6))</f>
        <v>0</v>
      </c>
      <c r="H36">
        <f>IF($A36="",0,SUMIFS('Activity Planner'!$U$5:$U$1004,'Activity Planner'!$C$5:$C$1004,$A36,'Activity Planner'!$D$5:$D$1004,Lists!$E$6))</f>
        <v>0</v>
      </c>
      <c r="I36">
        <f>IF($A36="",0,SUMIFS('Activity Planner'!$V$5:$V$1004,'Activity Planner'!$C$5:$C$1004,$A36,'Activity Planner'!$D$5:$D$1004,Lists!$E$6))</f>
        <v>0</v>
      </c>
      <c r="J36">
        <f>IF($A36="",0,SUMIFS('Activity Planner'!$W$5:$W$1004,'Activity Planner'!$C$5:$C$1004,$A36,'Activity Planner'!$D$5:$D$1004,Lists!$E$6))</f>
        <v>0</v>
      </c>
      <c r="K36">
        <f>IF($A36="",0,SUMIFS('Activity Planner'!$X$5:$X$1004,'Activity Planner'!$C$5:$C$1004,$A36,'Activity Planner'!$D$5:$D$1004,Lists!$E$6))</f>
        <v>0</v>
      </c>
      <c r="L36">
        <f>IF($A36="",0,SUMIFS('Activity Planner'!$Y$5:$Y$1004,'Activity Planner'!$C$5:$C$1004,$A36,'Activity Planner'!$D$5:$D$1004,Lists!$E$6))</f>
        <v>0</v>
      </c>
      <c r="M36">
        <f>IF($A36="",0,SUMIFS('Activity Planner'!$Z$5:$Z$1004,'Activity Planner'!$C$5:$C$1004,$A36,'Activity Planner'!$D$5:$D$1004,Lists!$E$6))</f>
        <v>0</v>
      </c>
      <c r="Q36">
        <f>IF(INDEX('Activity Planner'!$O36:$Z36,SelMonthNum)=1,'Activity Planner'!$F36+ROW()/100000,"")</f>
        <v>0</v>
      </c>
      <c r="R36">
        <f>IF(AND('Activity Planner'!$N36=1,'Activity Planner'!$C36=SelPractice,'Activity Planner'!$AA36&gt;0),'Activity Planner'!$F36+ROW()/100000,"")</f>
        <v>0</v>
      </c>
    </row>
    <row r="37" spans="1:18">
      <c r="A37">
        <f>IF(Lists!$B$9="","",Lists!$B$9)</f>
        <v>0</v>
      </c>
      <c r="B37">
        <f>IF($A37="",0,SUMIFS('Activity Planner'!$O$5:$O$1004,'Activity Planner'!$C$5:$C$1004,$A37,'Activity Planner'!$D$5:$D$1004,Lists!$E$6))</f>
        <v>0</v>
      </c>
      <c r="C37">
        <f>IF($A37="",0,SUMIFS('Activity Planner'!$P$5:$P$1004,'Activity Planner'!$C$5:$C$1004,$A37,'Activity Planner'!$D$5:$D$1004,Lists!$E$6))</f>
        <v>0</v>
      </c>
      <c r="D37">
        <f>IF($A37="",0,SUMIFS('Activity Planner'!$Q$5:$Q$1004,'Activity Planner'!$C$5:$C$1004,$A37,'Activity Planner'!$D$5:$D$1004,Lists!$E$6))</f>
        <v>0</v>
      </c>
      <c r="E37">
        <f>IF($A37="",0,SUMIFS('Activity Planner'!$R$5:$R$1004,'Activity Planner'!$C$5:$C$1004,$A37,'Activity Planner'!$D$5:$D$1004,Lists!$E$6))</f>
        <v>0</v>
      </c>
      <c r="F37">
        <f>IF($A37="",0,SUMIFS('Activity Planner'!$S$5:$S$1004,'Activity Planner'!$C$5:$C$1004,$A37,'Activity Planner'!$D$5:$D$1004,Lists!$E$6))</f>
        <v>0</v>
      </c>
      <c r="G37">
        <f>IF($A37="",0,SUMIFS('Activity Planner'!$T$5:$T$1004,'Activity Planner'!$C$5:$C$1004,$A37,'Activity Planner'!$D$5:$D$1004,Lists!$E$6))</f>
        <v>0</v>
      </c>
      <c r="H37">
        <f>IF($A37="",0,SUMIFS('Activity Planner'!$U$5:$U$1004,'Activity Planner'!$C$5:$C$1004,$A37,'Activity Planner'!$D$5:$D$1004,Lists!$E$6))</f>
        <v>0</v>
      </c>
      <c r="I37">
        <f>IF($A37="",0,SUMIFS('Activity Planner'!$V$5:$V$1004,'Activity Planner'!$C$5:$C$1004,$A37,'Activity Planner'!$D$5:$D$1004,Lists!$E$6))</f>
        <v>0</v>
      </c>
      <c r="J37">
        <f>IF($A37="",0,SUMIFS('Activity Planner'!$W$5:$W$1004,'Activity Planner'!$C$5:$C$1004,$A37,'Activity Planner'!$D$5:$D$1004,Lists!$E$6))</f>
        <v>0</v>
      </c>
      <c r="K37">
        <f>IF($A37="",0,SUMIFS('Activity Planner'!$X$5:$X$1004,'Activity Planner'!$C$5:$C$1004,$A37,'Activity Planner'!$D$5:$D$1004,Lists!$E$6))</f>
        <v>0</v>
      </c>
      <c r="L37">
        <f>IF($A37="",0,SUMIFS('Activity Planner'!$Y$5:$Y$1004,'Activity Planner'!$C$5:$C$1004,$A37,'Activity Planner'!$D$5:$D$1004,Lists!$E$6))</f>
        <v>0</v>
      </c>
      <c r="M37">
        <f>IF($A37="",0,SUMIFS('Activity Planner'!$Z$5:$Z$1004,'Activity Planner'!$C$5:$C$1004,$A37,'Activity Planner'!$D$5:$D$1004,Lists!$E$6))</f>
        <v>0</v>
      </c>
      <c r="Q37">
        <f>IF(INDEX('Activity Planner'!$O37:$Z37,SelMonthNum)=1,'Activity Planner'!$F37+ROW()/100000,"")</f>
        <v>0</v>
      </c>
      <c r="R37">
        <f>IF(AND('Activity Planner'!$N37=1,'Activity Planner'!$C37=SelPractice,'Activity Planner'!$AA37&gt;0),'Activity Planner'!$F37+ROW()/100000,"")</f>
        <v>0</v>
      </c>
    </row>
    <row r="38" spans="1:18">
      <c r="A38">
        <f>IF(Lists!$B$10="","",Lists!$B$10)</f>
        <v>0</v>
      </c>
      <c r="B38">
        <f>IF($A38="",0,SUMIFS('Activity Planner'!$O$5:$O$1004,'Activity Planner'!$C$5:$C$1004,$A38,'Activity Planner'!$D$5:$D$1004,Lists!$E$6))</f>
        <v>0</v>
      </c>
      <c r="C38">
        <f>IF($A38="",0,SUMIFS('Activity Planner'!$P$5:$P$1004,'Activity Planner'!$C$5:$C$1004,$A38,'Activity Planner'!$D$5:$D$1004,Lists!$E$6))</f>
        <v>0</v>
      </c>
      <c r="D38">
        <f>IF($A38="",0,SUMIFS('Activity Planner'!$Q$5:$Q$1004,'Activity Planner'!$C$5:$C$1004,$A38,'Activity Planner'!$D$5:$D$1004,Lists!$E$6))</f>
        <v>0</v>
      </c>
      <c r="E38">
        <f>IF($A38="",0,SUMIFS('Activity Planner'!$R$5:$R$1004,'Activity Planner'!$C$5:$C$1004,$A38,'Activity Planner'!$D$5:$D$1004,Lists!$E$6))</f>
        <v>0</v>
      </c>
      <c r="F38">
        <f>IF($A38="",0,SUMIFS('Activity Planner'!$S$5:$S$1004,'Activity Planner'!$C$5:$C$1004,$A38,'Activity Planner'!$D$5:$D$1004,Lists!$E$6))</f>
        <v>0</v>
      </c>
      <c r="G38">
        <f>IF($A38="",0,SUMIFS('Activity Planner'!$T$5:$T$1004,'Activity Planner'!$C$5:$C$1004,$A38,'Activity Planner'!$D$5:$D$1004,Lists!$E$6))</f>
        <v>0</v>
      </c>
      <c r="H38">
        <f>IF($A38="",0,SUMIFS('Activity Planner'!$U$5:$U$1004,'Activity Planner'!$C$5:$C$1004,$A38,'Activity Planner'!$D$5:$D$1004,Lists!$E$6))</f>
        <v>0</v>
      </c>
      <c r="I38">
        <f>IF($A38="",0,SUMIFS('Activity Planner'!$V$5:$V$1004,'Activity Planner'!$C$5:$C$1004,$A38,'Activity Planner'!$D$5:$D$1004,Lists!$E$6))</f>
        <v>0</v>
      </c>
      <c r="J38">
        <f>IF($A38="",0,SUMIFS('Activity Planner'!$W$5:$W$1004,'Activity Planner'!$C$5:$C$1004,$A38,'Activity Planner'!$D$5:$D$1004,Lists!$E$6))</f>
        <v>0</v>
      </c>
      <c r="K38">
        <f>IF($A38="",0,SUMIFS('Activity Planner'!$X$5:$X$1004,'Activity Planner'!$C$5:$C$1004,$A38,'Activity Planner'!$D$5:$D$1004,Lists!$E$6))</f>
        <v>0</v>
      </c>
      <c r="L38">
        <f>IF($A38="",0,SUMIFS('Activity Planner'!$Y$5:$Y$1004,'Activity Planner'!$C$5:$C$1004,$A38,'Activity Planner'!$D$5:$D$1004,Lists!$E$6))</f>
        <v>0</v>
      </c>
      <c r="M38">
        <f>IF($A38="",0,SUMIFS('Activity Planner'!$Z$5:$Z$1004,'Activity Planner'!$C$5:$C$1004,$A38,'Activity Planner'!$D$5:$D$1004,Lists!$E$6))</f>
        <v>0</v>
      </c>
      <c r="Q38">
        <f>IF(INDEX('Activity Planner'!$O38:$Z38,SelMonthNum)=1,'Activity Planner'!$F38+ROW()/100000,"")</f>
        <v>0</v>
      </c>
      <c r="R38">
        <f>IF(AND('Activity Planner'!$N38=1,'Activity Planner'!$C38=SelPractice,'Activity Planner'!$AA38&gt;0),'Activity Planner'!$F38+ROW()/100000,"")</f>
        <v>0</v>
      </c>
    </row>
    <row r="39" spans="1:18">
      <c r="A39">
        <f>IF(Lists!$B$11="","",Lists!$B$11)</f>
        <v>0</v>
      </c>
      <c r="B39">
        <f>IF($A39="",0,SUMIFS('Activity Planner'!$O$5:$O$1004,'Activity Planner'!$C$5:$C$1004,$A39,'Activity Planner'!$D$5:$D$1004,Lists!$E$6))</f>
        <v>0</v>
      </c>
      <c r="C39">
        <f>IF($A39="",0,SUMIFS('Activity Planner'!$P$5:$P$1004,'Activity Planner'!$C$5:$C$1004,$A39,'Activity Planner'!$D$5:$D$1004,Lists!$E$6))</f>
        <v>0</v>
      </c>
      <c r="D39">
        <f>IF($A39="",0,SUMIFS('Activity Planner'!$Q$5:$Q$1004,'Activity Planner'!$C$5:$C$1004,$A39,'Activity Planner'!$D$5:$D$1004,Lists!$E$6))</f>
        <v>0</v>
      </c>
      <c r="E39">
        <f>IF($A39="",0,SUMIFS('Activity Planner'!$R$5:$R$1004,'Activity Planner'!$C$5:$C$1004,$A39,'Activity Planner'!$D$5:$D$1004,Lists!$E$6))</f>
        <v>0</v>
      </c>
      <c r="F39">
        <f>IF($A39="",0,SUMIFS('Activity Planner'!$S$5:$S$1004,'Activity Planner'!$C$5:$C$1004,$A39,'Activity Planner'!$D$5:$D$1004,Lists!$E$6))</f>
        <v>0</v>
      </c>
      <c r="G39">
        <f>IF($A39="",0,SUMIFS('Activity Planner'!$T$5:$T$1004,'Activity Planner'!$C$5:$C$1004,$A39,'Activity Planner'!$D$5:$D$1004,Lists!$E$6))</f>
        <v>0</v>
      </c>
      <c r="H39">
        <f>IF($A39="",0,SUMIFS('Activity Planner'!$U$5:$U$1004,'Activity Planner'!$C$5:$C$1004,$A39,'Activity Planner'!$D$5:$D$1004,Lists!$E$6))</f>
        <v>0</v>
      </c>
      <c r="I39">
        <f>IF($A39="",0,SUMIFS('Activity Planner'!$V$5:$V$1004,'Activity Planner'!$C$5:$C$1004,$A39,'Activity Planner'!$D$5:$D$1004,Lists!$E$6))</f>
        <v>0</v>
      </c>
      <c r="J39">
        <f>IF($A39="",0,SUMIFS('Activity Planner'!$W$5:$W$1004,'Activity Planner'!$C$5:$C$1004,$A39,'Activity Planner'!$D$5:$D$1004,Lists!$E$6))</f>
        <v>0</v>
      </c>
      <c r="K39">
        <f>IF($A39="",0,SUMIFS('Activity Planner'!$X$5:$X$1004,'Activity Planner'!$C$5:$C$1004,$A39,'Activity Planner'!$D$5:$D$1004,Lists!$E$6))</f>
        <v>0</v>
      </c>
      <c r="L39">
        <f>IF($A39="",0,SUMIFS('Activity Planner'!$Y$5:$Y$1004,'Activity Planner'!$C$5:$C$1004,$A39,'Activity Planner'!$D$5:$D$1004,Lists!$E$6))</f>
        <v>0</v>
      </c>
      <c r="M39">
        <f>IF($A39="",0,SUMIFS('Activity Planner'!$Z$5:$Z$1004,'Activity Planner'!$C$5:$C$1004,$A39,'Activity Planner'!$D$5:$D$1004,Lists!$E$6))</f>
        <v>0</v>
      </c>
      <c r="Q39">
        <f>IF(INDEX('Activity Planner'!$O39:$Z39,SelMonthNum)=1,'Activity Planner'!$F39+ROW()/100000,"")</f>
        <v>0</v>
      </c>
      <c r="R39">
        <f>IF(AND('Activity Planner'!$N39=1,'Activity Planner'!$C39=SelPractice,'Activity Planner'!$AA39&gt;0),'Activity Planner'!$F39+ROW()/100000,"")</f>
        <v>0</v>
      </c>
    </row>
    <row r="40" spans="1:18">
      <c r="A40">
        <f>IF(Lists!$B$12="","",Lists!$B$12)</f>
        <v>0</v>
      </c>
      <c r="B40">
        <f>IF($A40="",0,SUMIFS('Activity Planner'!$O$5:$O$1004,'Activity Planner'!$C$5:$C$1004,$A40,'Activity Planner'!$D$5:$D$1004,Lists!$E$6))</f>
        <v>0</v>
      </c>
      <c r="C40">
        <f>IF($A40="",0,SUMIFS('Activity Planner'!$P$5:$P$1004,'Activity Planner'!$C$5:$C$1004,$A40,'Activity Planner'!$D$5:$D$1004,Lists!$E$6))</f>
        <v>0</v>
      </c>
      <c r="D40">
        <f>IF($A40="",0,SUMIFS('Activity Planner'!$Q$5:$Q$1004,'Activity Planner'!$C$5:$C$1004,$A40,'Activity Planner'!$D$5:$D$1004,Lists!$E$6))</f>
        <v>0</v>
      </c>
      <c r="E40">
        <f>IF($A40="",0,SUMIFS('Activity Planner'!$R$5:$R$1004,'Activity Planner'!$C$5:$C$1004,$A40,'Activity Planner'!$D$5:$D$1004,Lists!$E$6))</f>
        <v>0</v>
      </c>
      <c r="F40">
        <f>IF($A40="",0,SUMIFS('Activity Planner'!$S$5:$S$1004,'Activity Planner'!$C$5:$C$1004,$A40,'Activity Planner'!$D$5:$D$1004,Lists!$E$6))</f>
        <v>0</v>
      </c>
      <c r="G40">
        <f>IF($A40="",0,SUMIFS('Activity Planner'!$T$5:$T$1004,'Activity Planner'!$C$5:$C$1004,$A40,'Activity Planner'!$D$5:$D$1004,Lists!$E$6))</f>
        <v>0</v>
      </c>
      <c r="H40">
        <f>IF($A40="",0,SUMIFS('Activity Planner'!$U$5:$U$1004,'Activity Planner'!$C$5:$C$1004,$A40,'Activity Planner'!$D$5:$D$1004,Lists!$E$6))</f>
        <v>0</v>
      </c>
      <c r="I40">
        <f>IF($A40="",0,SUMIFS('Activity Planner'!$V$5:$V$1004,'Activity Planner'!$C$5:$C$1004,$A40,'Activity Planner'!$D$5:$D$1004,Lists!$E$6))</f>
        <v>0</v>
      </c>
      <c r="J40">
        <f>IF($A40="",0,SUMIFS('Activity Planner'!$W$5:$W$1004,'Activity Planner'!$C$5:$C$1004,$A40,'Activity Planner'!$D$5:$D$1004,Lists!$E$6))</f>
        <v>0</v>
      </c>
      <c r="K40">
        <f>IF($A40="",0,SUMIFS('Activity Planner'!$X$5:$X$1004,'Activity Planner'!$C$5:$C$1004,$A40,'Activity Planner'!$D$5:$D$1004,Lists!$E$6))</f>
        <v>0</v>
      </c>
      <c r="L40">
        <f>IF($A40="",0,SUMIFS('Activity Planner'!$Y$5:$Y$1004,'Activity Planner'!$C$5:$C$1004,$A40,'Activity Planner'!$D$5:$D$1004,Lists!$E$6))</f>
        <v>0</v>
      </c>
      <c r="M40">
        <f>IF($A40="",0,SUMIFS('Activity Planner'!$Z$5:$Z$1004,'Activity Planner'!$C$5:$C$1004,$A40,'Activity Planner'!$D$5:$D$1004,Lists!$E$6))</f>
        <v>0</v>
      </c>
      <c r="Q40">
        <f>IF(INDEX('Activity Planner'!$O40:$Z40,SelMonthNum)=1,'Activity Planner'!$F40+ROW()/100000,"")</f>
        <v>0</v>
      </c>
      <c r="R40">
        <f>IF(AND('Activity Planner'!$N40=1,'Activity Planner'!$C40=SelPractice,'Activity Planner'!$AA40&gt;0),'Activity Planner'!$F40+ROW()/100000,"")</f>
        <v>0</v>
      </c>
    </row>
    <row r="41" spans="1:18">
      <c r="A41">
        <f>IF(Lists!$B$13="","",Lists!$B$13)</f>
        <v>0</v>
      </c>
      <c r="B41">
        <f>IF($A41="",0,SUMIFS('Activity Planner'!$O$5:$O$1004,'Activity Planner'!$C$5:$C$1004,$A41,'Activity Planner'!$D$5:$D$1004,Lists!$E$6))</f>
        <v>0</v>
      </c>
      <c r="C41">
        <f>IF($A41="",0,SUMIFS('Activity Planner'!$P$5:$P$1004,'Activity Planner'!$C$5:$C$1004,$A41,'Activity Planner'!$D$5:$D$1004,Lists!$E$6))</f>
        <v>0</v>
      </c>
      <c r="D41">
        <f>IF($A41="",0,SUMIFS('Activity Planner'!$Q$5:$Q$1004,'Activity Planner'!$C$5:$C$1004,$A41,'Activity Planner'!$D$5:$D$1004,Lists!$E$6))</f>
        <v>0</v>
      </c>
      <c r="E41">
        <f>IF($A41="",0,SUMIFS('Activity Planner'!$R$5:$R$1004,'Activity Planner'!$C$5:$C$1004,$A41,'Activity Planner'!$D$5:$D$1004,Lists!$E$6))</f>
        <v>0</v>
      </c>
      <c r="F41">
        <f>IF($A41="",0,SUMIFS('Activity Planner'!$S$5:$S$1004,'Activity Planner'!$C$5:$C$1004,$A41,'Activity Planner'!$D$5:$D$1004,Lists!$E$6))</f>
        <v>0</v>
      </c>
      <c r="G41">
        <f>IF($A41="",0,SUMIFS('Activity Planner'!$T$5:$T$1004,'Activity Planner'!$C$5:$C$1004,$A41,'Activity Planner'!$D$5:$D$1004,Lists!$E$6))</f>
        <v>0</v>
      </c>
      <c r="H41">
        <f>IF($A41="",0,SUMIFS('Activity Planner'!$U$5:$U$1004,'Activity Planner'!$C$5:$C$1004,$A41,'Activity Planner'!$D$5:$D$1004,Lists!$E$6))</f>
        <v>0</v>
      </c>
      <c r="I41">
        <f>IF($A41="",0,SUMIFS('Activity Planner'!$V$5:$V$1004,'Activity Planner'!$C$5:$C$1004,$A41,'Activity Planner'!$D$5:$D$1004,Lists!$E$6))</f>
        <v>0</v>
      </c>
      <c r="J41">
        <f>IF($A41="",0,SUMIFS('Activity Planner'!$W$5:$W$1004,'Activity Planner'!$C$5:$C$1004,$A41,'Activity Planner'!$D$5:$D$1004,Lists!$E$6))</f>
        <v>0</v>
      </c>
      <c r="K41">
        <f>IF($A41="",0,SUMIFS('Activity Planner'!$X$5:$X$1004,'Activity Planner'!$C$5:$C$1004,$A41,'Activity Planner'!$D$5:$D$1004,Lists!$E$6))</f>
        <v>0</v>
      </c>
      <c r="L41">
        <f>IF($A41="",0,SUMIFS('Activity Planner'!$Y$5:$Y$1004,'Activity Planner'!$C$5:$C$1004,$A41,'Activity Planner'!$D$5:$D$1004,Lists!$E$6))</f>
        <v>0</v>
      </c>
      <c r="M41">
        <f>IF($A41="",0,SUMIFS('Activity Planner'!$Z$5:$Z$1004,'Activity Planner'!$C$5:$C$1004,$A41,'Activity Planner'!$D$5:$D$1004,Lists!$E$6))</f>
        <v>0</v>
      </c>
      <c r="Q41">
        <f>IF(INDEX('Activity Planner'!$O41:$Z41,SelMonthNum)=1,'Activity Planner'!$F41+ROW()/100000,"")</f>
        <v>0</v>
      </c>
      <c r="R41">
        <f>IF(AND('Activity Planner'!$N41=1,'Activity Planner'!$C41=SelPractice,'Activity Planner'!$AA41&gt;0),'Activity Planner'!$F41+ROW()/100000,"")</f>
        <v>0</v>
      </c>
    </row>
    <row r="42" spans="1:18">
      <c r="A42">
        <f>IF(Lists!$B$14="","",Lists!$B$14)</f>
        <v>0</v>
      </c>
      <c r="B42">
        <f>IF($A42="",0,SUMIFS('Activity Planner'!$O$5:$O$1004,'Activity Planner'!$C$5:$C$1004,$A42,'Activity Planner'!$D$5:$D$1004,Lists!$E$6))</f>
        <v>0</v>
      </c>
      <c r="C42">
        <f>IF($A42="",0,SUMIFS('Activity Planner'!$P$5:$P$1004,'Activity Planner'!$C$5:$C$1004,$A42,'Activity Planner'!$D$5:$D$1004,Lists!$E$6))</f>
        <v>0</v>
      </c>
      <c r="D42">
        <f>IF($A42="",0,SUMIFS('Activity Planner'!$Q$5:$Q$1004,'Activity Planner'!$C$5:$C$1004,$A42,'Activity Planner'!$D$5:$D$1004,Lists!$E$6))</f>
        <v>0</v>
      </c>
      <c r="E42">
        <f>IF($A42="",0,SUMIFS('Activity Planner'!$R$5:$R$1004,'Activity Planner'!$C$5:$C$1004,$A42,'Activity Planner'!$D$5:$D$1004,Lists!$E$6))</f>
        <v>0</v>
      </c>
      <c r="F42">
        <f>IF($A42="",0,SUMIFS('Activity Planner'!$S$5:$S$1004,'Activity Planner'!$C$5:$C$1004,$A42,'Activity Planner'!$D$5:$D$1004,Lists!$E$6))</f>
        <v>0</v>
      </c>
      <c r="G42">
        <f>IF($A42="",0,SUMIFS('Activity Planner'!$T$5:$T$1004,'Activity Planner'!$C$5:$C$1004,$A42,'Activity Planner'!$D$5:$D$1004,Lists!$E$6))</f>
        <v>0</v>
      </c>
      <c r="H42">
        <f>IF($A42="",0,SUMIFS('Activity Planner'!$U$5:$U$1004,'Activity Planner'!$C$5:$C$1004,$A42,'Activity Planner'!$D$5:$D$1004,Lists!$E$6))</f>
        <v>0</v>
      </c>
      <c r="I42">
        <f>IF($A42="",0,SUMIFS('Activity Planner'!$V$5:$V$1004,'Activity Planner'!$C$5:$C$1004,$A42,'Activity Planner'!$D$5:$D$1004,Lists!$E$6))</f>
        <v>0</v>
      </c>
      <c r="J42">
        <f>IF($A42="",0,SUMIFS('Activity Planner'!$W$5:$W$1004,'Activity Planner'!$C$5:$C$1004,$A42,'Activity Planner'!$D$5:$D$1004,Lists!$E$6))</f>
        <v>0</v>
      </c>
      <c r="K42">
        <f>IF($A42="",0,SUMIFS('Activity Planner'!$X$5:$X$1004,'Activity Planner'!$C$5:$C$1004,$A42,'Activity Planner'!$D$5:$D$1004,Lists!$E$6))</f>
        <v>0</v>
      </c>
      <c r="L42">
        <f>IF($A42="",0,SUMIFS('Activity Planner'!$Y$5:$Y$1004,'Activity Planner'!$C$5:$C$1004,$A42,'Activity Planner'!$D$5:$D$1004,Lists!$E$6))</f>
        <v>0</v>
      </c>
      <c r="M42">
        <f>IF($A42="",0,SUMIFS('Activity Planner'!$Z$5:$Z$1004,'Activity Planner'!$C$5:$C$1004,$A42,'Activity Planner'!$D$5:$D$1004,Lists!$E$6))</f>
        <v>0</v>
      </c>
      <c r="Q42">
        <f>IF(INDEX('Activity Planner'!$O42:$Z42,SelMonthNum)=1,'Activity Planner'!$F42+ROW()/100000,"")</f>
        <v>0</v>
      </c>
      <c r="R42">
        <f>IF(AND('Activity Planner'!$N42=1,'Activity Planner'!$C42=SelPractice,'Activity Planner'!$AA42&gt;0),'Activity Planner'!$F42+ROW()/100000,"")</f>
        <v>0</v>
      </c>
    </row>
    <row r="43" spans="1:18">
      <c r="A43">
        <f>IF(Lists!$B$15="","",Lists!$B$15)</f>
        <v>0</v>
      </c>
      <c r="B43">
        <f>IF($A43="",0,SUMIFS('Activity Planner'!$O$5:$O$1004,'Activity Planner'!$C$5:$C$1004,$A43,'Activity Planner'!$D$5:$D$1004,Lists!$E$6))</f>
        <v>0</v>
      </c>
      <c r="C43">
        <f>IF($A43="",0,SUMIFS('Activity Planner'!$P$5:$P$1004,'Activity Planner'!$C$5:$C$1004,$A43,'Activity Planner'!$D$5:$D$1004,Lists!$E$6))</f>
        <v>0</v>
      </c>
      <c r="D43">
        <f>IF($A43="",0,SUMIFS('Activity Planner'!$Q$5:$Q$1004,'Activity Planner'!$C$5:$C$1004,$A43,'Activity Planner'!$D$5:$D$1004,Lists!$E$6))</f>
        <v>0</v>
      </c>
      <c r="E43">
        <f>IF($A43="",0,SUMIFS('Activity Planner'!$R$5:$R$1004,'Activity Planner'!$C$5:$C$1004,$A43,'Activity Planner'!$D$5:$D$1004,Lists!$E$6))</f>
        <v>0</v>
      </c>
      <c r="F43">
        <f>IF($A43="",0,SUMIFS('Activity Planner'!$S$5:$S$1004,'Activity Planner'!$C$5:$C$1004,$A43,'Activity Planner'!$D$5:$D$1004,Lists!$E$6))</f>
        <v>0</v>
      </c>
      <c r="G43">
        <f>IF($A43="",0,SUMIFS('Activity Planner'!$T$5:$T$1004,'Activity Planner'!$C$5:$C$1004,$A43,'Activity Planner'!$D$5:$D$1004,Lists!$E$6))</f>
        <v>0</v>
      </c>
      <c r="H43">
        <f>IF($A43="",0,SUMIFS('Activity Planner'!$U$5:$U$1004,'Activity Planner'!$C$5:$C$1004,$A43,'Activity Planner'!$D$5:$D$1004,Lists!$E$6))</f>
        <v>0</v>
      </c>
      <c r="I43">
        <f>IF($A43="",0,SUMIFS('Activity Planner'!$V$5:$V$1004,'Activity Planner'!$C$5:$C$1004,$A43,'Activity Planner'!$D$5:$D$1004,Lists!$E$6))</f>
        <v>0</v>
      </c>
      <c r="J43">
        <f>IF($A43="",0,SUMIFS('Activity Planner'!$W$5:$W$1004,'Activity Planner'!$C$5:$C$1004,$A43,'Activity Planner'!$D$5:$D$1004,Lists!$E$6))</f>
        <v>0</v>
      </c>
      <c r="K43">
        <f>IF($A43="",0,SUMIFS('Activity Planner'!$X$5:$X$1004,'Activity Planner'!$C$5:$C$1004,$A43,'Activity Planner'!$D$5:$D$1004,Lists!$E$6))</f>
        <v>0</v>
      </c>
      <c r="L43">
        <f>IF($A43="",0,SUMIFS('Activity Planner'!$Y$5:$Y$1004,'Activity Planner'!$C$5:$C$1004,$A43,'Activity Planner'!$D$5:$D$1004,Lists!$E$6))</f>
        <v>0</v>
      </c>
      <c r="M43">
        <f>IF($A43="",0,SUMIFS('Activity Planner'!$Z$5:$Z$1004,'Activity Planner'!$C$5:$C$1004,$A43,'Activity Planner'!$D$5:$D$1004,Lists!$E$6))</f>
        <v>0</v>
      </c>
      <c r="Q43">
        <f>IF(INDEX('Activity Planner'!$O43:$Z43,SelMonthNum)=1,'Activity Planner'!$F43+ROW()/100000,"")</f>
        <v>0</v>
      </c>
      <c r="R43">
        <f>IF(AND('Activity Planner'!$N43=1,'Activity Planner'!$C43=SelPractice,'Activity Planner'!$AA43&gt;0),'Activity Planner'!$F43+ROW()/100000,"")</f>
        <v>0</v>
      </c>
    </row>
    <row r="44" spans="1:18">
      <c r="A44">
        <f>IF(Lists!$B$16="","",Lists!$B$16)</f>
        <v>0</v>
      </c>
      <c r="B44">
        <f>IF($A44="",0,SUMIFS('Activity Planner'!$O$5:$O$1004,'Activity Planner'!$C$5:$C$1004,$A44,'Activity Planner'!$D$5:$D$1004,Lists!$E$6))</f>
        <v>0</v>
      </c>
      <c r="C44">
        <f>IF($A44="",0,SUMIFS('Activity Planner'!$P$5:$P$1004,'Activity Planner'!$C$5:$C$1004,$A44,'Activity Planner'!$D$5:$D$1004,Lists!$E$6))</f>
        <v>0</v>
      </c>
      <c r="D44">
        <f>IF($A44="",0,SUMIFS('Activity Planner'!$Q$5:$Q$1004,'Activity Planner'!$C$5:$C$1004,$A44,'Activity Planner'!$D$5:$D$1004,Lists!$E$6))</f>
        <v>0</v>
      </c>
      <c r="E44">
        <f>IF($A44="",0,SUMIFS('Activity Planner'!$R$5:$R$1004,'Activity Planner'!$C$5:$C$1004,$A44,'Activity Planner'!$D$5:$D$1004,Lists!$E$6))</f>
        <v>0</v>
      </c>
      <c r="F44">
        <f>IF($A44="",0,SUMIFS('Activity Planner'!$S$5:$S$1004,'Activity Planner'!$C$5:$C$1004,$A44,'Activity Planner'!$D$5:$D$1004,Lists!$E$6))</f>
        <v>0</v>
      </c>
      <c r="G44">
        <f>IF($A44="",0,SUMIFS('Activity Planner'!$T$5:$T$1004,'Activity Planner'!$C$5:$C$1004,$A44,'Activity Planner'!$D$5:$D$1004,Lists!$E$6))</f>
        <v>0</v>
      </c>
      <c r="H44">
        <f>IF($A44="",0,SUMIFS('Activity Planner'!$U$5:$U$1004,'Activity Planner'!$C$5:$C$1004,$A44,'Activity Planner'!$D$5:$D$1004,Lists!$E$6))</f>
        <v>0</v>
      </c>
      <c r="I44">
        <f>IF($A44="",0,SUMIFS('Activity Planner'!$V$5:$V$1004,'Activity Planner'!$C$5:$C$1004,$A44,'Activity Planner'!$D$5:$D$1004,Lists!$E$6))</f>
        <v>0</v>
      </c>
      <c r="J44">
        <f>IF($A44="",0,SUMIFS('Activity Planner'!$W$5:$W$1004,'Activity Planner'!$C$5:$C$1004,$A44,'Activity Planner'!$D$5:$D$1004,Lists!$E$6))</f>
        <v>0</v>
      </c>
      <c r="K44">
        <f>IF($A44="",0,SUMIFS('Activity Planner'!$X$5:$X$1004,'Activity Planner'!$C$5:$C$1004,$A44,'Activity Planner'!$D$5:$D$1004,Lists!$E$6))</f>
        <v>0</v>
      </c>
      <c r="L44">
        <f>IF($A44="",0,SUMIFS('Activity Planner'!$Y$5:$Y$1004,'Activity Planner'!$C$5:$C$1004,$A44,'Activity Planner'!$D$5:$D$1004,Lists!$E$6))</f>
        <v>0</v>
      </c>
      <c r="M44">
        <f>IF($A44="",0,SUMIFS('Activity Planner'!$Z$5:$Z$1004,'Activity Planner'!$C$5:$C$1004,$A44,'Activity Planner'!$D$5:$D$1004,Lists!$E$6))</f>
        <v>0</v>
      </c>
      <c r="Q44">
        <f>IF(INDEX('Activity Planner'!$O44:$Z44,SelMonthNum)=1,'Activity Planner'!$F44+ROW()/100000,"")</f>
        <v>0</v>
      </c>
      <c r="R44">
        <f>IF(AND('Activity Planner'!$N44=1,'Activity Planner'!$C44=SelPractice,'Activity Planner'!$AA44&gt;0),'Activity Planner'!$F44+ROW()/100000,"")</f>
        <v>0</v>
      </c>
    </row>
    <row r="45" spans="1:18">
      <c r="Q45">
        <f>IF(INDEX('Activity Planner'!$O45:$Z45,SelMonthNum)=1,'Activity Planner'!$F45+ROW()/100000,"")</f>
        <v>0</v>
      </c>
      <c r="R45">
        <f>IF(AND('Activity Planner'!$N45=1,'Activity Planner'!$C45=SelPractice,'Activity Planner'!$AA45&gt;0),'Activity Planner'!$F45+ROW()/100000,"")</f>
        <v>0</v>
      </c>
    </row>
    <row r="46" spans="1:18">
      <c r="Q46">
        <f>IF(INDEX('Activity Planner'!$O46:$Z46,SelMonthNum)=1,'Activity Planner'!$F46+ROW()/100000,"")</f>
        <v>0</v>
      </c>
      <c r="R46">
        <f>IF(AND('Activity Planner'!$N46=1,'Activity Planner'!$C46=SelPractice,'Activity Planner'!$AA46&gt;0),'Activity Planner'!$F46+ROW()/100000,"")</f>
        <v>0</v>
      </c>
    </row>
    <row r="47" spans="1:18">
      <c r="Q47">
        <f>IF(INDEX('Activity Planner'!$O47:$Z47,SelMonthNum)=1,'Activity Planner'!$F47+ROW()/100000,"")</f>
        <v>0</v>
      </c>
      <c r="R47">
        <f>IF(AND('Activity Planner'!$N47=1,'Activity Planner'!$C47=SelPractice,'Activity Planner'!$AA47&gt;0),'Activity Planner'!$F47+ROW()/100000,"")</f>
        <v>0</v>
      </c>
    </row>
    <row r="48" spans="1:18">
      <c r="A48">
        <f>IF(Lists!$B$5="","",Lists!$B$5)</f>
        <v>0</v>
      </c>
      <c r="B48">
        <f>IF($A48="",0,SUMIFS('Activity Planner'!$O$5:$O$1004,'Activity Planner'!$C$5:$C$1004,$A48,'Activity Planner'!$D$5:$D$1004,Lists!$E$7))</f>
        <v>0</v>
      </c>
      <c r="C48">
        <f>IF($A48="",0,SUMIFS('Activity Planner'!$P$5:$P$1004,'Activity Planner'!$C$5:$C$1004,$A48,'Activity Planner'!$D$5:$D$1004,Lists!$E$7))</f>
        <v>0</v>
      </c>
      <c r="D48">
        <f>IF($A48="",0,SUMIFS('Activity Planner'!$Q$5:$Q$1004,'Activity Planner'!$C$5:$C$1004,$A48,'Activity Planner'!$D$5:$D$1004,Lists!$E$7))</f>
        <v>0</v>
      </c>
      <c r="E48">
        <f>IF($A48="",0,SUMIFS('Activity Planner'!$R$5:$R$1004,'Activity Planner'!$C$5:$C$1004,$A48,'Activity Planner'!$D$5:$D$1004,Lists!$E$7))</f>
        <v>0</v>
      </c>
      <c r="F48">
        <f>IF($A48="",0,SUMIFS('Activity Planner'!$S$5:$S$1004,'Activity Planner'!$C$5:$C$1004,$A48,'Activity Planner'!$D$5:$D$1004,Lists!$E$7))</f>
        <v>0</v>
      </c>
      <c r="G48">
        <f>IF($A48="",0,SUMIFS('Activity Planner'!$T$5:$T$1004,'Activity Planner'!$C$5:$C$1004,$A48,'Activity Planner'!$D$5:$D$1004,Lists!$E$7))</f>
        <v>0</v>
      </c>
      <c r="H48">
        <f>IF($A48="",0,SUMIFS('Activity Planner'!$U$5:$U$1004,'Activity Planner'!$C$5:$C$1004,$A48,'Activity Planner'!$D$5:$D$1004,Lists!$E$7))</f>
        <v>0</v>
      </c>
      <c r="I48">
        <f>IF($A48="",0,SUMIFS('Activity Planner'!$V$5:$V$1004,'Activity Planner'!$C$5:$C$1004,$A48,'Activity Planner'!$D$5:$D$1004,Lists!$E$7))</f>
        <v>0</v>
      </c>
      <c r="J48">
        <f>IF($A48="",0,SUMIFS('Activity Planner'!$W$5:$W$1004,'Activity Planner'!$C$5:$C$1004,$A48,'Activity Planner'!$D$5:$D$1004,Lists!$E$7))</f>
        <v>0</v>
      </c>
      <c r="K48">
        <f>IF($A48="",0,SUMIFS('Activity Planner'!$X$5:$X$1004,'Activity Planner'!$C$5:$C$1004,$A48,'Activity Planner'!$D$5:$D$1004,Lists!$E$7))</f>
        <v>0</v>
      </c>
      <c r="L48">
        <f>IF($A48="",0,SUMIFS('Activity Planner'!$Y$5:$Y$1004,'Activity Planner'!$C$5:$C$1004,$A48,'Activity Planner'!$D$5:$D$1004,Lists!$E$7))</f>
        <v>0</v>
      </c>
      <c r="M48">
        <f>IF($A48="",0,SUMIFS('Activity Planner'!$Z$5:$Z$1004,'Activity Planner'!$C$5:$C$1004,$A48,'Activity Planner'!$D$5:$D$1004,Lists!$E$7))</f>
        <v>0</v>
      </c>
      <c r="Q48">
        <f>IF(INDEX('Activity Planner'!$O48:$Z48,SelMonthNum)=1,'Activity Planner'!$F48+ROW()/100000,"")</f>
        <v>0</v>
      </c>
      <c r="R48">
        <f>IF(AND('Activity Planner'!$N48=1,'Activity Planner'!$C48=SelPractice,'Activity Planner'!$AA48&gt;0),'Activity Planner'!$F48+ROW()/100000,"")</f>
        <v>0</v>
      </c>
    </row>
    <row r="49" spans="1:18">
      <c r="A49">
        <f>IF(Lists!$B$6="","",Lists!$B$6)</f>
        <v>0</v>
      </c>
      <c r="B49">
        <f>IF($A49="",0,SUMIFS('Activity Planner'!$O$5:$O$1004,'Activity Planner'!$C$5:$C$1004,$A49,'Activity Planner'!$D$5:$D$1004,Lists!$E$7))</f>
        <v>0</v>
      </c>
      <c r="C49">
        <f>IF($A49="",0,SUMIFS('Activity Planner'!$P$5:$P$1004,'Activity Planner'!$C$5:$C$1004,$A49,'Activity Planner'!$D$5:$D$1004,Lists!$E$7))</f>
        <v>0</v>
      </c>
      <c r="D49">
        <f>IF($A49="",0,SUMIFS('Activity Planner'!$Q$5:$Q$1004,'Activity Planner'!$C$5:$C$1004,$A49,'Activity Planner'!$D$5:$D$1004,Lists!$E$7))</f>
        <v>0</v>
      </c>
      <c r="E49">
        <f>IF($A49="",0,SUMIFS('Activity Planner'!$R$5:$R$1004,'Activity Planner'!$C$5:$C$1004,$A49,'Activity Planner'!$D$5:$D$1004,Lists!$E$7))</f>
        <v>0</v>
      </c>
      <c r="F49">
        <f>IF($A49="",0,SUMIFS('Activity Planner'!$S$5:$S$1004,'Activity Planner'!$C$5:$C$1004,$A49,'Activity Planner'!$D$5:$D$1004,Lists!$E$7))</f>
        <v>0</v>
      </c>
      <c r="G49">
        <f>IF($A49="",0,SUMIFS('Activity Planner'!$T$5:$T$1004,'Activity Planner'!$C$5:$C$1004,$A49,'Activity Planner'!$D$5:$D$1004,Lists!$E$7))</f>
        <v>0</v>
      </c>
      <c r="H49">
        <f>IF($A49="",0,SUMIFS('Activity Planner'!$U$5:$U$1004,'Activity Planner'!$C$5:$C$1004,$A49,'Activity Planner'!$D$5:$D$1004,Lists!$E$7))</f>
        <v>0</v>
      </c>
      <c r="I49">
        <f>IF($A49="",0,SUMIFS('Activity Planner'!$V$5:$V$1004,'Activity Planner'!$C$5:$C$1004,$A49,'Activity Planner'!$D$5:$D$1004,Lists!$E$7))</f>
        <v>0</v>
      </c>
      <c r="J49">
        <f>IF($A49="",0,SUMIFS('Activity Planner'!$W$5:$W$1004,'Activity Planner'!$C$5:$C$1004,$A49,'Activity Planner'!$D$5:$D$1004,Lists!$E$7))</f>
        <v>0</v>
      </c>
      <c r="K49">
        <f>IF($A49="",0,SUMIFS('Activity Planner'!$X$5:$X$1004,'Activity Planner'!$C$5:$C$1004,$A49,'Activity Planner'!$D$5:$D$1004,Lists!$E$7))</f>
        <v>0</v>
      </c>
      <c r="L49">
        <f>IF($A49="",0,SUMIFS('Activity Planner'!$Y$5:$Y$1004,'Activity Planner'!$C$5:$C$1004,$A49,'Activity Planner'!$D$5:$D$1004,Lists!$E$7))</f>
        <v>0</v>
      </c>
      <c r="M49">
        <f>IF($A49="",0,SUMIFS('Activity Planner'!$Z$5:$Z$1004,'Activity Planner'!$C$5:$C$1004,$A49,'Activity Planner'!$D$5:$D$1004,Lists!$E$7))</f>
        <v>0</v>
      </c>
      <c r="Q49">
        <f>IF(INDEX('Activity Planner'!$O49:$Z49,SelMonthNum)=1,'Activity Planner'!$F49+ROW()/100000,"")</f>
        <v>0</v>
      </c>
      <c r="R49">
        <f>IF(AND('Activity Planner'!$N49=1,'Activity Planner'!$C49=SelPractice,'Activity Planner'!$AA49&gt;0),'Activity Planner'!$F49+ROW()/100000,"")</f>
        <v>0</v>
      </c>
    </row>
    <row r="50" spans="1:18">
      <c r="A50">
        <f>IF(Lists!$B$7="","",Lists!$B$7)</f>
        <v>0</v>
      </c>
      <c r="B50">
        <f>IF($A50="",0,SUMIFS('Activity Planner'!$O$5:$O$1004,'Activity Planner'!$C$5:$C$1004,$A50,'Activity Planner'!$D$5:$D$1004,Lists!$E$7))</f>
        <v>0</v>
      </c>
      <c r="C50">
        <f>IF($A50="",0,SUMIFS('Activity Planner'!$P$5:$P$1004,'Activity Planner'!$C$5:$C$1004,$A50,'Activity Planner'!$D$5:$D$1004,Lists!$E$7))</f>
        <v>0</v>
      </c>
      <c r="D50">
        <f>IF($A50="",0,SUMIFS('Activity Planner'!$Q$5:$Q$1004,'Activity Planner'!$C$5:$C$1004,$A50,'Activity Planner'!$D$5:$D$1004,Lists!$E$7))</f>
        <v>0</v>
      </c>
      <c r="E50">
        <f>IF($A50="",0,SUMIFS('Activity Planner'!$R$5:$R$1004,'Activity Planner'!$C$5:$C$1004,$A50,'Activity Planner'!$D$5:$D$1004,Lists!$E$7))</f>
        <v>0</v>
      </c>
      <c r="F50">
        <f>IF($A50="",0,SUMIFS('Activity Planner'!$S$5:$S$1004,'Activity Planner'!$C$5:$C$1004,$A50,'Activity Planner'!$D$5:$D$1004,Lists!$E$7))</f>
        <v>0</v>
      </c>
      <c r="G50">
        <f>IF($A50="",0,SUMIFS('Activity Planner'!$T$5:$T$1004,'Activity Planner'!$C$5:$C$1004,$A50,'Activity Planner'!$D$5:$D$1004,Lists!$E$7))</f>
        <v>0</v>
      </c>
      <c r="H50">
        <f>IF($A50="",0,SUMIFS('Activity Planner'!$U$5:$U$1004,'Activity Planner'!$C$5:$C$1004,$A50,'Activity Planner'!$D$5:$D$1004,Lists!$E$7))</f>
        <v>0</v>
      </c>
      <c r="I50">
        <f>IF($A50="",0,SUMIFS('Activity Planner'!$V$5:$V$1004,'Activity Planner'!$C$5:$C$1004,$A50,'Activity Planner'!$D$5:$D$1004,Lists!$E$7))</f>
        <v>0</v>
      </c>
      <c r="J50">
        <f>IF($A50="",0,SUMIFS('Activity Planner'!$W$5:$W$1004,'Activity Planner'!$C$5:$C$1004,$A50,'Activity Planner'!$D$5:$D$1004,Lists!$E$7))</f>
        <v>0</v>
      </c>
      <c r="K50">
        <f>IF($A50="",0,SUMIFS('Activity Planner'!$X$5:$X$1004,'Activity Planner'!$C$5:$C$1004,$A50,'Activity Planner'!$D$5:$D$1004,Lists!$E$7))</f>
        <v>0</v>
      </c>
      <c r="L50">
        <f>IF($A50="",0,SUMIFS('Activity Planner'!$Y$5:$Y$1004,'Activity Planner'!$C$5:$C$1004,$A50,'Activity Planner'!$D$5:$D$1004,Lists!$E$7))</f>
        <v>0</v>
      </c>
      <c r="M50">
        <f>IF($A50="",0,SUMIFS('Activity Planner'!$Z$5:$Z$1004,'Activity Planner'!$C$5:$C$1004,$A50,'Activity Planner'!$D$5:$D$1004,Lists!$E$7))</f>
        <v>0</v>
      </c>
      <c r="Q50">
        <f>IF(INDEX('Activity Planner'!$O50:$Z50,SelMonthNum)=1,'Activity Planner'!$F50+ROW()/100000,"")</f>
        <v>0</v>
      </c>
      <c r="R50">
        <f>IF(AND('Activity Planner'!$N50=1,'Activity Planner'!$C50=SelPractice,'Activity Planner'!$AA50&gt;0),'Activity Planner'!$F50+ROW()/100000,"")</f>
        <v>0</v>
      </c>
    </row>
    <row r="51" spans="1:18">
      <c r="A51">
        <f>IF(Lists!$B$8="","",Lists!$B$8)</f>
        <v>0</v>
      </c>
      <c r="B51">
        <f>IF($A51="",0,SUMIFS('Activity Planner'!$O$5:$O$1004,'Activity Planner'!$C$5:$C$1004,$A51,'Activity Planner'!$D$5:$D$1004,Lists!$E$7))</f>
        <v>0</v>
      </c>
      <c r="C51">
        <f>IF($A51="",0,SUMIFS('Activity Planner'!$P$5:$P$1004,'Activity Planner'!$C$5:$C$1004,$A51,'Activity Planner'!$D$5:$D$1004,Lists!$E$7))</f>
        <v>0</v>
      </c>
      <c r="D51">
        <f>IF($A51="",0,SUMIFS('Activity Planner'!$Q$5:$Q$1004,'Activity Planner'!$C$5:$C$1004,$A51,'Activity Planner'!$D$5:$D$1004,Lists!$E$7))</f>
        <v>0</v>
      </c>
      <c r="E51">
        <f>IF($A51="",0,SUMIFS('Activity Planner'!$R$5:$R$1004,'Activity Planner'!$C$5:$C$1004,$A51,'Activity Planner'!$D$5:$D$1004,Lists!$E$7))</f>
        <v>0</v>
      </c>
      <c r="F51">
        <f>IF($A51="",0,SUMIFS('Activity Planner'!$S$5:$S$1004,'Activity Planner'!$C$5:$C$1004,$A51,'Activity Planner'!$D$5:$D$1004,Lists!$E$7))</f>
        <v>0</v>
      </c>
      <c r="G51">
        <f>IF($A51="",0,SUMIFS('Activity Planner'!$T$5:$T$1004,'Activity Planner'!$C$5:$C$1004,$A51,'Activity Planner'!$D$5:$D$1004,Lists!$E$7))</f>
        <v>0</v>
      </c>
      <c r="H51">
        <f>IF($A51="",0,SUMIFS('Activity Planner'!$U$5:$U$1004,'Activity Planner'!$C$5:$C$1004,$A51,'Activity Planner'!$D$5:$D$1004,Lists!$E$7))</f>
        <v>0</v>
      </c>
      <c r="I51">
        <f>IF($A51="",0,SUMIFS('Activity Planner'!$V$5:$V$1004,'Activity Planner'!$C$5:$C$1004,$A51,'Activity Planner'!$D$5:$D$1004,Lists!$E$7))</f>
        <v>0</v>
      </c>
      <c r="J51">
        <f>IF($A51="",0,SUMIFS('Activity Planner'!$W$5:$W$1004,'Activity Planner'!$C$5:$C$1004,$A51,'Activity Planner'!$D$5:$D$1004,Lists!$E$7))</f>
        <v>0</v>
      </c>
      <c r="K51">
        <f>IF($A51="",0,SUMIFS('Activity Planner'!$X$5:$X$1004,'Activity Planner'!$C$5:$C$1004,$A51,'Activity Planner'!$D$5:$D$1004,Lists!$E$7))</f>
        <v>0</v>
      </c>
      <c r="L51">
        <f>IF($A51="",0,SUMIFS('Activity Planner'!$Y$5:$Y$1004,'Activity Planner'!$C$5:$C$1004,$A51,'Activity Planner'!$D$5:$D$1004,Lists!$E$7))</f>
        <v>0</v>
      </c>
      <c r="M51">
        <f>IF($A51="",0,SUMIFS('Activity Planner'!$Z$5:$Z$1004,'Activity Planner'!$C$5:$C$1004,$A51,'Activity Planner'!$D$5:$D$1004,Lists!$E$7))</f>
        <v>0</v>
      </c>
      <c r="Q51">
        <f>IF(INDEX('Activity Planner'!$O51:$Z51,SelMonthNum)=1,'Activity Planner'!$F51+ROW()/100000,"")</f>
        <v>0</v>
      </c>
      <c r="R51">
        <f>IF(AND('Activity Planner'!$N51=1,'Activity Planner'!$C51=SelPractice,'Activity Planner'!$AA51&gt;0),'Activity Planner'!$F51+ROW()/100000,"")</f>
        <v>0</v>
      </c>
    </row>
    <row r="52" spans="1:18">
      <c r="A52">
        <f>IF(Lists!$B$9="","",Lists!$B$9)</f>
        <v>0</v>
      </c>
      <c r="B52">
        <f>IF($A52="",0,SUMIFS('Activity Planner'!$O$5:$O$1004,'Activity Planner'!$C$5:$C$1004,$A52,'Activity Planner'!$D$5:$D$1004,Lists!$E$7))</f>
        <v>0</v>
      </c>
      <c r="C52">
        <f>IF($A52="",0,SUMIFS('Activity Planner'!$P$5:$P$1004,'Activity Planner'!$C$5:$C$1004,$A52,'Activity Planner'!$D$5:$D$1004,Lists!$E$7))</f>
        <v>0</v>
      </c>
      <c r="D52">
        <f>IF($A52="",0,SUMIFS('Activity Planner'!$Q$5:$Q$1004,'Activity Planner'!$C$5:$C$1004,$A52,'Activity Planner'!$D$5:$D$1004,Lists!$E$7))</f>
        <v>0</v>
      </c>
      <c r="E52">
        <f>IF($A52="",0,SUMIFS('Activity Planner'!$R$5:$R$1004,'Activity Planner'!$C$5:$C$1004,$A52,'Activity Planner'!$D$5:$D$1004,Lists!$E$7))</f>
        <v>0</v>
      </c>
      <c r="F52">
        <f>IF($A52="",0,SUMIFS('Activity Planner'!$S$5:$S$1004,'Activity Planner'!$C$5:$C$1004,$A52,'Activity Planner'!$D$5:$D$1004,Lists!$E$7))</f>
        <v>0</v>
      </c>
      <c r="G52">
        <f>IF($A52="",0,SUMIFS('Activity Planner'!$T$5:$T$1004,'Activity Planner'!$C$5:$C$1004,$A52,'Activity Planner'!$D$5:$D$1004,Lists!$E$7))</f>
        <v>0</v>
      </c>
      <c r="H52">
        <f>IF($A52="",0,SUMIFS('Activity Planner'!$U$5:$U$1004,'Activity Planner'!$C$5:$C$1004,$A52,'Activity Planner'!$D$5:$D$1004,Lists!$E$7))</f>
        <v>0</v>
      </c>
      <c r="I52">
        <f>IF($A52="",0,SUMIFS('Activity Planner'!$V$5:$V$1004,'Activity Planner'!$C$5:$C$1004,$A52,'Activity Planner'!$D$5:$D$1004,Lists!$E$7))</f>
        <v>0</v>
      </c>
      <c r="J52">
        <f>IF($A52="",0,SUMIFS('Activity Planner'!$W$5:$W$1004,'Activity Planner'!$C$5:$C$1004,$A52,'Activity Planner'!$D$5:$D$1004,Lists!$E$7))</f>
        <v>0</v>
      </c>
      <c r="K52">
        <f>IF($A52="",0,SUMIFS('Activity Planner'!$X$5:$X$1004,'Activity Planner'!$C$5:$C$1004,$A52,'Activity Planner'!$D$5:$D$1004,Lists!$E$7))</f>
        <v>0</v>
      </c>
      <c r="L52">
        <f>IF($A52="",0,SUMIFS('Activity Planner'!$Y$5:$Y$1004,'Activity Planner'!$C$5:$C$1004,$A52,'Activity Planner'!$D$5:$D$1004,Lists!$E$7))</f>
        <v>0</v>
      </c>
      <c r="M52">
        <f>IF($A52="",0,SUMIFS('Activity Planner'!$Z$5:$Z$1004,'Activity Planner'!$C$5:$C$1004,$A52,'Activity Planner'!$D$5:$D$1004,Lists!$E$7))</f>
        <v>0</v>
      </c>
      <c r="Q52">
        <f>IF(INDEX('Activity Planner'!$O52:$Z52,SelMonthNum)=1,'Activity Planner'!$F52+ROW()/100000,"")</f>
        <v>0</v>
      </c>
      <c r="R52">
        <f>IF(AND('Activity Planner'!$N52=1,'Activity Planner'!$C52=SelPractice,'Activity Planner'!$AA52&gt;0),'Activity Planner'!$F52+ROW()/100000,"")</f>
        <v>0</v>
      </c>
    </row>
    <row r="53" spans="1:18">
      <c r="A53">
        <f>IF(Lists!$B$10="","",Lists!$B$10)</f>
        <v>0</v>
      </c>
      <c r="B53">
        <f>IF($A53="",0,SUMIFS('Activity Planner'!$O$5:$O$1004,'Activity Planner'!$C$5:$C$1004,$A53,'Activity Planner'!$D$5:$D$1004,Lists!$E$7))</f>
        <v>0</v>
      </c>
      <c r="C53">
        <f>IF($A53="",0,SUMIFS('Activity Planner'!$P$5:$P$1004,'Activity Planner'!$C$5:$C$1004,$A53,'Activity Planner'!$D$5:$D$1004,Lists!$E$7))</f>
        <v>0</v>
      </c>
      <c r="D53">
        <f>IF($A53="",0,SUMIFS('Activity Planner'!$Q$5:$Q$1004,'Activity Planner'!$C$5:$C$1004,$A53,'Activity Planner'!$D$5:$D$1004,Lists!$E$7))</f>
        <v>0</v>
      </c>
      <c r="E53">
        <f>IF($A53="",0,SUMIFS('Activity Planner'!$R$5:$R$1004,'Activity Planner'!$C$5:$C$1004,$A53,'Activity Planner'!$D$5:$D$1004,Lists!$E$7))</f>
        <v>0</v>
      </c>
      <c r="F53">
        <f>IF($A53="",0,SUMIFS('Activity Planner'!$S$5:$S$1004,'Activity Planner'!$C$5:$C$1004,$A53,'Activity Planner'!$D$5:$D$1004,Lists!$E$7))</f>
        <v>0</v>
      </c>
      <c r="G53">
        <f>IF($A53="",0,SUMIFS('Activity Planner'!$T$5:$T$1004,'Activity Planner'!$C$5:$C$1004,$A53,'Activity Planner'!$D$5:$D$1004,Lists!$E$7))</f>
        <v>0</v>
      </c>
      <c r="H53">
        <f>IF($A53="",0,SUMIFS('Activity Planner'!$U$5:$U$1004,'Activity Planner'!$C$5:$C$1004,$A53,'Activity Planner'!$D$5:$D$1004,Lists!$E$7))</f>
        <v>0</v>
      </c>
      <c r="I53">
        <f>IF($A53="",0,SUMIFS('Activity Planner'!$V$5:$V$1004,'Activity Planner'!$C$5:$C$1004,$A53,'Activity Planner'!$D$5:$D$1004,Lists!$E$7))</f>
        <v>0</v>
      </c>
      <c r="J53">
        <f>IF($A53="",0,SUMIFS('Activity Planner'!$W$5:$W$1004,'Activity Planner'!$C$5:$C$1004,$A53,'Activity Planner'!$D$5:$D$1004,Lists!$E$7))</f>
        <v>0</v>
      </c>
      <c r="K53">
        <f>IF($A53="",0,SUMIFS('Activity Planner'!$X$5:$X$1004,'Activity Planner'!$C$5:$C$1004,$A53,'Activity Planner'!$D$5:$D$1004,Lists!$E$7))</f>
        <v>0</v>
      </c>
      <c r="L53">
        <f>IF($A53="",0,SUMIFS('Activity Planner'!$Y$5:$Y$1004,'Activity Planner'!$C$5:$C$1004,$A53,'Activity Planner'!$D$5:$D$1004,Lists!$E$7))</f>
        <v>0</v>
      </c>
      <c r="M53">
        <f>IF($A53="",0,SUMIFS('Activity Planner'!$Z$5:$Z$1004,'Activity Planner'!$C$5:$C$1004,$A53,'Activity Planner'!$D$5:$D$1004,Lists!$E$7))</f>
        <v>0</v>
      </c>
      <c r="Q53">
        <f>IF(INDEX('Activity Planner'!$O53:$Z53,SelMonthNum)=1,'Activity Planner'!$F53+ROW()/100000,"")</f>
        <v>0</v>
      </c>
      <c r="R53">
        <f>IF(AND('Activity Planner'!$N53=1,'Activity Planner'!$C53=SelPractice,'Activity Planner'!$AA53&gt;0),'Activity Planner'!$F53+ROW()/100000,"")</f>
        <v>0</v>
      </c>
    </row>
    <row r="54" spans="1:18">
      <c r="A54">
        <f>IF(Lists!$B$11="","",Lists!$B$11)</f>
        <v>0</v>
      </c>
      <c r="B54">
        <f>IF($A54="",0,SUMIFS('Activity Planner'!$O$5:$O$1004,'Activity Planner'!$C$5:$C$1004,$A54,'Activity Planner'!$D$5:$D$1004,Lists!$E$7))</f>
        <v>0</v>
      </c>
      <c r="C54">
        <f>IF($A54="",0,SUMIFS('Activity Planner'!$P$5:$P$1004,'Activity Planner'!$C$5:$C$1004,$A54,'Activity Planner'!$D$5:$D$1004,Lists!$E$7))</f>
        <v>0</v>
      </c>
      <c r="D54">
        <f>IF($A54="",0,SUMIFS('Activity Planner'!$Q$5:$Q$1004,'Activity Planner'!$C$5:$C$1004,$A54,'Activity Planner'!$D$5:$D$1004,Lists!$E$7))</f>
        <v>0</v>
      </c>
      <c r="E54">
        <f>IF($A54="",0,SUMIFS('Activity Planner'!$R$5:$R$1004,'Activity Planner'!$C$5:$C$1004,$A54,'Activity Planner'!$D$5:$D$1004,Lists!$E$7))</f>
        <v>0</v>
      </c>
      <c r="F54">
        <f>IF($A54="",0,SUMIFS('Activity Planner'!$S$5:$S$1004,'Activity Planner'!$C$5:$C$1004,$A54,'Activity Planner'!$D$5:$D$1004,Lists!$E$7))</f>
        <v>0</v>
      </c>
      <c r="G54">
        <f>IF($A54="",0,SUMIFS('Activity Planner'!$T$5:$T$1004,'Activity Planner'!$C$5:$C$1004,$A54,'Activity Planner'!$D$5:$D$1004,Lists!$E$7))</f>
        <v>0</v>
      </c>
      <c r="H54">
        <f>IF($A54="",0,SUMIFS('Activity Planner'!$U$5:$U$1004,'Activity Planner'!$C$5:$C$1004,$A54,'Activity Planner'!$D$5:$D$1004,Lists!$E$7))</f>
        <v>0</v>
      </c>
      <c r="I54">
        <f>IF($A54="",0,SUMIFS('Activity Planner'!$V$5:$V$1004,'Activity Planner'!$C$5:$C$1004,$A54,'Activity Planner'!$D$5:$D$1004,Lists!$E$7))</f>
        <v>0</v>
      </c>
      <c r="J54">
        <f>IF($A54="",0,SUMIFS('Activity Planner'!$W$5:$W$1004,'Activity Planner'!$C$5:$C$1004,$A54,'Activity Planner'!$D$5:$D$1004,Lists!$E$7))</f>
        <v>0</v>
      </c>
      <c r="K54">
        <f>IF($A54="",0,SUMIFS('Activity Planner'!$X$5:$X$1004,'Activity Planner'!$C$5:$C$1004,$A54,'Activity Planner'!$D$5:$D$1004,Lists!$E$7))</f>
        <v>0</v>
      </c>
      <c r="L54">
        <f>IF($A54="",0,SUMIFS('Activity Planner'!$Y$5:$Y$1004,'Activity Planner'!$C$5:$C$1004,$A54,'Activity Planner'!$D$5:$D$1004,Lists!$E$7))</f>
        <v>0</v>
      </c>
      <c r="M54">
        <f>IF($A54="",0,SUMIFS('Activity Planner'!$Z$5:$Z$1004,'Activity Planner'!$C$5:$C$1004,$A54,'Activity Planner'!$D$5:$D$1004,Lists!$E$7))</f>
        <v>0</v>
      </c>
      <c r="Q54">
        <f>IF(INDEX('Activity Planner'!$O54:$Z54,SelMonthNum)=1,'Activity Planner'!$F54+ROW()/100000,"")</f>
        <v>0</v>
      </c>
      <c r="R54">
        <f>IF(AND('Activity Planner'!$N54=1,'Activity Planner'!$C54=SelPractice,'Activity Planner'!$AA54&gt;0),'Activity Planner'!$F54+ROW()/100000,"")</f>
        <v>0</v>
      </c>
    </row>
    <row r="55" spans="1:18">
      <c r="A55">
        <f>IF(Lists!$B$12="","",Lists!$B$12)</f>
        <v>0</v>
      </c>
      <c r="B55">
        <f>IF($A55="",0,SUMIFS('Activity Planner'!$O$5:$O$1004,'Activity Planner'!$C$5:$C$1004,$A55,'Activity Planner'!$D$5:$D$1004,Lists!$E$7))</f>
        <v>0</v>
      </c>
      <c r="C55">
        <f>IF($A55="",0,SUMIFS('Activity Planner'!$P$5:$P$1004,'Activity Planner'!$C$5:$C$1004,$A55,'Activity Planner'!$D$5:$D$1004,Lists!$E$7))</f>
        <v>0</v>
      </c>
      <c r="D55">
        <f>IF($A55="",0,SUMIFS('Activity Planner'!$Q$5:$Q$1004,'Activity Planner'!$C$5:$C$1004,$A55,'Activity Planner'!$D$5:$D$1004,Lists!$E$7))</f>
        <v>0</v>
      </c>
      <c r="E55">
        <f>IF($A55="",0,SUMIFS('Activity Planner'!$R$5:$R$1004,'Activity Planner'!$C$5:$C$1004,$A55,'Activity Planner'!$D$5:$D$1004,Lists!$E$7))</f>
        <v>0</v>
      </c>
      <c r="F55">
        <f>IF($A55="",0,SUMIFS('Activity Planner'!$S$5:$S$1004,'Activity Planner'!$C$5:$C$1004,$A55,'Activity Planner'!$D$5:$D$1004,Lists!$E$7))</f>
        <v>0</v>
      </c>
      <c r="G55">
        <f>IF($A55="",0,SUMIFS('Activity Planner'!$T$5:$T$1004,'Activity Planner'!$C$5:$C$1004,$A55,'Activity Planner'!$D$5:$D$1004,Lists!$E$7))</f>
        <v>0</v>
      </c>
      <c r="H55">
        <f>IF($A55="",0,SUMIFS('Activity Planner'!$U$5:$U$1004,'Activity Planner'!$C$5:$C$1004,$A55,'Activity Planner'!$D$5:$D$1004,Lists!$E$7))</f>
        <v>0</v>
      </c>
      <c r="I55">
        <f>IF($A55="",0,SUMIFS('Activity Planner'!$V$5:$V$1004,'Activity Planner'!$C$5:$C$1004,$A55,'Activity Planner'!$D$5:$D$1004,Lists!$E$7))</f>
        <v>0</v>
      </c>
      <c r="J55">
        <f>IF($A55="",0,SUMIFS('Activity Planner'!$W$5:$W$1004,'Activity Planner'!$C$5:$C$1004,$A55,'Activity Planner'!$D$5:$D$1004,Lists!$E$7))</f>
        <v>0</v>
      </c>
      <c r="K55">
        <f>IF($A55="",0,SUMIFS('Activity Planner'!$X$5:$X$1004,'Activity Planner'!$C$5:$C$1004,$A55,'Activity Planner'!$D$5:$D$1004,Lists!$E$7))</f>
        <v>0</v>
      </c>
      <c r="L55">
        <f>IF($A55="",0,SUMIFS('Activity Planner'!$Y$5:$Y$1004,'Activity Planner'!$C$5:$C$1004,$A55,'Activity Planner'!$D$5:$D$1004,Lists!$E$7))</f>
        <v>0</v>
      </c>
      <c r="M55">
        <f>IF($A55="",0,SUMIFS('Activity Planner'!$Z$5:$Z$1004,'Activity Planner'!$C$5:$C$1004,$A55,'Activity Planner'!$D$5:$D$1004,Lists!$E$7))</f>
        <v>0</v>
      </c>
      <c r="Q55">
        <f>IF(INDEX('Activity Planner'!$O55:$Z55,SelMonthNum)=1,'Activity Planner'!$F55+ROW()/100000,"")</f>
        <v>0</v>
      </c>
      <c r="R55">
        <f>IF(AND('Activity Planner'!$N55=1,'Activity Planner'!$C55=SelPractice,'Activity Planner'!$AA55&gt;0),'Activity Planner'!$F55+ROW()/100000,"")</f>
        <v>0</v>
      </c>
    </row>
    <row r="56" spans="1:18">
      <c r="A56">
        <f>IF(Lists!$B$13="","",Lists!$B$13)</f>
        <v>0</v>
      </c>
      <c r="B56">
        <f>IF($A56="",0,SUMIFS('Activity Planner'!$O$5:$O$1004,'Activity Planner'!$C$5:$C$1004,$A56,'Activity Planner'!$D$5:$D$1004,Lists!$E$7))</f>
        <v>0</v>
      </c>
      <c r="C56">
        <f>IF($A56="",0,SUMIFS('Activity Planner'!$P$5:$P$1004,'Activity Planner'!$C$5:$C$1004,$A56,'Activity Planner'!$D$5:$D$1004,Lists!$E$7))</f>
        <v>0</v>
      </c>
      <c r="D56">
        <f>IF($A56="",0,SUMIFS('Activity Planner'!$Q$5:$Q$1004,'Activity Planner'!$C$5:$C$1004,$A56,'Activity Planner'!$D$5:$D$1004,Lists!$E$7))</f>
        <v>0</v>
      </c>
      <c r="E56">
        <f>IF($A56="",0,SUMIFS('Activity Planner'!$R$5:$R$1004,'Activity Planner'!$C$5:$C$1004,$A56,'Activity Planner'!$D$5:$D$1004,Lists!$E$7))</f>
        <v>0</v>
      </c>
      <c r="F56">
        <f>IF($A56="",0,SUMIFS('Activity Planner'!$S$5:$S$1004,'Activity Planner'!$C$5:$C$1004,$A56,'Activity Planner'!$D$5:$D$1004,Lists!$E$7))</f>
        <v>0</v>
      </c>
      <c r="G56">
        <f>IF($A56="",0,SUMIFS('Activity Planner'!$T$5:$T$1004,'Activity Planner'!$C$5:$C$1004,$A56,'Activity Planner'!$D$5:$D$1004,Lists!$E$7))</f>
        <v>0</v>
      </c>
      <c r="H56">
        <f>IF($A56="",0,SUMIFS('Activity Planner'!$U$5:$U$1004,'Activity Planner'!$C$5:$C$1004,$A56,'Activity Planner'!$D$5:$D$1004,Lists!$E$7))</f>
        <v>0</v>
      </c>
      <c r="I56">
        <f>IF($A56="",0,SUMIFS('Activity Planner'!$V$5:$V$1004,'Activity Planner'!$C$5:$C$1004,$A56,'Activity Planner'!$D$5:$D$1004,Lists!$E$7))</f>
        <v>0</v>
      </c>
      <c r="J56">
        <f>IF($A56="",0,SUMIFS('Activity Planner'!$W$5:$W$1004,'Activity Planner'!$C$5:$C$1004,$A56,'Activity Planner'!$D$5:$D$1004,Lists!$E$7))</f>
        <v>0</v>
      </c>
      <c r="K56">
        <f>IF($A56="",0,SUMIFS('Activity Planner'!$X$5:$X$1004,'Activity Planner'!$C$5:$C$1004,$A56,'Activity Planner'!$D$5:$D$1004,Lists!$E$7))</f>
        <v>0</v>
      </c>
      <c r="L56">
        <f>IF($A56="",0,SUMIFS('Activity Planner'!$Y$5:$Y$1004,'Activity Planner'!$C$5:$C$1004,$A56,'Activity Planner'!$D$5:$D$1004,Lists!$E$7))</f>
        <v>0</v>
      </c>
      <c r="M56">
        <f>IF($A56="",0,SUMIFS('Activity Planner'!$Z$5:$Z$1004,'Activity Planner'!$C$5:$C$1004,$A56,'Activity Planner'!$D$5:$D$1004,Lists!$E$7))</f>
        <v>0</v>
      </c>
      <c r="Q56">
        <f>IF(INDEX('Activity Planner'!$O56:$Z56,SelMonthNum)=1,'Activity Planner'!$F56+ROW()/100000,"")</f>
        <v>0</v>
      </c>
      <c r="R56">
        <f>IF(AND('Activity Planner'!$N56=1,'Activity Planner'!$C56=SelPractice,'Activity Planner'!$AA56&gt;0),'Activity Planner'!$F56+ROW()/100000,"")</f>
        <v>0</v>
      </c>
    </row>
    <row r="57" spans="1:18">
      <c r="A57">
        <f>IF(Lists!$B$14="","",Lists!$B$14)</f>
        <v>0</v>
      </c>
      <c r="B57">
        <f>IF($A57="",0,SUMIFS('Activity Planner'!$O$5:$O$1004,'Activity Planner'!$C$5:$C$1004,$A57,'Activity Planner'!$D$5:$D$1004,Lists!$E$7))</f>
        <v>0</v>
      </c>
      <c r="C57">
        <f>IF($A57="",0,SUMIFS('Activity Planner'!$P$5:$P$1004,'Activity Planner'!$C$5:$C$1004,$A57,'Activity Planner'!$D$5:$D$1004,Lists!$E$7))</f>
        <v>0</v>
      </c>
      <c r="D57">
        <f>IF($A57="",0,SUMIFS('Activity Planner'!$Q$5:$Q$1004,'Activity Planner'!$C$5:$C$1004,$A57,'Activity Planner'!$D$5:$D$1004,Lists!$E$7))</f>
        <v>0</v>
      </c>
      <c r="E57">
        <f>IF($A57="",0,SUMIFS('Activity Planner'!$R$5:$R$1004,'Activity Planner'!$C$5:$C$1004,$A57,'Activity Planner'!$D$5:$D$1004,Lists!$E$7))</f>
        <v>0</v>
      </c>
      <c r="F57">
        <f>IF($A57="",0,SUMIFS('Activity Planner'!$S$5:$S$1004,'Activity Planner'!$C$5:$C$1004,$A57,'Activity Planner'!$D$5:$D$1004,Lists!$E$7))</f>
        <v>0</v>
      </c>
      <c r="G57">
        <f>IF($A57="",0,SUMIFS('Activity Planner'!$T$5:$T$1004,'Activity Planner'!$C$5:$C$1004,$A57,'Activity Planner'!$D$5:$D$1004,Lists!$E$7))</f>
        <v>0</v>
      </c>
      <c r="H57">
        <f>IF($A57="",0,SUMIFS('Activity Planner'!$U$5:$U$1004,'Activity Planner'!$C$5:$C$1004,$A57,'Activity Planner'!$D$5:$D$1004,Lists!$E$7))</f>
        <v>0</v>
      </c>
      <c r="I57">
        <f>IF($A57="",0,SUMIFS('Activity Planner'!$V$5:$V$1004,'Activity Planner'!$C$5:$C$1004,$A57,'Activity Planner'!$D$5:$D$1004,Lists!$E$7))</f>
        <v>0</v>
      </c>
      <c r="J57">
        <f>IF($A57="",0,SUMIFS('Activity Planner'!$W$5:$W$1004,'Activity Planner'!$C$5:$C$1004,$A57,'Activity Planner'!$D$5:$D$1004,Lists!$E$7))</f>
        <v>0</v>
      </c>
      <c r="K57">
        <f>IF($A57="",0,SUMIFS('Activity Planner'!$X$5:$X$1004,'Activity Planner'!$C$5:$C$1004,$A57,'Activity Planner'!$D$5:$D$1004,Lists!$E$7))</f>
        <v>0</v>
      </c>
      <c r="L57">
        <f>IF($A57="",0,SUMIFS('Activity Planner'!$Y$5:$Y$1004,'Activity Planner'!$C$5:$C$1004,$A57,'Activity Planner'!$D$5:$D$1004,Lists!$E$7))</f>
        <v>0</v>
      </c>
      <c r="M57">
        <f>IF($A57="",0,SUMIFS('Activity Planner'!$Z$5:$Z$1004,'Activity Planner'!$C$5:$C$1004,$A57,'Activity Planner'!$D$5:$D$1004,Lists!$E$7))</f>
        <v>0</v>
      </c>
      <c r="Q57">
        <f>IF(INDEX('Activity Planner'!$O57:$Z57,SelMonthNum)=1,'Activity Planner'!$F57+ROW()/100000,"")</f>
        <v>0</v>
      </c>
      <c r="R57">
        <f>IF(AND('Activity Planner'!$N57=1,'Activity Planner'!$C57=SelPractice,'Activity Planner'!$AA57&gt;0),'Activity Planner'!$F57+ROW()/100000,"")</f>
        <v>0</v>
      </c>
    </row>
    <row r="58" spans="1:18">
      <c r="A58">
        <f>IF(Lists!$B$15="","",Lists!$B$15)</f>
        <v>0</v>
      </c>
      <c r="B58">
        <f>IF($A58="",0,SUMIFS('Activity Planner'!$O$5:$O$1004,'Activity Planner'!$C$5:$C$1004,$A58,'Activity Planner'!$D$5:$D$1004,Lists!$E$7))</f>
        <v>0</v>
      </c>
      <c r="C58">
        <f>IF($A58="",0,SUMIFS('Activity Planner'!$P$5:$P$1004,'Activity Planner'!$C$5:$C$1004,$A58,'Activity Planner'!$D$5:$D$1004,Lists!$E$7))</f>
        <v>0</v>
      </c>
      <c r="D58">
        <f>IF($A58="",0,SUMIFS('Activity Planner'!$Q$5:$Q$1004,'Activity Planner'!$C$5:$C$1004,$A58,'Activity Planner'!$D$5:$D$1004,Lists!$E$7))</f>
        <v>0</v>
      </c>
      <c r="E58">
        <f>IF($A58="",0,SUMIFS('Activity Planner'!$R$5:$R$1004,'Activity Planner'!$C$5:$C$1004,$A58,'Activity Planner'!$D$5:$D$1004,Lists!$E$7))</f>
        <v>0</v>
      </c>
      <c r="F58">
        <f>IF($A58="",0,SUMIFS('Activity Planner'!$S$5:$S$1004,'Activity Planner'!$C$5:$C$1004,$A58,'Activity Planner'!$D$5:$D$1004,Lists!$E$7))</f>
        <v>0</v>
      </c>
      <c r="G58">
        <f>IF($A58="",0,SUMIFS('Activity Planner'!$T$5:$T$1004,'Activity Planner'!$C$5:$C$1004,$A58,'Activity Planner'!$D$5:$D$1004,Lists!$E$7))</f>
        <v>0</v>
      </c>
      <c r="H58">
        <f>IF($A58="",0,SUMIFS('Activity Planner'!$U$5:$U$1004,'Activity Planner'!$C$5:$C$1004,$A58,'Activity Planner'!$D$5:$D$1004,Lists!$E$7))</f>
        <v>0</v>
      </c>
      <c r="I58">
        <f>IF($A58="",0,SUMIFS('Activity Planner'!$V$5:$V$1004,'Activity Planner'!$C$5:$C$1004,$A58,'Activity Planner'!$D$5:$D$1004,Lists!$E$7))</f>
        <v>0</v>
      </c>
      <c r="J58">
        <f>IF($A58="",0,SUMIFS('Activity Planner'!$W$5:$W$1004,'Activity Planner'!$C$5:$C$1004,$A58,'Activity Planner'!$D$5:$D$1004,Lists!$E$7))</f>
        <v>0</v>
      </c>
      <c r="K58">
        <f>IF($A58="",0,SUMIFS('Activity Planner'!$X$5:$X$1004,'Activity Planner'!$C$5:$C$1004,$A58,'Activity Planner'!$D$5:$D$1004,Lists!$E$7))</f>
        <v>0</v>
      </c>
      <c r="L58">
        <f>IF($A58="",0,SUMIFS('Activity Planner'!$Y$5:$Y$1004,'Activity Planner'!$C$5:$C$1004,$A58,'Activity Planner'!$D$5:$D$1004,Lists!$E$7))</f>
        <v>0</v>
      </c>
      <c r="M58">
        <f>IF($A58="",0,SUMIFS('Activity Planner'!$Z$5:$Z$1004,'Activity Planner'!$C$5:$C$1004,$A58,'Activity Planner'!$D$5:$D$1004,Lists!$E$7))</f>
        <v>0</v>
      </c>
      <c r="Q58">
        <f>IF(INDEX('Activity Planner'!$O58:$Z58,SelMonthNum)=1,'Activity Planner'!$F58+ROW()/100000,"")</f>
        <v>0</v>
      </c>
      <c r="R58">
        <f>IF(AND('Activity Planner'!$N58=1,'Activity Planner'!$C58=SelPractice,'Activity Planner'!$AA58&gt;0),'Activity Planner'!$F58+ROW()/100000,"")</f>
        <v>0</v>
      </c>
    </row>
    <row r="59" spans="1:18">
      <c r="A59">
        <f>IF(Lists!$B$16="","",Lists!$B$16)</f>
        <v>0</v>
      </c>
      <c r="B59">
        <f>IF($A59="",0,SUMIFS('Activity Planner'!$O$5:$O$1004,'Activity Planner'!$C$5:$C$1004,$A59,'Activity Planner'!$D$5:$D$1004,Lists!$E$7))</f>
        <v>0</v>
      </c>
      <c r="C59">
        <f>IF($A59="",0,SUMIFS('Activity Planner'!$P$5:$P$1004,'Activity Planner'!$C$5:$C$1004,$A59,'Activity Planner'!$D$5:$D$1004,Lists!$E$7))</f>
        <v>0</v>
      </c>
      <c r="D59">
        <f>IF($A59="",0,SUMIFS('Activity Planner'!$Q$5:$Q$1004,'Activity Planner'!$C$5:$C$1004,$A59,'Activity Planner'!$D$5:$D$1004,Lists!$E$7))</f>
        <v>0</v>
      </c>
      <c r="E59">
        <f>IF($A59="",0,SUMIFS('Activity Planner'!$R$5:$R$1004,'Activity Planner'!$C$5:$C$1004,$A59,'Activity Planner'!$D$5:$D$1004,Lists!$E$7))</f>
        <v>0</v>
      </c>
      <c r="F59">
        <f>IF($A59="",0,SUMIFS('Activity Planner'!$S$5:$S$1004,'Activity Planner'!$C$5:$C$1004,$A59,'Activity Planner'!$D$5:$D$1004,Lists!$E$7))</f>
        <v>0</v>
      </c>
      <c r="G59">
        <f>IF($A59="",0,SUMIFS('Activity Planner'!$T$5:$T$1004,'Activity Planner'!$C$5:$C$1004,$A59,'Activity Planner'!$D$5:$D$1004,Lists!$E$7))</f>
        <v>0</v>
      </c>
      <c r="H59">
        <f>IF($A59="",0,SUMIFS('Activity Planner'!$U$5:$U$1004,'Activity Planner'!$C$5:$C$1004,$A59,'Activity Planner'!$D$5:$D$1004,Lists!$E$7))</f>
        <v>0</v>
      </c>
      <c r="I59">
        <f>IF($A59="",0,SUMIFS('Activity Planner'!$V$5:$V$1004,'Activity Planner'!$C$5:$C$1004,$A59,'Activity Planner'!$D$5:$D$1004,Lists!$E$7))</f>
        <v>0</v>
      </c>
      <c r="J59">
        <f>IF($A59="",0,SUMIFS('Activity Planner'!$W$5:$W$1004,'Activity Planner'!$C$5:$C$1004,$A59,'Activity Planner'!$D$5:$D$1004,Lists!$E$7))</f>
        <v>0</v>
      </c>
      <c r="K59">
        <f>IF($A59="",0,SUMIFS('Activity Planner'!$X$5:$X$1004,'Activity Planner'!$C$5:$C$1004,$A59,'Activity Planner'!$D$5:$D$1004,Lists!$E$7))</f>
        <v>0</v>
      </c>
      <c r="L59">
        <f>IF($A59="",0,SUMIFS('Activity Planner'!$Y$5:$Y$1004,'Activity Planner'!$C$5:$C$1004,$A59,'Activity Planner'!$D$5:$D$1004,Lists!$E$7))</f>
        <v>0</v>
      </c>
      <c r="M59">
        <f>IF($A59="",0,SUMIFS('Activity Planner'!$Z$5:$Z$1004,'Activity Planner'!$C$5:$C$1004,$A59,'Activity Planner'!$D$5:$D$1004,Lists!$E$7))</f>
        <v>0</v>
      </c>
      <c r="Q59">
        <f>IF(INDEX('Activity Planner'!$O59:$Z59,SelMonthNum)=1,'Activity Planner'!$F59+ROW()/100000,"")</f>
        <v>0</v>
      </c>
      <c r="R59">
        <f>IF(AND('Activity Planner'!$N59=1,'Activity Planner'!$C59=SelPractice,'Activity Planner'!$AA59&gt;0),'Activity Planner'!$F59+ROW()/100000,"")</f>
        <v>0</v>
      </c>
    </row>
    <row r="60" spans="1:18">
      <c r="Q60">
        <f>IF(INDEX('Activity Planner'!$O60:$Z60,SelMonthNum)=1,'Activity Planner'!$F60+ROW()/100000,"")</f>
        <v>0</v>
      </c>
      <c r="R60">
        <f>IF(AND('Activity Planner'!$N60=1,'Activity Planner'!$C60=SelPractice,'Activity Planner'!$AA60&gt;0),'Activity Planner'!$F60+ROW()/100000,"")</f>
        <v>0</v>
      </c>
    </row>
    <row r="61" spans="1:18">
      <c r="Q61">
        <f>IF(INDEX('Activity Planner'!$O61:$Z61,SelMonthNum)=1,'Activity Planner'!$F61+ROW()/100000,"")</f>
        <v>0</v>
      </c>
      <c r="R61">
        <f>IF(AND('Activity Planner'!$N61=1,'Activity Planner'!$C61=SelPractice,'Activity Planner'!$AA61&gt;0),'Activity Planner'!$F61+ROW()/100000,"")</f>
        <v>0</v>
      </c>
    </row>
    <row r="62" spans="1:18">
      <c r="Q62">
        <f>IF(INDEX('Activity Planner'!$O62:$Z62,SelMonthNum)=1,'Activity Planner'!$F62+ROW()/100000,"")</f>
        <v>0</v>
      </c>
      <c r="R62">
        <f>IF(AND('Activity Planner'!$N62=1,'Activity Planner'!$C62=SelPractice,'Activity Planner'!$AA62&gt;0),'Activity Planner'!$F62+ROW()/100000,"")</f>
        <v>0</v>
      </c>
    </row>
    <row r="63" spans="1:18">
      <c r="A63">
        <f>IF(Lists!$B$5="","",Lists!$B$5)</f>
        <v>0</v>
      </c>
      <c r="B63">
        <f>IF($A63="",0,SUMIFS('Activity Planner'!$O$5:$O$1004,'Activity Planner'!$C$5:$C$1004,$A63,'Activity Planner'!$E$5:$E$1004,"Event"))</f>
        <v>0</v>
      </c>
      <c r="C63">
        <f>IF($A63="",0,SUMIFS('Activity Planner'!$P$5:$P$1004,'Activity Planner'!$C$5:$C$1004,$A63,'Activity Planner'!$E$5:$E$1004,"Event"))</f>
        <v>0</v>
      </c>
      <c r="D63">
        <f>IF($A63="",0,SUMIFS('Activity Planner'!$Q$5:$Q$1004,'Activity Planner'!$C$5:$C$1004,$A63,'Activity Planner'!$E$5:$E$1004,"Event"))</f>
        <v>0</v>
      </c>
      <c r="E63">
        <f>IF($A63="",0,SUMIFS('Activity Planner'!$R$5:$R$1004,'Activity Planner'!$C$5:$C$1004,$A63,'Activity Planner'!$E$5:$E$1004,"Event"))</f>
        <v>0</v>
      </c>
      <c r="F63">
        <f>IF($A63="",0,SUMIFS('Activity Planner'!$S$5:$S$1004,'Activity Planner'!$C$5:$C$1004,$A63,'Activity Planner'!$E$5:$E$1004,"Event"))</f>
        <v>0</v>
      </c>
      <c r="G63">
        <f>IF($A63="",0,SUMIFS('Activity Planner'!$T$5:$T$1004,'Activity Planner'!$C$5:$C$1004,$A63,'Activity Planner'!$E$5:$E$1004,"Event"))</f>
        <v>0</v>
      </c>
      <c r="H63">
        <f>IF($A63="",0,SUMIFS('Activity Planner'!$U$5:$U$1004,'Activity Planner'!$C$5:$C$1004,$A63,'Activity Planner'!$E$5:$E$1004,"Event"))</f>
        <v>0</v>
      </c>
      <c r="I63">
        <f>IF($A63="",0,SUMIFS('Activity Planner'!$V$5:$V$1004,'Activity Planner'!$C$5:$C$1004,$A63,'Activity Planner'!$E$5:$E$1004,"Event"))</f>
        <v>0</v>
      </c>
      <c r="J63">
        <f>IF($A63="",0,SUMIFS('Activity Planner'!$W$5:$W$1004,'Activity Planner'!$C$5:$C$1004,$A63,'Activity Planner'!$E$5:$E$1004,"Event"))</f>
        <v>0</v>
      </c>
      <c r="K63">
        <f>IF($A63="",0,SUMIFS('Activity Planner'!$X$5:$X$1004,'Activity Planner'!$C$5:$C$1004,$A63,'Activity Planner'!$E$5:$E$1004,"Event"))</f>
        <v>0</v>
      </c>
      <c r="L63">
        <f>IF($A63="",0,SUMIFS('Activity Planner'!$Y$5:$Y$1004,'Activity Planner'!$C$5:$C$1004,$A63,'Activity Planner'!$E$5:$E$1004,"Event"))</f>
        <v>0</v>
      </c>
      <c r="M63">
        <f>IF($A63="",0,SUMIFS('Activity Planner'!$Z$5:$Z$1004,'Activity Planner'!$C$5:$C$1004,$A63,'Activity Planner'!$E$5:$E$1004,"Event"))</f>
        <v>0</v>
      </c>
      <c r="Q63">
        <f>IF(INDEX('Activity Planner'!$O63:$Z63,SelMonthNum)=1,'Activity Planner'!$F63+ROW()/100000,"")</f>
        <v>0</v>
      </c>
      <c r="R63">
        <f>IF(AND('Activity Planner'!$N63=1,'Activity Planner'!$C63=SelPractice,'Activity Planner'!$AA63&gt;0),'Activity Planner'!$F63+ROW()/100000,"")</f>
        <v>0</v>
      </c>
    </row>
    <row r="64" spans="1:18">
      <c r="A64">
        <f>IF(Lists!$B$6="","",Lists!$B$6)</f>
        <v>0</v>
      </c>
      <c r="B64">
        <f>IF($A64="",0,SUMIFS('Activity Planner'!$O$5:$O$1004,'Activity Planner'!$C$5:$C$1004,$A64,'Activity Planner'!$E$5:$E$1004,"Event"))</f>
        <v>0</v>
      </c>
      <c r="C64">
        <f>IF($A64="",0,SUMIFS('Activity Planner'!$P$5:$P$1004,'Activity Planner'!$C$5:$C$1004,$A64,'Activity Planner'!$E$5:$E$1004,"Event"))</f>
        <v>0</v>
      </c>
      <c r="D64">
        <f>IF($A64="",0,SUMIFS('Activity Planner'!$Q$5:$Q$1004,'Activity Planner'!$C$5:$C$1004,$A64,'Activity Planner'!$E$5:$E$1004,"Event"))</f>
        <v>0</v>
      </c>
      <c r="E64">
        <f>IF($A64="",0,SUMIFS('Activity Planner'!$R$5:$R$1004,'Activity Planner'!$C$5:$C$1004,$A64,'Activity Planner'!$E$5:$E$1004,"Event"))</f>
        <v>0</v>
      </c>
      <c r="F64">
        <f>IF($A64="",0,SUMIFS('Activity Planner'!$S$5:$S$1004,'Activity Planner'!$C$5:$C$1004,$A64,'Activity Planner'!$E$5:$E$1004,"Event"))</f>
        <v>0</v>
      </c>
      <c r="G64">
        <f>IF($A64="",0,SUMIFS('Activity Planner'!$T$5:$T$1004,'Activity Planner'!$C$5:$C$1004,$A64,'Activity Planner'!$E$5:$E$1004,"Event"))</f>
        <v>0</v>
      </c>
      <c r="H64">
        <f>IF($A64="",0,SUMIFS('Activity Planner'!$U$5:$U$1004,'Activity Planner'!$C$5:$C$1004,$A64,'Activity Planner'!$E$5:$E$1004,"Event"))</f>
        <v>0</v>
      </c>
      <c r="I64">
        <f>IF($A64="",0,SUMIFS('Activity Planner'!$V$5:$V$1004,'Activity Planner'!$C$5:$C$1004,$A64,'Activity Planner'!$E$5:$E$1004,"Event"))</f>
        <v>0</v>
      </c>
      <c r="J64">
        <f>IF($A64="",0,SUMIFS('Activity Planner'!$W$5:$W$1004,'Activity Planner'!$C$5:$C$1004,$A64,'Activity Planner'!$E$5:$E$1004,"Event"))</f>
        <v>0</v>
      </c>
      <c r="K64">
        <f>IF($A64="",0,SUMIFS('Activity Planner'!$X$5:$X$1004,'Activity Planner'!$C$5:$C$1004,$A64,'Activity Planner'!$E$5:$E$1004,"Event"))</f>
        <v>0</v>
      </c>
      <c r="L64">
        <f>IF($A64="",0,SUMIFS('Activity Planner'!$Y$5:$Y$1004,'Activity Planner'!$C$5:$C$1004,$A64,'Activity Planner'!$E$5:$E$1004,"Event"))</f>
        <v>0</v>
      </c>
      <c r="M64">
        <f>IF($A64="",0,SUMIFS('Activity Planner'!$Z$5:$Z$1004,'Activity Planner'!$C$5:$C$1004,$A64,'Activity Planner'!$E$5:$E$1004,"Event"))</f>
        <v>0</v>
      </c>
      <c r="Q64">
        <f>IF(INDEX('Activity Planner'!$O64:$Z64,SelMonthNum)=1,'Activity Planner'!$F64+ROW()/100000,"")</f>
        <v>0</v>
      </c>
      <c r="R64">
        <f>IF(AND('Activity Planner'!$N64=1,'Activity Planner'!$C64=SelPractice,'Activity Planner'!$AA64&gt;0),'Activity Planner'!$F64+ROW()/100000,"")</f>
        <v>0</v>
      </c>
    </row>
    <row r="65" spans="1:18">
      <c r="A65">
        <f>IF(Lists!$B$7="","",Lists!$B$7)</f>
        <v>0</v>
      </c>
      <c r="B65">
        <f>IF($A65="",0,SUMIFS('Activity Planner'!$O$5:$O$1004,'Activity Planner'!$C$5:$C$1004,$A65,'Activity Planner'!$E$5:$E$1004,"Event"))</f>
        <v>0</v>
      </c>
      <c r="C65">
        <f>IF($A65="",0,SUMIFS('Activity Planner'!$P$5:$P$1004,'Activity Planner'!$C$5:$C$1004,$A65,'Activity Planner'!$E$5:$E$1004,"Event"))</f>
        <v>0</v>
      </c>
      <c r="D65">
        <f>IF($A65="",0,SUMIFS('Activity Planner'!$Q$5:$Q$1004,'Activity Planner'!$C$5:$C$1004,$A65,'Activity Planner'!$E$5:$E$1004,"Event"))</f>
        <v>0</v>
      </c>
      <c r="E65">
        <f>IF($A65="",0,SUMIFS('Activity Planner'!$R$5:$R$1004,'Activity Planner'!$C$5:$C$1004,$A65,'Activity Planner'!$E$5:$E$1004,"Event"))</f>
        <v>0</v>
      </c>
      <c r="F65">
        <f>IF($A65="",0,SUMIFS('Activity Planner'!$S$5:$S$1004,'Activity Planner'!$C$5:$C$1004,$A65,'Activity Planner'!$E$5:$E$1004,"Event"))</f>
        <v>0</v>
      </c>
      <c r="G65">
        <f>IF($A65="",0,SUMIFS('Activity Planner'!$T$5:$T$1004,'Activity Planner'!$C$5:$C$1004,$A65,'Activity Planner'!$E$5:$E$1004,"Event"))</f>
        <v>0</v>
      </c>
      <c r="H65">
        <f>IF($A65="",0,SUMIFS('Activity Planner'!$U$5:$U$1004,'Activity Planner'!$C$5:$C$1004,$A65,'Activity Planner'!$E$5:$E$1004,"Event"))</f>
        <v>0</v>
      </c>
      <c r="I65">
        <f>IF($A65="",0,SUMIFS('Activity Planner'!$V$5:$V$1004,'Activity Planner'!$C$5:$C$1004,$A65,'Activity Planner'!$E$5:$E$1004,"Event"))</f>
        <v>0</v>
      </c>
      <c r="J65">
        <f>IF($A65="",0,SUMIFS('Activity Planner'!$W$5:$W$1004,'Activity Planner'!$C$5:$C$1004,$A65,'Activity Planner'!$E$5:$E$1004,"Event"))</f>
        <v>0</v>
      </c>
      <c r="K65">
        <f>IF($A65="",0,SUMIFS('Activity Planner'!$X$5:$X$1004,'Activity Planner'!$C$5:$C$1004,$A65,'Activity Planner'!$E$5:$E$1004,"Event"))</f>
        <v>0</v>
      </c>
      <c r="L65">
        <f>IF($A65="",0,SUMIFS('Activity Planner'!$Y$5:$Y$1004,'Activity Planner'!$C$5:$C$1004,$A65,'Activity Planner'!$E$5:$E$1004,"Event"))</f>
        <v>0</v>
      </c>
      <c r="M65">
        <f>IF($A65="",0,SUMIFS('Activity Planner'!$Z$5:$Z$1004,'Activity Planner'!$C$5:$C$1004,$A65,'Activity Planner'!$E$5:$E$1004,"Event"))</f>
        <v>0</v>
      </c>
      <c r="Q65">
        <f>IF(INDEX('Activity Planner'!$O65:$Z65,SelMonthNum)=1,'Activity Planner'!$F65+ROW()/100000,"")</f>
        <v>0</v>
      </c>
      <c r="R65">
        <f>IF(AND('Activity Planner'!$N65=1,'Activity Planner'!$C65=SelPractice,'Activity Planner'!$AA65&gt;0),'Activity Planner'!$F65+ROW()/100000,"")</f>
        <v>0</v>
      </c>
    </row>
    <row r="66" spans="1:18">
      <c r="A66">
        <f>IF(Lists!$B$8="","",Lists!$B$8)</f>
        <v>0</v>
      </c>
      <c r="B66">
        <f>IF($A66="",0,SUMIFS('Activity Planner'!$O$5:$O$1004,'Activity Planner'!$C$5:$C$1004,$A66,'Activity Planner'!$E$5:$E$1004,"Event"))</f>
        <v>0</v>
      </c>
      <c r="C66">
        <f>IF($A66="",0,SUMIFS('Activity Planner'!$P$5:$P$1004,'Activity Planner'!$C$5:$C$1004,$A66,'Activity Planner'!$E$5:$E$1004,"Event"))</f>
        <v>0</v>
      </c>
      <c r="D66">
        <f>IF($A66="",0,SUMIFS('Activity Planner'!$Q$5:$Q$1004,'Activity Planner'!$C$5:$C$1004,$A66,'Activity Planner'!$E$5:$E$1004,"Event"))</f>
        <v>0</v>
      </c>
      <c r="E66">
        <f>IF($A66="",0,SUMIFS('Activity Planner'!$R$5:$R$1004,'Activity Planner'!$C$5:$C$1004,$A66,'Activity Planner'!$E$5:$E$1004,"Event"))</f>
        <v>0</v>
      </c>
      <c r="F66">
        <f>IF($A66="",0,SUMIFS('Activity Planner'!$S$5:$S$1004,'Activity Planner'!$C$5:$C$1004,$A66,'Activity Planner'!$E$5:$E$1004,"Event"))</f>
        <v>0</v>
      </c>
      <c r="G66">
        <f>IF($A66="",0,SUMIFS('Activity Planner'!$T$5:$T$1004,'Activity Planner'!$C$5:$C$1004,$A66,'Activity Planner'!$E$5:$E$1004,"Event"))</f>
        <v>0</v>
      </c>
      <c r="H66">
        <f>IF($A66="",0,SUMIFS('Activity Planner'!$U$5:$U$1004,'Activity Planner'!$C$5:$C$1004,$A66,'Activity Planner'!$E$5:$E$1004,"Event"))</f>
        <v>0</v>
      </c>
      <c r="I66">
        <f>IF($A66="",0,SUMIFS('Activity Planner'!$V$5:$V$1004,'Activity Planner'!$C$5:$C$1004,$A66,'Activity Planner'!$E$5:$E$1004,"Event"))</f>
        <v>0</v>
      </c>
      <c r="J66">
        <f>IF($A66="",0,SUMIFS('Activity Planner'!$W$5:$W$1004,'Activity Planner'!$C$5:$C$1004,$A66,'Activity Planner'!$E$5:$E$1004,"Event"))</f>
        <v>0</v>
      </c>
      <c r="K66">
        <f>IF($A66="",0,SUMIFS('Activity Planner'!$X$5:$X$1004,'Activity Planner'!$C$5:$C$1004,$A66,'Activity Planner'!$E$5:$E$1004,"Event"))</f>
        <v>0</v>
      </c>
      <c r="L66">
        <f>IF($A66="",0,SUMIFS('Activity Planner'!$Y$5:$Y$1004,'Activity Planner'!$C$5:$C$1004,$A66,'Activity Planner'!$E$5:$E$1004,"Event"))</f>
        <v>0</v>
      </c>
      <c r="M66">
        <f>IF($A66="",0,SUMIFS('Activity Planner'!$Z$5:$Z$1004,'Activity Planner'!$C$5:$C$1004,$A66,'Activity Planner'!$E$5:$E$1004,"Event"))</f>
        <v>0</v>
      </c>
      <c r="Q66">
        <f>IF(INDEX('Activity Planner'!$O66:$Z66,SelMonthNum)=1,'Activity Planner'!$F66+ROW()/100000,"")</f>
        <v>0</v>
      </c>
      <c r="R66">
        <f>IF(AND('Activity Planner'!$N66=1,'Activity Planner'!$C66=SelPractice,'Activity Planner'!$AA66&gt;0),'Activity Planner'!$F66+ROW()/100000,"")</f>
        <v>0</v>
      </c>
    </row>
    <row r="67" spans="1:18">
      <c r="A67">
        <f>IF(Lists!$B$9="","",Lists!$B$9)</f>
        <v>0</v>
      </c>
      <c r="B67">
        <f>IF($A67="",0,SUMIFS('Activity Planner'!$O$5:$O$1004,'Activity Planner'!$C$5:$C$1004,$A67,'Activity Planner'!$E$5:$E$1004,"Event"))</f>
        <v>0</v>
      </c>
      <c r="C67">
        <f>IF($A67="",0,SUMIFS('Activity Planner'!$P$5:$P$1004,'Activity Planner'!$C$5:$C$1004,$A67,'Activity Planner'!$E$5:$E$1004,"Event"))</f>
        <v>0</v>
      </c>
      <c r="D67">
        <f>IF($A67="",0,SUMIFS('Activity Planner'!$Q$5:$Q$1004,'Activity Planner'!$C$5:$C$1004,$A67,'Activity Planner'!$E$5:$E$1004,"Event"))</f>
        <v>0</v>
      </c>
      <c r="E67">
        <f>IF($A67="",0,SUMIFS('Activity Planner'!$R$5:$R$1004,'Activity Planner'!$C$5:$C$1004,$A67,'Activity Planner'!$E$5:$E$1004,"Event"))</f>
        <v>0</v>
      </c>
      <c r="F67">
        <f>IF($A67="",0,SUMIFS('Activity Planner'!$S$5:$S$1004,'Activity Planner'!$C$5:$C$1004,$A67,'Activity Planner'!$E$5:$E$1004,"Event"))</f>
        <v>0</v>
      </c>
      <c r="G67">
        <f>IF($A67="",0,SUMIFS('Activity Planner'!$T$5:$T$1004,'Activity Planner'!$C$5:$C$1004,$A67,'Activity Planner'!$E$5:$E$1004,"Event"))</f>
        <v>0</v>
      </c>
      <c r="H67">
        <f>IF($A67="",0,SUMIFS('Activity Planner'!$U$5:$U$1004,'Activity Planner'!$C$5:$C$1004,$A67,'Activity Planner'!$E$5:$E$1004,"Event"))</f>
        <v>0</v>
      </c>
      <c r="I67">
        <f>IF($A67="",0,SUMIFS('Activity Planner'!$V$5:$V$1004,'Activity Planner'!$C$5:$C$1004,$A67,'Activity Planner'!$E$5:$E$1004,"Event"))</f>
        <v>0</v>
      </c>
      <c r="J67">
        <f>IF($A67="",0,SUMIFS('Activity Planner'!$W$5:$W$1004,'Activity Planner'!$C$5:$C$1004,$A67,'Activity Planner'!$E$5:$E$1004,"Event"))</f>
        <v>0</v>
      </c>
      <c r="K67">
        <f>IF($A67="",0,SUMIFS('Activity Planner'!$X$5:$X$1004,'Activity Planner'!$C$5:$C$1004,$A67,'Activity Planner'!$E$5:$E$1004,"Event"))</f>
        <v>0</v>
      </c>
      <c r="L67">
        <f>IF($A67="",0,SUMIFS('Activity Planner'!$Y$5:$Y$1004,'Activity Planner'!$C$5:$C$1004,$A67,'Activity Planner'!$E$5:$E$1004,"Event"))</f>
        <v>0</v>
      </c>
      <c r="M67">
        <f>IF($A67="",0,SUMIFS('Activity Planner'!$Z$5:$Z$1004,'Activity Planner'!$C$5:$C$1004,$A67,'Activity Planner'!$E$5:$E$1004,"Event"))</f>
        <v>0</v>
      </c>
      <c r="Q67">
        <f>IF(INDEX('Activity Planner'!$O67:$Z67,SelMonthNum)=1,'Activity Planner'!$F67+ROW()/100000,"")</f>
        <v>0</v>
      </c>
      <c r="R67">
        <f>IF(AND('Activity Planner'!$N67=1,'Activity Planner'!$C67=SelPractice,'Activity Planner'!$AA67&gt;0),'Activity Planner'!$F67+ROW()/100000,"")</f>
        <v>0</v>
      </c>
    </row>
    <row r="68" spans="1:18">
      <c r="A68">
        <f>IF(Lists!$B$10="","",Lists!$B$10)</f>
        <v>0</v>
      </c>
      <c r="B68">
        <f>IF($A68="",0,SUMIFS('Activity Planner'!$O$5:$O$1004,'Activity Planner'!$C$5:$C$1004,$A68,'Activity Planner'!$E$5:$E$1004,"Event"))</f>
        <v>0</v>
      </c>
      <c r="C68">
        <f>IF($A68="",0,SUMIFS('Activity Planner'!$P$5:$P$1004,'Activity Planner'!$C$5:$C$1004,$A68,'Activity Planner'!$E$5:$E$1004,"Event"))</f>
        <v>0</v>
      </c>
      <c r="D68">
        <f>IF($A68="",0,SUMIFS('Activity Planner'!$Q$5:$Q$1004,'Activity Planner'!$C$5:$C$1004,$A68,'Activity Planner'!$E$5:$E$1004,"Event"))</f>
        <v>0</v>
      </c>
      <c r="E68">
        <f>IF($A68="",0,SUMIFS('Activity Planner'!$R$5:$R$1004,'Activity Planner'!$C$5:$C$1004,$A68,'Activity Planner'!$E$5:$E$1004,"Event"))</f>
        <v>0</v>
      </c>
      <c r="F68">
        <f>IF($A68="",0,SUMIFS('Activity Planner'!$S$5:$S$1004,'Activity Planner'!$C$5:$C$1004,$A68,'Activity Planner'!$E$5:$E$1004,"Event"))</f>
        <v>0</v>
      </c>
      <c r="G68">
        <f>IF($A68="",0,SUMIFS('Activity Planner'!$T$5:$T$1004,'Activity Planner'!$C$5:$C$1004,$A68,'Activity Planner'!$E$5:$E$1004,"Event"))</f>
        <v>0</v>
      </c>
      <c r="H68">
        <f>IF($A68="",0,SUMIFS('Activity Planner'!$U$5:$U$1004,'Activity Planner'!$C$5:$C$1004,$A68,'Activity Planner'!$E$5:$E$1004,"Event"))</f>
        <v>0</v>
      </c>
      <c r="I68">
        <f>IF($A68="",0,SUMIFS('Activity Planner'!$V$5:$V$1004,'Activity Planner'!$C$5:$C$1004,$A68,'Activity Planner'!$E$5:$E$1004,"Event"))</f>
        <v>0</v>
      </c>
      <c r="J68">
        <f>IF($A68="",0,SUMIFS('Activity Planner'!$W$5:$W$1004,'Activity Planner'!$C$5:$C$1004,$A68,'Activity Planner'!$E$5:$E$1004,"Event"))</f>
        <v>0</v>
      </c>
      <c r="K68">
        <f>IF($A68="",0,SUMIFS('Activity Planner'!$X$5:$X$1004,'Activity Planner'!$C$5:$C$1004,$A68,'Activity Planner'!$E$5:$E$1004,"Event"))</f>
        <v>0</v>
      </c>
      <c r="L68">
        <f>IF($A68="",0,SUMIFS('Activity Planner'!$Y$5:$Y$1004,'Activity Planner'!$C$5:$C$1004,$A68,'Activity Planner'!$E$5:$E$1004,"Event"))</f>
        <v>0</v>
      </c>
      <c r="M68">
        <f>IF($A68="",0,SUMIFS('Activity Planner'!$Z$5:$Z$1004,'Activity Planner'!$C$5:$C$1004,$A68,'Activity Planner'!$E$5:$E$1004,"Event"))</f>
        <v>0</v>
      </c>
      <c r="Q68">
        <f>IF(INDEX('Activity Planner'!$O68:$Z68,SelMonthNum)=1,'Activity Planner'!$F68+ROW()/100000,"")</f>
        <v>0</v>
      </c>
      <c r="R68">
        <f>IF(AND('Activity Planner'!$N68=1,'Activity Planner'!$C68=SelPractice,'Activity Planner'!$AA68&gt;0),'Activity Planner'!$F68+ROW()/100000,"")</f>
        <v>0</v>
      </c>
    </row>
    <row r="69" spans="1:18">
      <c r="A69">
        <f>IF(Lists!$B$11="","",Lists!$B$11)</f>
        <v>0</v>
      </c>
      <c r="B69">
        <f>IF($A69="",0,SUMIFS('Activity Planner'!$O$5:$O$1004,'Activity Planner'!$C$5:$C$1004,$A69,'Activity Planner'!$E$5:$E$1004,"Event"))</f>
        <v>0</v>
      </c>
      <c r="C69">
        <f>IF($A69="",0,SUMIFS('Activity Planner'!$P$5:$P$1004,'Activity Planner'!$C$5:$C$1004,$A69,'Activity Planner'!$E$5:$E$1004,"Event"))</f>
        <v>0</v>
      </c>
      <c r="D69">
        <f>IF($A69="",0,SUMIFS('Activity Planner'!$Q$5:$Q$1004,'Activity Planner'!$C$5:$C$1004,$A69,'Activity Planner'!$E$5:$E$1004,"Event"))</f>
        <v>0</v>
      </c>
      <c r="E69">
        <f>IF($A69="",0,SUMIFS('Activity Planner'!$R$5:$R$1004,'Activity Planner'!$C$5:$C$1004,$A69,'Activity Planner'!$E$5:$E$1004,"Event"))</f>
        <v>0</v>
      </c>
      <c r="F69">
        <f>IF($A69="",0,SUMIFS('Activity Planner'!$S$5:$S$1004,'Activity Planner'!$C$5:$C$1004,$A69,'Activity Planner'!$E$5:$E$1004,"Event"))</f>
        <v>0</v>
      </c>
      <c r="G69">
        <f>IF($A69="",0,SUMIFS('Activity Planner'!$T$5:$T$1004,'Activity Planner'!$C$5:$C$1004,$A69,'Activity Planner'!$E$5:$E$1004,"Event"))</f>
        <v>0</v>
      </c>
      <c r="H69">
        <f>IF($A69="",0,SUMIFS('Activity Planner'!$U$5:$U$1004,'Activity Planner'!$C$5:$C$1004,$A69,'Activity Planner'!$E$5:$E$1004,"Event"))</f>
        <v>0</v>
      </c>
      <c r="I69">
        <f>IF($A69="",0,SUMIFS('Activity Planner'!$V$5:$V$1004,'Activity Planner'!$C$5:$C$1004,$A69,'Activity Planner'!$E$5:$E$1004,"Event"))</f>
        <v>0</v>
      </c>
      <c r="J69">
        <f>IF($A69="",0,SUMIFS('Activity Planner'!$W$5:$W$1004,'Activity Planner'!$C$5:$C$1004,$A69,'Activity Planner'!$E$5:$E$1004,"Event"))</f>
        <v>0</v>
      </c>
      <c r="K69">
        <f>IF($A69="",0,SUMIFS('Activity Planner'!$X$5:$X$1004,'Activity Planner'!$C$5:$C$1004,$A69,'Activity Planner'!$E$5:$E$1004,"Event"))</f>
        <v>0</v>
      </c>
      <c r="L69">
        <f>IF($A69="",0,SUMIFS('Activity Planner'!$Y$5:$Y$1004,'Activity Planner'!$C$5:$C$1004,$A69,'Activity Planner'!$E$5:$E$1004,"Event"))</f>
        <v>0</v>
      </c>
      <c r="M69">
        <f>IF($A69="",0,SUMIFS('Activity Planner'!$Z$5:$Z$1004,'Activity Planner'!$C$5:$C$1004,$A69,'Activity Planner'!$E$5:$E$1004,"Event"))</f>
        <v>0</v>
      </c>
      <c r="Q69">
        <f>IF(INDEX('Activity Planner'!$O69:$Z69,SelMonthNum)=1,'Activity Planner'!$F69+ROW()/100000,"")</f>
        <v>0</v>
      </c>
      <c r="R69">
        <f>IF(AND('Activity Planner'!$N69=1,'Activity Planner'!$C69=SelPractice,'Activity Planner'!$AA69&gt;0),'Activity Planner'!$F69+ROW()/100000,"")</f>
        <v>0</v>
      </c>
    </row>
    <row r="70" spans="1:18">
      <c r="A70">
        <f>IF(Lists!$B$12="","",Lists!$B$12)</f>
        <v>0</v>
      </c>
      <c r="B70">
        <f>IF($A70="",0,SUMIFS('Activity Planner'!$O$5:$O$1004,'Activity Planner'!$C$5:$C$1004,$A70,'Activity Planner'!$E$5:$E$1004,"Event"))</f>
        <v>0</v>
      </c>
      <c r="C70">
        <f>IF($A70="",0,SUMIFS('Activity Planner'!$P$5:$P$1004,'Activity Planner'!$C$5:$C$1004,$A70,'Activity Planner'!$E$5:$E$1004,"Event"))</f>
        <v>0</v>
      </c>
      <c r="D70">
        <f>IF($A70="",0,SUMIFS('Activity Planner'!$Q$5:$Q$1004,'Activity Planner'!$C$5:$C$1004,$A70,'Activity Planner'!$E$5:$E$1004,"Event"))</f>
        <v>0</v>
      </c>
      <c r="E70">
        <f>IF($A70="",0,SUMIFS('Activity Planner'!$R$5:$R$1004,'Activity Planner'!$C$5:$C$1004,$A70,'Activity Planner'!$E$5:$E$1004,"Event"))</f>
        <v>0</v>
      </c>
      <c r="F70">
        <f>IF($A70="",0,SUMIFS('Activity Planner'!$S$5:$S$1004,'Activity Planner'!$C$5:$C$1004,$A70,'Activity Planner'!$E$5:$E$1004,"Event"))</f>
        <v>0</v>
      </c>
      <c r="G70">
        <f>IF($A70="",0,SUMIFS('Activity Planner'!$T$5:$T$1004,'Activity Planner'!$C$5:$C$1004,$A70,'Activity Planner'!$E$5:$E$1004,"Event"))</f>
        <v>0</v>
      </c>
      <c r="H70">
        <f>IF($A70="",0,SUMIFS('Activity Planner'!$U$5:$U$1004,'Activity Planner'!$C$5:$C$1004,$A70,'Activity Planner'!$E$5:$E$1004,"Event"))</f>
        <v>0</v>
      </c>
      <c r="I70">
        <f>IF($A70="",0,SUMIFS('Activity Planner'!$V$5:$V$1004,'Activity Planner'!$C$5:$C$1004,$A70,'Activity Planner'!$E$5:$E$1004,"Event"))</f>
        <v>0</v>
      </c>
      <c r="J70">
        <f>IF($A70="",0,SUMIFS('Activity Planner'!$W$5:$W$1004,'Activity Planner'!$C$5:$C$1004,$A70,'Activity Planner'!$E$5:$E$1004,"Event"))</f>
        <v>0</v>
      </c>
      <c r="K70">
        <f>IF($A70="",0,SUMIFS('Activity Planner'!$X$5:$X$1004,'Activity Planner'!$C$5:$C$1004,$A70,'Activity Planner'!$E$5:$E$1004,"Event"))</f>
        <v>0</v>
      </c>
      <c r="L70">
        <f>IF($A70="",0,SUMIFS('Activity Planner'!$Y$5:$Y$1004,'Activity Planner'!$C$5:$C$1004,$A70,'Activity Planner'!$E$5:$E$1004,"Event"))</f>
        <v>0</v>
      </c>
      <c r="M70">
        <f>IF($A70="",0,SUMIFS('Activity Planner'!$Z$5:$Z$1004,'Activity Planner'!$C$5:$C$1004,$A70,'Activity Planner'!$E$5:$E$1004,"Event"))</f>
        <v>0</v>
      </c>
      <c r="Q70">
        <f>IF(INDEX('Activity Planner'!$O70:$Z70,SelMonthNum)=1,'Activity Planner'!$F70+ROW()/100000,"")</f>
        <v>0</v>
      </c>
      <c r="R70">
        <f>IF(AND('Activity Planner'!$N70=1,'Activity Planner'!$C70=SelPractice,'Activity Planner'!$AA70&gt;0),'Activity Planner'!$F70+ROW()/100000,"")</f>
        <v>0</v>
      </c>
    </row>
    <row r="71" spans="1:18">
      <c r="A71">
        <f>IF(Lists!$B$13="","",Lists!$B$13)</f>
        <v>0</v>
      </c>
      <c r="B71">
        <f>IF($A71="",0,SUMIFS('Activity Planner'!$O$5:$O$1004,'Activity Planner'!$C$5:$C$1004,$A71,'Activity Planner'!$E$5:$E$1004,"Event"))</f>
        <v>0</v>
      </c>
      <c r="C71">
        <f>IF($A71="",0,SUMIFS('Activity Planner'!$P$5:$P$1004,'Activity Planner'!$C$5:$C$1004,$A71,'Activity Planner'!$E$5:$E$1004,"Event"))</f>
        <v>0</v>
      </c>
      <c r="D71">
        <f>IF($A71="",0,SUMIFS('Activity Planner'!$Q$5:$Q$1004,'Activity Planner'!$C$5:$C$1004,$A71,'Activity Planner'!$E$5:$E$1004,"Event"))</f>
        <v>0</v>
      </c>
      <c r="E71">
        <f>IF($A71="",0,SUMIFS('Activity Planner'!$R$5:$R$1004,'Activity Planner'!$C$5:$C$1004,$A71,'Activity Planner'!$E$5:$E$1004,"Event"))</f>
        <v>0</v>
      </c>
      <c r="F71">
        <f>IF($A71="",0,SUMIFS('Activity Planner'!$S$5:$S$1004,'Activity Planner'!$C$5:$C$1004,$A71,'Activity Planner'!$E$5:$E$1004,"Event"))</f>
        <v>0</v>
      </c>
      <c r="G71">
        <f>IF($A71="",0,SUMIFS('Activity Planner'!$T$5:$T$1004,'Activity Planner'!$C$5:$C$1004,$A71,'Activity Planner'!$E$5:$E$1004,"Event"))</f>
        <v>0</v>
      </c>
      <c r="H71">
        <f>IF($A71="",0,SUMIFS('Activity Planner'!$U$5:$U$1004,'Activity Planner'!$C$5:$C$1004,$A71,'Activity Planner'!$E$5:$E$1004,"Event"))</f>
        <v>0</v>
      </c>
      <c r="I71">
        <f>IF($A71="",0,SUMIFS('Activity Planner'!$V$5:$V$1004,'Activity Planner'!$C$5:$C$1004,$A71,'Activity Planner'!$E$5:$E$1004,"Event"))</f>
        <v>0</v>
      </c>
      <c r="J71">
        <f>IF($A71="",0,SUMIFS('Activity Planner'!$W$5:$W$1004,'Activity Planner'!$C$5:$C$1004,$A71,'Activity Planner'!$E$5:$E$1004,"Event"))</f>
        <v>0</v>
      </c>
      <c r="K71">
        <f>IF($A71="",0,SUMIFS('Activity Planner'!$X$5:$X$1004,'Activity Planner'!$C$5:$C$1004,$A71,'Activity Planner'!$E$5:$E$1004,"Event"))</f>
        <v>0</v>
      </c>
      <c r="L71">
        <f>IF($A71="",0,SUMIFS('Activity Planner'!$Y$5:$Y$1004,'Activity Planner'!$C$5:$C$1004,$A71,'Activity Planner'!$E$5:$E$1004,"Event"))</f>
        <v>0</v>
      </c>
      <c r="M71">
        <f>IF($A71="",0,SUMIFS('Activity Planner'!$Z$5:$Z$1004,'Activity Planner'!$C$5:$C$1004,$A71,'Activity Planner'!$E$5:$E$1004,"Event"))</f>
        <v>0</v>
      </c>
      <c r="Q71">
        <f>IF(INDEX('Activity Planner'!$O71:$Z71,SelMonthNum)=1,'Activity Planner'!$F71+ROW()/100000,"")</f>
        <v>0</v>
      </c>
      <c r="R71">
        <f>IF(AND('Activity Planner'!$N71=1,'Activity Planner'!$C71=SelPractice,'Activity Planner'!$AA71&gt;0),'Activity Planner'!$F71+ROW()/100000,"")</f>
        <v>0</v>
      </c>
    </row>
    <row r="72" spans="1:18">
      <c r="A72">
        <f>IF(Lists!$B$14="","",Lists!$B$14)</f>
        <v>0</v>
      </c>
      <c r="B72">
        <f>IF($A72="",0,SUMIFS('Activity Planner'!$O$5:$O$1004,'Activity Planner'!$C$5:$C$1004,$A72,'Activity Planner'!$E$5:$E$1004,"Event"))</f>
        <v>0</v>
      </c>
      <c r="C72">
        <f>IF($A72="",0,SUMIFS('Activity Planner'!$P$5:$P$1004,'Activity Planner'!$C$5:$C$1004,$A72,'Activity Planner'!$E$5:$E$1004,"Event"))</f>
        <v>0</v>
      </c>
      <c r="D72">
        <f>IF($A72="",0,SUMIFS('Activity Planner'!$Q$5:$Q$1004,'Activity Planner'!$C$5:$C$1004,$A72,'Activity Planner'!$E$5:$E$1004,"Event"))</f>
        <v>0</v>
      </c>
      <c r="E72">
        <f>IF($A72="",0,SUMIFS('Activity Planner'!$R$5:$R$1004,'Activity Planner'!$C$5:$C$1004,$A72,'Activity Planner'!$E$5:$E$1004,"Event"))</f>
        <v>0</v>
      </c>
      <c r="F72">
        <f>IF($A72="",0,SUMIFS('Activity Planner'!$S$5:$S$1004,'Activity Planner'!$C$5:$C$1004,$A72,'Activity Planner'!$E$5:$E$1004,"Event"))</f>
        <v>0</v>
      </c>
      <c r="G72">
        <f>IF($A72="",0,SUMIFS('Activity Planner'!$T$5:$T$1004,'Activity Planner'!$C$5:$C$1004,$A72,'Activity Planner'!$E$5:$E$1004,"Event"))</f>
        <v>0</v>
      </c>
      <c r="H72">
        <f>IF($A72="",0,SUMIFS('Activity Planner'!$U$5:$U$1004,'Activity Planner'!$C$5:$C$1004,$A72,'Activity Planner'!$E$5:$E$1004,"Event"))</f>
        <v>0</v>
      </c>
      <c r="I72">
        <f>IF($A72="",0,SUMIFS('Activity Planner'!$V$5:$V$1004,'Activity Planner'!$C$5:$C$1004,$A72,'Activity Planner'!$E$5:$E$1004,"Event"))</f>
        <v>0</v>
      </c>
      <c r="J72">
        <f>IF($A72="",0,SUMIFS('Activity Planner'!$W$5:$W$1004,'Activity Planner'!$C$5:$C$1004,$A72,'Activity Planner'!$E$5:$E$1004,"Event"))</f>
        <v>0</v>
      </c>
      <c r="K72">
        <f>IF($A72="",0,SUMIFS('Activity Planner'!$X$5:$X$1004,'Activity Planner'!$C$5:$C$1004,$A72,'Activity Planner'!$E$5:$E$1004,"Event"))</f>
        <v>0</v>
      </c>
      <c r="L72">
        <f>IF($A72="",0,SUMIFS('Activity Planner'!$Y$5:$Y$1004,'Activity Planner'!$C$5:$C$1004,$A72,'Activity Planner'!$E$5:$E$1004,"Event"))</f>
        <v>0</v>
      </c>
      <c r="M72">
        <f>IF($A72="",0,SUMIFS('Activity Planner'!$Z$5:$Z$1004,'Activity Planner'!$C$5:$C$1004,$A72,'Activity Planner'!$E$5:$E$1004,"Event"))</f>
        <v>0</v>
      </c>
      <c r="Q72">
        <f>IF(INDEX('Activity Planner'!$O72:$Z72,SelMonthNum)=1,'Activity Planner'!$F72+ROW()/100000,"")</f>
        <v>0</v>
      </c>
      <c r="R72">
        <f>IF(AND('Activity Planner'!$N72=1,'Activity Planner'!$C72=SelPractice,'Activity Planner'!$AA72&gt;0),'Activity Planner'!$F72+ROW()/100000,"")</f>
        <v>0</v>
      </c>
    </row>
    <row r="73" spans="1:18">
      <c r="A73">
        <f>IF(Lists!$B$15="","",Lists!$B$15)</f>
        <v>0</v>
      </c>
      <c r="B73">
        <f>IF($A73="",0,SUMIFS('Activity Planner'!$O$5:$O$1004,'Activity Planner'!$C$5:$C$1004,$A73,'Activity Planner'!$E$5:$E$1004,"Event"))</f>
        <v>0</v>
      </c>
      <c r="C73">
        <f>IF($A73="",0,SUMIFS('Activity Planner'!$P$5:$P$1004,'Activity Planner'!$C$5:$C$1004,$A73,'Activity Planner'!$E$5:$E$1004,"Event"))</f>
        <v>0</v>
      </c>
      <c r="D73">
        <f>IF($A73="",0,SUMIFS('Activity Planner'!$Q$5:$Q$1004,'Activity Planner'!$C$5:$C$1004,$A73,'Activity Planner'!$E$5:$E$1004,"Event"))</f>
        <v>0</v>
      </c>
      <c r="E73">
        <f>IF($A73="",0,SUMIFS('Activity Planner'!$R$5:$R$1004,'Activity Planner'!$C$5:$C$1004,$A73,'Activity Planner'!$E$5:$E$1004,"Event"))</f>
        <v>0</v>
      </c>
      <c r="F73">
        <f>IF($A73="",0,SUMIFS('Activity Planner'!$S$5:$S$1004,'Activity Planner'!$C$5:$C$1004,$A73,'Activity Planner'!$E$5:$E$1004,"Event"))</f>
        <v>0</v>
      </c>
      <c r="G73">
        <f>IF($A73="",0,SUMIFS('Activity Planner'!$T$5:$T$1004,'Activity Planner'!$C$5:$C$1004,$A73,'Activity Planner'!$E$5:$E$1004,"Event"))</f>
        <v>0</v>
      </c>
      <c r="H73">
        <f>IF($A73="",0,SUMIFS('Activity Planner'!$U$5:$U$1004,'Activity Planner'!$C$5:$C$1004,$A73,'Activity Planner'!$E$5:$E$1004,"Event"))</f>
        <v>0</v>
      </c>
      <c r="I73">
        <f>IF($A73="",0,SUMIFS('Activity Planner'!$V$5:$V$1004,'Activity Planner'!$C$5:$C$1004,$A73,'Activity Planner'!$E$5:$E$1004,"Event"))</f>
        <v>0</v>
      </c>
      <c r="J73">
        <f>IF($A73="",0,SUMIFS('Activity Planner'!$W$5:$W$1004,'Activity Planner'!$C$5:$C$1004,$A73,'Activity Planner'!$E$5:$E$1004,"Event"))</f>
        <v>0</v>
      </c>
      <c r="K73">
        <f>IF($A73="",0,SUMIFS('Activity Planner'!$X$5:$X$1004,'Activity Planner'!$C$5:$C$1004,$A73,'Activity Planner'!$E$5:$E$1004,"Event"))</f>
        <v>0</v>
      </c>
      <c r="L73">
        <f>IF($A73="",0,SUMIFS('Activity Planner'!$Y$5:$Y$1004,'Activity Planner'!$C$5:$C$1004,$A73,'Activity Planner'!$E$5:$E$1004,"Event"))</f>
        <v>0</v>
      </c>
      <c r="M73">
        <f>IF($A73="",0,SUMIFS('Activity Planner'!$Z$5:$Z$1004,'Activity Planner'!$C$5:$C$1004,$A73,'Activity Planner'!$E$5:$E$1004,"Event"))</f>
        <v>0</v>
      </c>
      <c r="Q73">
        <f>IF(INDEX('Activity Planner'!$O73:$Z73,SelMonthNum)=1,'Activity Planner'!$F73+ROW()/100000,"")</f>
        <v>0</v>
      </c>
      <c r="R73">
        <f>IF(AND('Activity Planner'!$N73=1,'Activity Planner'!$C73=SelPractice,'Activity Planner'!$AA73&gt;0),'Activity Planner'!$F73+ROW()/100000,"")</f>
        <v>0</v>
      </c>
    </row>
    <row r="74" spans="1:18">
      <c r="A74">
        <f>IF(Lists!$B$16="","",Lists!$B$16)</f>
        <v>0</v>
      </c>
      <c r="B74">
        <f>IF($A74="",0,SUMIFS('Activity Planner'!$O$5:$O$1004,'Activity Planner'!$C$5:$C$1004,$A74,'Activity Planner'!$E$5:$E$1004,"Event"))</f>
        <v>0</v>
      </c>
      <c r="C74">
        <f>IF($A74="",0,SUMIFS('Activity Planner'!$P$5:$P$1004,'Activity Planner'!$C$5:$C$1004,$A74,'Activity Planner'!$E$5:$E$1004,"Event"))</f>
        <v>0</v>
      </c>
      <c r="D74">
        <f>IF($A74="",0,SUMIFS('Activity Planner'!$Q$5:$Q$1004,'Activity Planner'!$C$5:$C$1004,$A74,'Activity Planner'!$E$5:$E$1004,"Event"))</f>
        <v>0</v>
      </c>
      <c r="E74">
        <f>IF($A74="",0,SUMIFS('Activity Planner'!$R$5:$R$1004,'Activity Planner'!$C$5:$C$1004,$A74,'Activity Planner'!$E$5:$E$1004,"Event"))</f>
        <v>0</v>
      </c>
      <c r="F74">
        <f>IF($A74="",0,SUMIFS('Activity Planner'!$S$5:$S$1004,'Activity Planner'!$C$5:$C$1004,$A74,'Activity Planner'!$E$5:$E$1004,"Event"))</f>
        <v>0</v>
      </c>
      <c r="G74">
        <f>IF($A74="",0,SUMIFS('Activity Planner'!$T$5:$T$1004,'Activity Planner'!$C$5:$C$1004,$A74,'Activity Planner'!$E$5:$E$1004,"Event"))</f>
        <v>0</v>
      </c>
      <c r="H74">
        <f>IF($A74="",0,SUMIFS('Activity Planner'!$U$5:$U$1004,'Activity Planner'!$C$5:$C$1004,$A74,'Activity Planner'!$E$5:$E$1004,"Event"))</f>
        <v>0</v>
      </c>
      <c r="I74">
        <f>IF($A74="",0,SUMIFS('Activity Planner'!$V$5:$V$1004,'Activity Planner'!$C$5:$C$1004,$A74,'Activity Planner'!$E$5:$E$1004,"Event"))</f>
        <v>0</v>
      </c>
      <c r="J74">
        <f>IF($A74="",0,SUMIFS('Activity Planner'!$W$5:$W$1004,'Activity Planner'!$C$5:$C$1004,$A74,'Activity Planner'!$E$5:$E$1004,"Event"))</f>
        <v>0</v>
      </c>
      <c r="K74">
        <f>IF($A74="",0,SUMIFS('Activity Planner'!$X$5:$X$1004,'Activity Planner'!$C$5:$C$1004,$A74,'Activity Planner'!$E$5:$E$1004,"Event"))</f>
        <v>0</v>
      </c>
      <c r="L74">
        <f>IF($A74="",0,SUMIFS('Activity Planner'!$Y$5:$Y$1004,'Activity Planner'!$C$5:$C$1004,$A74,'Activity Planner'!$E$5:$E$1004,"Event"))</f>
        <v>0</v>
      </c>
      <c r="M74">
        <f>IF($A74="",0,SUMIFS('Activity Planner'!$Z$5:$Z$1004,'Activity Planner'!$C$5:$C$1004,$A74,'Activity Planner'!$E$5:$E$1004,"Event"))</f>
        <v>0</v>
      </c>
      <c r="Q74">
        <f>IF(INDEX('Activity Planner'!$O74:$Z74,SelMonthNum)=1,'Activity Planner'!$F74+ROW()/100000,"")</f>
        <v>0</v>
      </c>
      <c r="R74">
        <f>IF(AND('Activity Planner'!$N74=1,'Activity Planner'!$C74=SelPractice,'Activity Planner'!$AA74&gt;0),'Activity Planner'!$F74+ROW()/100000,"")</f>
        <v>0</v>
      </c>
    </row>
    <row r="75" spans="1:18">
      <c r="Q75">
        <f>IF(INDEX('Activity Planner'!$O75:$Z75,SelMonthNum)=1,'Activity Planner'!$F75+ROW()/100000,"")</f>
        <v>0</v>
      </c>
      <c r="R75">
        <f>IF(AND('Activity Planner'!$N75=1,'Activity Planner'!$C75=SelPractice,'Activity Planner'!$AA75&gt;0),'Activity Planner'!$F75+ROW()/100000,"")</f>
        <v>0</v>
      </c>
    </row>
    <row r="76" spans="1:18">
      <c r="Q76">
        <f>IF(INDEX('Activity Planner'!$O76:$Z76,SelMonthNum)=1,'Activity Planner'!$F76+ROW()/100000,"")</f>
        <v>0</v>
      </c>
      <c r="R76">
        <f>IF(AND('Activity Planner'!$N76=1,'Activity Planner'!$C76=SelPractice,'Activity Planner'!$AA76&gt;0),'Activity Planner'!$F76+ROW()/100000,"")</f>
        <v>0</v>
      </c>
    </row>
    <row r="77" spans="1:18">
      <c r="Q77">
        <f>IF(INDEX('Activity Planner'!$O77:$Z77,SelMonthNum)=1,'Activity Planner'!$F77+ROW()/100000,"")</f>
        <v>0</v>
      </c>
      <c r="R77">
        <f>IF(AND('Activity Planner'!$N77=1,'Activity Planner'!$C77=SelPractice,'Activity Planner'!$AA77&gt;0),'Activity Planner'!$F77+ROW()/100000,"")</f>
        <v>0</v>
      </c>
    </row>
    <row r="78" spans="1:18">
      <c r="A78">
        <f>IF(Lists!$B$5="","",Lists!$B$5)</f>
        <v>0</v>
      </c>
      <c r="B78">
        <f>IF(B3=0,0,IF(AND(B48&gt;=B33,B48&gt;=B18),3,IF(B33&gt;=B18,2,1)))</f>
        <v>0</v>
      </c>
      <c r="C78">
        <f>IF(C3=0,0,IF(AND(C48&gt;=C33,C48&gt;=C18),3,IF(C33&gt;=C18,2,1)))</f>
        <v>0</v>
      </c>
      <c r="D78">
        <f>IF(D3=0,0,IF(AND(D48&gt;=D33,D48&gt;=D18),3,IF(D33&gt;=D18,2,1)))</f>
        <v>0</v>
      </c>
      <c r="E78">
        <f>IF(E3=0,0,IF(AND(E48&gt;=E33,E48&gt;=E18),3,IF(E33&gt;=E18,2,1)))</f>
        <v>0</v>
      </c>
      <c r="F78">
        <f>IF(F3=0,0,IF(AND(F48&gt;=F33,F48&gt;=F18),3,IF(F33&gt;=F18,2,1)))</f>
        <v>0</v>
      </c>
      <c r="G78">
        <f>IF(G3=0,0,IF(AND(G48&gt;=G33,G48&gt;=G18),3,IF(G33&gt;=G18,2,1)))</f>
        <v>0</v>
      </c>
      <c r="H78">
        <f>IF(H3=0,0,IF(AND(H48&gt;=H33,H48&gt;=H18),3,IF(H33&gt;=H18,2,1)))</f>
        <v>0</v>
      </c>
      <c r="I78">
        <f>IF(I3=0,0,IF(AND(I48&gt;=I33,I48&gt;=I18),3,IF(I33&gt;=I18,2,1)))</f>
        <v>0</v>
      </c>
      <c r="J78">
        <f>IF(J3=0,0,IF(AND(J48&gt;=J33,J48&gt;=J18),3,IF(J33&gt;=J18,2,1)))</f>
        <v>0</v>
      </c>
      <c r="K78">
        <f>IF(K3=0,0,IF(AND(K48&gt;=K33,K48&gt;=K18),3,IF(K33&gt;=K18,2,1)))</f>
        <v>0</v>
      </c>
      <c r="L78">
        <f>IF(L3=0,0,IF(AND(L48&gt;=L33,L48&gt;=L18),3,IF(L33&gt;=L18,2,1)))</f>
        <v>0</v>
      </c>
      <c r="M78">
        <f>IF(M3=0,0,IF(AND(M48&gt;=M33,M48&gt;=M18),3,IF(M33&gt;=M18,2,1)))</f>
        <v>0</v>
      </c>
      <c r="Q78">
        <f>IF(INDEX('Activity Planner'!$O78:$Z78,SelMonthNum)=1,'Activity Planner'!$F78+ROW()/100000,"")</f>
        <v>0</v>
      </c>
      <c r="R78">
        <f>IF(AND('Activity Planner'!$N78=1,'Activity Planner'!$C78=SelPractice,'Activity Planner'!$AA78&gt;0),'Activity Planner'!$F78+ROW()/100000,"")</f>
        <v>0</v>
      </c>
    </row>
    <row r="79" spans="1:18">
      <c r="A79">
        <f>IF(Lists!$B$6="","",Lists!$B$6)</f>
        <v>0</v>
      </c>
      <c r="B79">
        <f>IF(B4=0,0,IF(AND(B49&gt;=B34,B49&gt;=B19),3,IF(B34&gt;=B19,2,1)))</f>
        <v>0</v>
      </c>
      <c r="C79">
        <f>IF(C4=0,0,IF(AND(C49&gt;=C34,C49&gt;=C19),3,IF(C34&gt;=C19,2,1)))</f>
        <v>0</v>
      </c>
      <c r="D79">
        <f>IF(D4=0,0,IF(AND(D49&gt;=D34,D49&gt;=D19),3,IF(D34&gt;=D19,2,1)))</f>
        <v>0</v>
      </c>
      <c r="E79">
        <f>IF(E4=0,0,IF(AND(E49&gt;=E34,E49&gt;=E19),3,IF(E34&gt;=E19,2,1)))</f>
        <v>0</v>
      </c>
      <c r="F79">
        <f>IF(F4=0,0,IF(AND(F49&gt;=F34,F49&gt;=F19),3,IF(F34&gt;=F19,2,1)))</f>
        <v>0</v>
      </c>
      <c r="G79">
        <f>IF(G4=0,0,IF(AND(G49&gt;=G34,G49&gt;=G19),3,IF(G34&gt;=G19,2,1)))</f>
        <v>0</v>
      </c>
      <c r="H79">
        <f>IF(H4=0,0,IF(AND(H49&gt;=H34,H49&gt;=H19),3,IF(H34&gt;=H19,2,1)))</f>
        <v>0</v>
      </c>
      <c r="I79">
        <f>IF(I4=0,0,IF(AND(I49&gt;=I34,I49&gt;=I19),3,IF(I34&gt;=I19,2,1)))</f>
        <v>0</v>
      </c>
      <c r="J79">
        <f>IF(J4=0,0,IF(AND(J49&gt;=J34,J49&gt;=J19),3,IF(J34&gt;=J19,2,1)))</f>
        <v>0</v>
      </c>
      <c r="K79">
        <f>IF(K4=0,0,IF(AND(K49&gt;=K34,K49&gt;=K19),3,IF(K34&gt;=K19,2,1)))</f>
        <v>0</v>
      </c>
      <c r="L79">
        <f>IF(L4=0,0,IF(AND(L49&gt;=L34,L49&gt;=L19),3,IF(L34&gt;=L19,2,1)))</f>
        <v>0</v>
      </c>
      <c r="M79">
        <f>IF(M4=0,0,IF(AND(M49&gt;=M34,M49&gt;=M19),3,IF(M34&gt;=M19,2,1)))</f>
        <v>0</v>
      </c>
      <c r="Q79">
        <f>IF(INDEX('Activity Planner'!$O79:$Z79,SelMonthNum)=1,'Activity Planner'!$F79+ROW()/100000,"")</f>
        <v>0</v>
      </c>
      <c r="R79">
        <f>IF(AND('Activity Planner'!$N79=1,'Activity Planner'!$C79=SelPractice,'Activity Planner'!$AA79&gt;0),'Activity Planner'!$F79+ROW()/100000,"")</f>
        <v>0</v>
      </c>
    </row>
    <row r="80" spans="1:18">
      <c r="A80">
        <f>IF(Lists!$B$7="","",Lists!$B$7)</f>
        <v>0</v>
      </c>
      <c r="B80">
        <f>IF(B5=0,0,IF(AND(B50&gt;=B35,B50&gt;=B20),3,IF(B35&gt;=B20,2,1)))</f>
        <v>0</v>
      </c>
      <c r="C80">
        <f>IF(C5=0,0,IF(AND(C50&gt;=C35,C50&gt;=C20),3,IF(C35&gt;=C20,2,1)))</f>
        <v>0</v>
      </c>
      <c r="D80">
        <f>IF(D5=0,0,IF(AND(D50&gt;=D35,D50&gt;=D20),3,IF(D35&gt;=D20,2,1)))</f>
        <v>0</v>
      </c>
      <c r="E80">
        <f>IF(E5=0,0,IF(AND(E50&gt;=E35,E50&gt;=E20),3,IF(E35&gt;=E20,2,1)))</f>
        <v>0</v>
      </c>
      <c r="F80">
        <f>IF(F5=0,0,IF(AND(F50&gt;=F35,F50&gt;=F20),3,IF(F35&gt;=F20,2,1)))</f>
        <v>0</v>
      </c>
      <c r="G80">
        <f>IF(G5=0,0,IF(AND(G50&gt;=G35,G50&gt;=G20),3,IF(G35&gt;=G20,2,1)))</f>
        <v>0</v>
      </c>
      <c r="H80">
        <f>IF(H5=0,0,IF(AND(H50&gt;=H35,H50&gt;=H20),3,IF(H35&gt;=H20,2,1)))</f>
        <v>0</v>
      </c>
      <c r="I80">
        <f>IF(I5=0,0,IF(AND(I50&gt;=I35,I50&gt;=I20),3,IF(I35&gt;=I20,2,1)))</f>
        <v>0</v>
      </c>
      <c r="J80">
        <f>IF(J5=0,0,IF(AND(J50&gt;=J35,J50&gt;=J20),3,IF(J35&gt;=J20,2,1)))</f>
        <v>0</v>
      </c>
      <c r="K80">
        <f>IF(K5=0,0,IF(AND(K50&gt;=K35,K50&gt;=K20),3,IF(K35&gt;=K20,2,1)))</f>
        <v>0</v>
      </c>
      <c r="L80">
        <f>IF(L5=0,0,IF(AND(L50&gt;=L35,L50&gt;=L20),3,IF(L35&gt;=L20,2,1)))</f>
        <v>0</v>
      </c>
      <c r="M80">
        <f>IF(M5=0,0,IF(AND(M50&gt;=M35,M50&gt;=M20),3,IF(M35&gt;=M20,2,1)))</f>
        <v>0</v>
      </c>
      <c r="Q80">
        <f>IF(INDEX('Activity Planner'!$O80:$Z80,SelMonthNum)=1,'Activity Planner'!$F80+ROW()/100000,"")</f>
        <v>0</v>
      </c>
      <c r="R80">
        <f>IF(AND('Activity Planner'!$N80=1,'Activity Planner'!$C80=SelPractice,'Activity Planner'!$AA80&gt;0),'Activity Planner'!$F80+ROW()/100000,"")</f>
        <v>0</v>
      </c>
    </row>
    <row r="81" spans="1:18">
      <c r="A81">
        <f>IF(Lists!$B$8="","",Lists!$B$8)</f>
        <v>0</v>
      </c>
      <c r="B81">
        <f>IF(B6=0,0,IF(AND(B51&gt;=B36,B51&gt;=B21),3,IF(B36&gt;=B21,2,1)))</f>
        <v>0</v>
      </c>
      <c r="C81">
        <f>IF(C6=0,0,IF(AND(C51&gt;=C36,C51&gt;=C21),3,IF(C36&gt;=C21,2,1)))</f>
        <v>0</v>
      </c>
      <c r="D81">
        <f>IF(D6=0,0,IF(AND(D51&gt;=D36,D51&gt;=D21),3,IF(D36&gt;=D21,2,1)))</f>
        <v>0</v>
      </c>
      <c r="E81">
        <f>IF(E6=0,0,IF(AND(E51&gt;=E36,E51&gt;=E21),3,IF(E36&gt;=E21,2,1)))</f>
        <v>0</v>
      </c>
      <c r="F81">
        <f>IF(F6=0,0,IF(AND(F51&gt;=F36,F51&gt;=F21),3,IF(F36&gt;=F21,2,1)))</f>
        <v>0</v>
      </c>
      <c r="G81">
        <f>IF(G6=0,0,IF(AND(G51&gt;=G36,G51&gt;=G21),3,IF(G36&gt;=G21,2,1)))</f>
        <v>0</v>
      </c>
      <c r="H81">
        <f>IF(H6=0,0,IF(AND(H51&gt;=H36,H51&gt;=H21),3,IF(H36&gt;=H21,2,1)))</f>
        <v>0</v>
      </c>
      <c r="I81">
        <f>IF(I6=0,0,IF(AND(I51&gt;=I36,I51&gt;=I21),3,IF(I36&gt;=I21,2,1)))</f>
        <v>0</v>
      </c>
      <c r="J81">
        <f>IF(J6=0,0,IF(AND(J51&gt;=J36,J51&gt;=J21),3,IF(J36&gt;=J21,2,1)))</f>
        <v>0</v>
      </c>
      <c r="K81">
        <f>IF(K6=0,0,IF(AND(K51&gt;=K36,K51&gt;=K21),3,IF(K36&gt;=K21,2,1)))</f>
        <v>0</v>
      </c>
      <c r="L81">
        <f>IF(L6=0,0,IF(AND(L51&gt;=L36,L51&gt;=L21),3,IF(L36&gt;=L21,2,1)))</f>
        <v>0</v>
      </c>
      <c r="M81">
        <f>IF(M6=0,0,IF(AND(M51&gt;=M36,M51&gt;=M21),3,IF(M36&gt;=M21,2,1)))</f>
        <v>0</v>
      </c>
      <c r="Q81">
        <f>IF(INDEX('Activity Planner'!$O81:$Z81,SelMonthNum)=1,'Activity Planner'!$F81+ROW()/100000,"")</f>
        <v>0</v>
      </c>
      <c r="R81">
        <f>IF(AND('Activity Planner'!$N81=1,'Activity Planner'!$C81=SelPractice,'Activity Planner'!$AA81&gt;0),'Activity Planner'!$F81+ROW()/100000,"")</f>
        <v>0</v>
      </c>
    </row>
    <row r="82" spans="1:18">
      <c r="A82">
        <f>IF(Lists!$B$9="","",Lists!$B$9)</f>
        <v>0</v>
      </c>
      <c r="B82">
        <f>IF(B7=0,0,IF(AND(B52&gt;=B37,B52&gt;=B22),3,IF(B37&gt;=B22,2,1)))</f>
        <v>0</v>
      </c>
      <c r="C82">
        <f>IF(C7=0,0,IF(AND(C52&gt;=C37,C52&gt;=C22),3,IF(C37&gt;=C22,2,1)))</f>
        <v>0</v>
      </c>
      <c r="D82">
        <f>IF(D7=0,0,IF(AND(D52&gt;=D37,D52&gt;=D22),3,IF(D37&gt;=D22,2,1)))</f>
        <v>0</v>
      </c>
      <c r="E82">
        <f>IF(E7=0,0,IF(AND(E52&gt;=E37,E52&gt;=E22),3,IF(E37&gt;=E22,2,1)))</f>
        <v>0</v>
      </c>
      <c r="F82">
        <f>IF(F7=0,0,IF(AND(F52&gt;=F37,F52&gt;=F22),3,IF(F37&gt;=F22,2,1)))</f>
        <v>0</v>
      </c>
      <c r="G82">
        <f>IF(G7=0,0,IF(AND(G52&gt;=G37,G52&gt;=G22),3,IF(G37&gt;=G22,2,1)))</f>
        <v>0</v>
      </c>
      <c r="H82">
        <f>IF(H7=0,0,IF(AND(H52&gt;=H37,H52&gt;=H22),3,IF(H37&gt;=H22,2,1)))</f>
        <v>0</v>
      </c>
      <c r="I82">
        <f>IF(I7=0,0,IF(AND(I52&gt;=I37,I52&gt;=I22),3,IF(I37&gt;=I22,2,1)))</f>
        <v>0</v>
      </c>
      <c r="J82">
        <f>IF(J7=0,0,IF(AND(J52&gt;=J37,J52&gt;=J22),3,IF(J37&gt;=J22,2,1)))</f>
        <v>0</v>
      </c>
      <c r="K82">
        <f>IF(K7=0,0,IF(AND(K52&gt;=K37,K52&gt;=K22),3,IF(K37&gt;=K22,2,1)))</f>
        <v>0</v>
      </c>
      <c r="L82">
        <f>IF(L7=0,0,IF(AND(L52&gt;=L37,L52&gt;=L22),3,IF(L37&gt;=L22,2,1)))</f>
        <v>0</v>
      </c>
      <c r="M82">
        <f>IF(M7=0,0,IF(AND(M52&gt;=M37,M52&gt;=M22),3,IF(M37&gt;=M22,2,1)))</f>
        <v>0</v>
      </c>
      <c r="Q82">
        <f>IF(INDEX('Activity Planner'!$O82:$Z82,SelMonthNum)=1,'Activity Planner'!$F82+ROW()/100000,"")</f>
        <v>0</v>
      </c>
      <c r="R82">
        <f>IF(AND('Activity Planner'!$N82=1,'Activity Planner'!$C82=SelPractice,'Activity Planner'!$AA82&gt;0),'Activity Planner'!$F82+ROW()/100000,"")</f>
        <v>0</v>
      </c>
    </row>
    <row r="83" spans="1:18">
      <c r="A83">
        <f>IF(Lists!$B$10="","",Lists!$B$10)</f>
        <v>0</v>
      </c>
      <c r="B83">
        <f>IF(B8=0,0,IF(AND(B53&gt;=B38,B53&gt;=B23),3,IF(B38&gt;=B23,2,1)))</f>
        <v>0</v>
      </c>
      <c r="C83">
        <f>IF(C8=0,0,IF(AND(C53&gt;=C38,C53&gt;=C23),3,IF(C38&gt;=C23,2,1)))</f>
        <v>0</v>
      </c>
      <c r="D83">
        <f>IF(D8=0,0,IF(AND(D53&gt;=D38,D53&gt;=D23),3,IF(D38&gt;=D23,2,1)))</f>
        <v>0</v>
      </c>
      <c r="E83">
        <f>IF(E8=0,0,IF(AND(E53&gt;=E38,E53&gt;=E23),3,IF(E38&gt;=E23,2,1)))</f>
        <v>0</v>
      </c>
      <c r="F83">
        <f>IF(F8=0,0,IF(AND(F53&gt;=F38,F53&gt;=F23),3,IF(F38&gt;=F23,2,1)))</f>
        <v>0</v>
      </c>
      <c r="G83">
        <f>IF(G8=0,0,IF(AND(G53&gt;=G38,G53&gt;=G23),3,IF(G38&gt;=G23,2,1)))</f>
        <v>0</v>
      </c>
      <c r="H83">
        <f>IF(H8=0,0,IF(AND(H53&gt;=H38,H53&gt;=H23),3,IF(H38&gt;=H23,2,1)))</f>
        <v>0</v>
      </c>
      <c r="I83">
        <f>IF(I8=0,0,IF(AND(I53&gt;=I38,I53&gt;=I23),3,IF(I38&gt;=I23,2,1)))</f>
        <v>0</v>
      </c>
      <c r="J83">
        <f>IF(J8=0,0,IF(AND(J53&gt;=J38,J53&gt;=J23),3,IF(J38&gt;=J23,2,1)))</f>
        <v>0</v>
      </c>
      <c r="K83">
        <f>IF(K8=0,0,IF(AND(K53&gt;=K38,K53&gt;=K23),3,IF(K38&gt;=K23,2,1)))</f>
        <v>0</v>
      </c>
      <c r="L83">
        <f>IF(L8=0,0,IF(AND(L53&gt;=L38,L53&gt;=L23),3,IF(L38&gt;=L23,2,1)))</f>
        <v>0</v>
      </c>
      <c r="M83">
        <f>IF(M8=0,0,IF(AND(M53&gt;=M38,M53&gt;=M23),3,IF(M38&gt;=M23,2,1)))</f>
        <v>0</v>
      </c>
      <c r="Q83">
        <f>IF(INDEX('Activity Planner'!$O83:$Z83,SelMonthNum)=1,'Activity Planner'!$F83+ROW()/100000,"")</f>
        <v>0</v>
      </c>
      <c r="R83">
        <f>IF(AND('Activity Planner'!$N83=1,'Activity Planner'!$C83=SelPractice,'Activity Planner'!$AA83&gt;0),'Activity Planner'!$F83+ROW()/100000,"")</f>
        <v>0</v>
      </c>
    </row>
    <row r="84" spans="1:18">
      <c r="A84">
        <f>IF(Lists!$B$11="","",Lists!$B$11)</f>
        <v>0</v>
      </c>
      <c r="B84">
        <f>IF(B9=0,0,IF(AND(B54&gt;=B39,B54&gt;=B24),3,IF(B39&gt;=B24,2,1)))</f>
        <v>0</v>
      </c>
      <c r="C84">
        <f>IF(C9=0,0,IF(AND(C54&gt;=C39,C54&gt;=C24),3,IF(C39&gt;=C24,2,1)))</f>
        <v>0</v>
      </c>
      <c r="D84">
        <f>IF(D9=0,0,IF(AND(D54&gt;=D39,D54&gt;=D24),3,IF(D39&gt;=D24,2,1)))</f>
        <v>0</v>
      </c>
      <c r="E84">
        <f>IF(E9=0,0,IF(AND(E54&gt;=E39,E54&gt;=E24),3,IF(E39&gt;=E24,2,1)))</f>
        <v>0</v>
      </c>
      <c r="F84">
        <f>IF(F9=0,0,IF(AND(F54&gt;=F39,F54&gt;=F24),3,IF(F39&gt;=F24,2,1)))</f>
        <v>0</v>
      </c>
      <c r="G84">
        <f>IF(G9=0,0,IF(AND(G54&gt;=G39,G54&gt;=G24),3,IF(G39&gt;=G24,2,1)))</f>
        <v>0</v>
      </c>
      <c r="H84">
        <f>IF(H9=0,0,IF(AND(H54&gt;=H39,H54&gt;=H24),3,IF(H39&gt;=H24,2,1)))</f>
        <v>0</v>
      </c>
      <c r="I84">
        <f>IF(I9=0,0,IF(AND(I54&gt;=I39,I54&gt;=I24),3,IF(I39&gt;=I24,2,1)))</f>
        <v>0</v>
      </c>
      <c r="J84">
        <f>IF(J9=0,0,IF(AND(J54&gt;=J39,J54&gt;=J24),3,IF(J39&gt;=J24,2,1)))</f>
        <v>0</v>
      </c>
      <c r="K84">
        <f>IF(K9=0,0,IF(AND(K54&gt;=K39,K54&gt;=K24),3,IF(K39&gt;=K24,2,1)))</f>
        <v>0</v>
      </c>
      <c r="L84">
        <f>IF(L9=0,0,IF(AND(L54&gt;=L39,L54&gt;=L24),3,IF(L39&gt;=L24,2,1)))</f>
        <v>0</v>
      </c>
      <c r="M84">
        <f>IF(M9=0,0,IF(AND(M54&gt;=M39,M54&gt;=M24),3,IF(M39&gt;=M24,2,1)))</f>
        <v>0</v>
      </c>
      <c r="Q84">
        <f>IF(INDEX('Activity Planner'!$O84:$Z84,SelMonthNum)=1,'Activity Planner'!$F84+ROW()/100000,"")</f>
        <v>0</v>
      </c>
      <c r="R84">
        <f>IF(AND('Activity Planner'!$N84=1,'Activity Planner'!$C84=SelPractice,'Activity Planner'!$AA84&gt;0),'Activity Planner'!$F84+ROW()/100000,"")</f>
        <v>0</v>
      </c>
    </row>
    <row r="85" spans="1:18">
      <c r="A85">
        <f>IF(Lists!$B$12="","",Lists!$B$12)</f>
        <v>0</v>
      </c>
      <c r="B85">
        <f>IF(B10=0,0,IF(AND(B55&gt;=B40,B55&gt;=B25),3,IF(B40&gt;=B25,2,1)))</f>
        <v>0</v>
      </c>
      <c r="C85">
        <f>IF(C10=0,0,IF(AND(C55&gt;=C40,C55&gt;=C25),3,IF(C40&gt;=C25,2,1)))</f>
        <v>0</v>
      </c>
      <c r="D85">
        <f>IF(D10=0,0,IF(AND(D55&gt;=D40,D55&gt;=D25),3,IF(D40&gt;=D25,2,1)))</f>
        <v>0</v>
      </c>
      <c r="E85">
        <f>IF(E10=0,0,IF(AND(E55&gt;=E40,E55&gt;=E25),3,IF(E40&gt;=E25,2,1)))</f>
        <v>0</v>
      </c>
      <c r="F85">
        <f>IF(F10=0,0,IF(AND(F55&gt;=F40,F55&gt;=F25),3,IF(F40&gt;=F25,2,1)))</f>
        <v>0</v>
      </c>
      <c r="G85">
        <f>IF(G10=0,0,IF(AND(G55&gt;=G40,G55&gt;=G25),3,IF(G40&gt;=G25,2,1)))</f>
        <v>0</v>
      </c>
      <c r="H85">
        <f>IF(H10=0,0,IF(AND(H55&gt;=H40,H55&gt;=H25),3,IF(H40&gt;=H25,2,1)))</f>
        <v>0</v>
      </c>
      <c r="I85">
        <f>IF(I10=0,0,IF(AND(I55&gt;=I40,I55&gt;=I25),3,IF(I40&gt;=I25,2,1)))</f>
        <v>0</v>
      </c>
      <c r="J85">
        <f>IF(J10=0,0,IF(AND(J55&gt;=J40,J55&gt;=J25),3,IF(J40&gt;=J25,2,1)))</f>
        <v>0</v>
      </c>
      <c r="K85">
        <f>IF(K10=0,0,IF(AND(K55&gt;=K40,K55&gt;=K25),3,IF(K40&gt;=K25,2,1)))</f>
        <v>0</v>
      </c>
      <c r="L85">
        <f>IF(L10=0,0,IF(AND(L55&gt;=L40,L55&gt;=L25),3,IF(L40&gt;=L25,2,1)))</f>
        <v>0</v>
      </c>
      <c r="M85">
        <f>IF(M10=0,0,IF(AND(M55&gt;=M40,M55&gt;=M25),3,IF(M40&gt;=M25,2,1)))</f>
        <v>0</v>
      </c>
      <c r="Q85">
        <f>IF(INDEX('Activity Planner'!$O85:$Z85,SelMonthNum)=1,'Activity Planner'!$F85+ROW()/100000,"")</f>
        <v>0</v>
      </c>
      <c r="R85">
        <f>IF(AND('Activity Planner'!$N85=1,'Activity Planner'!$C85=SelPractice,'Activity Planner'!$AA85&gt;0),'Activity Planner'!$F85+ROW()/100000,"")</f>
        <v>0</v>
      </c>
    </row>
    <row r="86" spans="1:18">
      <c r="A86">
        <f>IF(Lists!$B$13="","",Lists!$B$13)</f>
        <v>0</v>
      </c>
      <c r="B86">
        <f>IF(B11=0,0,IF(AND(B56&gt;=B41,B56&gt;=B26),3,IF(B41&gt;=B26,2,1)))</f>
        <v>0</v>
      </c>
      <c r="C86">
        <f>IF(C11=0,0,IF(AND(C56&gt;=C41,C56&gt;=C26),3,IF(C41&gt;=C26,2,1)))</f>
        <v>0</v>
      </c>
      <c r="D86">
        <f>IF(D11=0,0,IF(AND(D56&gt;=D41,D56&gt;=D26),3,IF(D41&gt;=D26,2,1)))</f>
        <v>0</v>
      </c>
      <c r="E86">
        <f>IF(E11=0,0,IF(AND(E56&gt;=E41,E56&gt;=E26),3,IF(E41&gt;=E26,2,1)))</f>
        <v>0</v>
      </c>
      <c r="F86">
        <f>IF(F11=0,0,IF(AND(F56&gt;=F41,F56&gt;=F26),3,IF(F41&gt;=F26,2,1)))</f>
        <v>0</v>
      </c>
      <c r="G86">
        <f>IF(G11=0,0,IF(AND(G56&gt;=G41,G56&gt;=G26),3,IF(G41&gt;=G26,2,1)))</f>
        <v>0</v>
      </c>
      <c r="H86">
        <f>IF(H11=0,0,IF(AND(H56&gt;=H41,H56&gt;=H26),3,IF(H41&gt;=H26,2,1)))</f>
        <v>0</v>
      </c>
      <c r="I86">
        <f>IF(I11=0,0,IF(AND(I56&gt;=I41,I56&gt;=I26),3,IF(I41&gt;=I26,2,1)))</f>
        <v>0</v>
      </c>
      <c r="J86">
        <f>IF(J11=0,0,IF(AND(J56&gt;=J41,J56&gt;=J26),3,IF(J41&gt;=J26,2,1)))</f>
        <v>0</v>
      </c>
      <c r="K86">
        <f>IF(K11=0,0,IF(AND(K56&gt;=K41,K56&gt;=K26),3,IF(K41&gt;=K26,2,1)))</f>
        <v>0</v>
      </c>
      <c r="L86">
        <f>IF(L11=0,0,IF(AND(L56&gt;=L41,L56&gt;=L26),3,IF(L41&gt;=L26,2,1)))</f>
        <v>0</v>
      </c>
      <c r="M86">
        <f>IF(M11=0,0,IF(AND(M56&gt;=M41,M56&gt;=M26),3,IF(M41&gt;=M26,2,1)))</f>
        <v>0</v>
      </c>
      <c r="Q86">
        <f>IF(INDEX('Activity Planner'!$O86:$Z86,SelMonthNum)=1,'Activity Planner'!$F86+ROW()/100000,"")</f>
        <v>0</v>
      </c>
      <c r="R86">
        <f>IF(AND('Activity Planner'!$N86=1,'Activity Planner'!$C86=SelPractice,'Activity Planner'!$AA86&gt;0),'Activity Planner'!$F86+ROW()/100000,"")</f>
        <v>0</v>
      </c>
    </row>
    <row r="87" spans="1:18">
      <c r="A87">
        <f>IF(Lists!$B$14="","",Lists!$B$14)</f>
        <v>0</v>
      </c>
      <c r="B87">
        <f>IF(B12=0,0,IF(AND(B57&gt;=B42,B57&gt;=B27),3,IF(B42&gt;=B27,2,1)))</f>
        <v>0</v>
      </c>
      <c r="C87">
        <f>IF(C12=0,0,IF(AND(C57&gt;=C42,C57&gt;=C27),3,IF(C42&gt;=C27,2,1)))</f>
        <v>0</v>
      </c>
      <c r="D87">
        <f>IF(D12=0,0,IF(AND(D57&gt;=D42,D57&gt;=D27),3,IF(D42&gt;=D27,2,1)))</f>
        <v>0</v>
      </c>
      <c r="E87">
        <f>IF(E12=0,0,IF(AND(E57&gt;=E42,E57&gt;=E27),3,IF(E42&gt;=E27,2,1)))</f>
        <v>0</v>
      </c>
      <c r="F87">
        <f>IF(F12=0,0,IF(AND(F57&gt;=F42,F57&gt;=F27),3,IF(F42&gt;=F27,2,1)))</f>
        <v>0</v>
      </c>
      <c r="G87">
        <f>IF(G12=0,0,IF(AND(G57&gt;=G42,G57&gt;=G27),3,IF(G42&gt;=G27,2,1)))</f>
        <v>0</v>
      </c>
      <c r="H87">
        <f>IF(H12=0,0,IF(AND(H57&gt;=H42,H57&gt;=H27),3,IF(H42&gt;=H27,2,1)))</f>
        <v>0</v>
      </c>
      <c r="I87">
        <f>IF(I12=0,0,IF(AND(I57&gt;=I42,I57&gt;=I27),3,IF(I42&gt;=I27,2,1)))</f>
        <v>0</v>
      </c>
      <c r="J87">
        <f>IF(J12=0,0,IF(AND(J57&gt;=J42,J57&gt;=J27),3,IF(J42&gt;=J27,2,1)))</f>
        <v>0</v>
      </c>
      <c r="K87">
        <f>IF(K12=0,0,IF(AND(K57&gt;=K42,K57&gt;=K27),3,IF(K42&gt;=K27,2,1)))</f>
        <v>0</v>
      </c>
      <c r="L87">
        <f>IF(L12=0,0,IF(AND(L57&gt;=L42,L57&gt;=L27),3,IF(L42&gt;=L27,2,1)))</f>
        <v>0</v>
      </c>
      <c r="M87">
        <f>IF(M12=0,0,IF(AND(M57&gt;=M42,M57&gt;=M27),3,IF(M42&gt;=M27,2,1)))</f>
        <v>0</v>
      </c>
      <c r="Q87">
        <f>IF(INDEX('Activity Planner'!$O87:$Z87,SelMonthNum)=1,'Activity Planner'!$F87+ROW()/100000,"")</f>
        <v>0</v>
      </c>
      <c r="R87">
        <f>IF(AND('Activity Planner'!$N87=1,'Activity Planner'!$C87=SelPractice,'Activity Planner'!$AA87&gt;0),'Activity Planner'!$F87+ROW()/100000,"")</f>
        <v>0</v>
      </c>
    </row>
    <row r="88" spans="1:18">
      <c r="A88">
        <f>IF(Lists!$B$15="","",Lists!$B$15)</f>
        <v>0</v>
      </c>
      <c r="B88">
        <f>IF(B13=0,0,IF(AND(B58&gt;=B43,B58&gt;=B28),3,IF(B43&gt;=B28,2,1)))</f>
        <v>0</v>
      </c>
      <c r="C88">
        <f>IF(C13=0,0,IF(AND(C58&gt;=C43,C58&gt;=C28),3,IF(C43&gt;=C28,2,1)))</f>
        <v>0</v>
      </c>
      <c r="D88">
        <f>IF(D13=0,0,IF(AND(D58&gt;=D43,D58&gt;=D28),3,IF(D43&gt;=D28,2,1)))</f>
        <v>0</v>
      </c>
      <c r="E88">
        <f>IF(E13=0,0,IF(AND(E58&gt;=E43,E58&gt;=E28),3,IF(E43&gt;=E28,2,1)))</f>
        <v>0</v>
      </c>
      <c r="F88">
        <f>IF(F13=0,0,IF(AND(F58&gt;=F43,F58&gt;=F28),3,IF(F43&gt;=F28,2,1)))</f>
        <v>0</v>
      </c>
      <c r="G88">
        <f>IF(G13=0,0,IF(AND(G58&gt;=G43,G58&gt;=G28),3,IF(G43&gt;=G28,2,1)))</f>
        <v>0</v>
      </c>
      <c r="H88">
        <f>IF(H13=0,0,IF(AND(H58&gt;=H43,H58&gt;=H28),3,IF(H43&gt;=H28,2,1)))</f>
        <v>0</v>
      </c>
      <c r="I88">
        <f>IF(I13=0,0,IF(AND(I58&gt;=I43,I58&gt;=I28),3,IF(I43&gt;=I28,2,1)))</f>
        <v>0</v>
      </c>
      <c r="J88">
        <f>IF(J13=0,0,IF(AND(J58&gt;=J43,J58&gt;=J28),3,IF(J43&gt;=J28,2,1)))</f>
        <v>0</v>
      </c>
      <c r="K88">
        <f>IF(K13=0,0,IF(AND(K58&gt;=K43,K58&gt;=K28),3,IF(K43&gt;=K28,2,1)))</f>
        <v>0</v>
      </c>
      <c r="L88">
        <f>IF(L13=0,0,IF(AND(L58&gt;=L43,L58&gt;=L28),3,IF(L43&gt;=L28,2,1)))</f>
        <v>0</v>
      </c>
      <c r="M88">
        <f>IF(M13=0,0,IF(AND(M58&gt;=M43,M58&gt;=M28),3,IF(M43&gt;=M28,2,1)))</f>
        <v>0</v>
      </c>
      <c r="Q88">
        <f>IF(INDEX('Activity Planner'!$O88:$Z88,SelMonthNum)=1,'Activity Planner'!$F88+ROW()/100000,"")</f>
        <v>0</v>
      </c>
      <c r="R88">
        <f>IF(AND('Activity Planner'!$N88=1,'Activity Planner'!$C88=SelPractice,'Activity Planner'!$AA88&gt;0),'Activity Planner'!$F88+ROW()/100000,"")</f>
        <v>0</v>
      </c>
    </row>
    <row r="89" spans="1:18">
      <c r="A89">
        <f>IF(Lists!$B$16="","",Lists!$B$16)</f>
        <v>0</v>
      </c>
      <c r="B89">
        <f>IF(B14=0,0,IF(AND(B59&gt;=B44,B59&gt;=B29),3,IF(B44&gt;=B29,2,1)))</f>
        <v>0</v>
      </c>
      <c r="C89">
        <f>IF(C14=0,0,IF(AND(C59&gt;=C44,C59&gt;=C29),3,IF(C44&gt;=C29,2,1)))</f>
        <v>0</v>
      </c>
      <c r="D89">
        <f>IF(D14=0,0,IF(AND(D59&gt;=D44,D59&gt;=D29),3,IF(D44&gt;=D29,2,1)))</f>
        <v>0</v>
      </c>
      <c r="E89">
        <f>IF(E14=0,0,IF(AND(E59&gt;=E44,E59&gt;=E29),3,IF(E44&gt;=E29,2,1)))</f>
        <v>0</v>
      </c>
      <c r="F89">
        <f>IF(F14=0,0,IF(AND(F59&gt;=F44,F59&gt;=F29),3,IF(F44&gt;=F29,2,1)))</f>
        <v>0</v>
      </c>
      <c r="G89">
        <f>IF(G14=0,0,IF(AND(G59&gt;=G44,G59&gt;=G29),3,IF(G44&gt;=G29,2,1)))</f>
        <v>0</v>
      </c>
      <c r="H89">
        <f>IF(H14=0,0,IF(AND(H59&gt;=H44,H59&gt;=H29),3,IF(H44&gt;=H29,2,1)))</f>
        <v>0</v>
      </c>
      <c r="I89">
        <f>IF(I14=0,0,IF(AND(I59&gt;=I44,I59&gt;=I29),3,IF(I44&gt;=I29,2,1)))</f>
        <v>0</v>
      </c>
      <c r="J89">
        <f>IF(J14=0,0,IF(AND(J59&gt;=J44,J59&gt;=J29),3,IF(J44&gt;=J29,2,1)))</f>
        <v>0</v>
      </c>
      <c r="K89">
        <f>IF(K14=0,0,IF(AND(K59&gt;=K44,K59&gt;=K29),3,IF(K44&gt;=K29,2,1)))</f>
        <v>0</v>
      </c>
      <c r="L89">
        <f>IF(L14=0,0,IF(AND(L59&gt;=L44,L59&gt;=L29),3,IF(L44&gt;=L29,2,1)))</f>
        <v>0</v>
      </c>
      <c r="M89">
        <f>IF(M14=0,0,IF(AND(M59&gt;=M44,M59&gt;=M29),3,IF(M44&gt;=M29,2,1)))</f>
        <v>0</v>
      </c>
      <c r="Q89">
        <f>IF(INDEX('Activity Planner'!$O89:$Z89,SelMonthNum)=1,'Activity Planner'!$F89+ROW()/100000,"")</f>
        <v>0</v>
      </c>
      <c r="R89">
        <f>IF(AND('Activity Planner'!$N89=1,'Activity Planner'!$C89=SelPractice,'Activity Planner'!$AA89&gt;0),'Activity Planner'!$F89+ROW()/100000,"")</f>
        <v>0</v>
      </c>
    </row>
    <row r="90" spans="1:18">
      <c r="Q90">
        <f>IF(INDEX('Activity Planner'!$O90:$Z90,SelMonthNum)=1,'Activity Planner'!$F90+ROW()/100000,"")</f>
        <v>0</v>
      </c>
      <c r="R90">
        <f>IF(AND('Activity Planner'!$N90=1,'Activity Planner'!$C90=SelPractice,'Activity Planner'!$AA90&gt;0),'Activity Planner'!$F90+ROW()/100000,"")</f>
        <v>0</v>
      </c>
    </row>
    <row r="91" spans="1:18">
      <c r="Q91">
        <f>IF(INDEX('Activity Planner'!$O91:$Z91,SelMonthNum)=1,'Activity Planner'!$F91+ROW()/100000,"")</f>
        <v>0</v>
      </c>
      <c r="R91">
        <f>IF(AND('Activity Planner'!$N91=1,'Activity Planner'!$C91=SelPractice,'Activity Planner'!$AA91&gt;0),'Activity Planner'!$F91+ROW()/100000,"")</f>
        <v>0</v>
      </c>
    </row>
    <row r="92" spans="1:18">
      <c r="Q92">
        <f>IF(INDEX('Activity Planner'!$O92:$Z92,SelMonthNum)=1,'Activity Planner'!$F92+ROW()/100000,"")</f>
        <v>0</v>
      </c>
      <c r="R92">
        <f>IF(AND('Activity Planner'!$N92=1,'Activity Planner'!$C92=SelPractice,'Activity Planner'!$AA92&gt;0),'Activity Planner'!$F92+ROW()/100000,"")</f>
        <v>0</v>
      </c>
    </row>
    <row r="93" spans="1:18">
      <c r="Q93">
        <f>IF(INDEX('Activity Planner'!$O93:$Z93,SelMonthNum)=1,'Activity Planner'!$F93+ROW()/100000,"")</f>
        <v>0</v>
      </c>
      <c r="R93">
        <f>IF(AND('Activity Planner'!$N93=1,'Activity Planner'!$C93=SelPractice,'Activity Planner'!$AA93&gt;0),'Activity Planner'!$F93+ROW()/100000,"")</f>
        <v>0</v>
      </c>
    </row>
    <row r="94" spans="1:18">
      <c r="Q94">
        <f>IF(INDEX('Activity Planner'!$O94:$Z94,SelMonthNum)=1,'Activity Planner'!$F94+ROW()/100000,"")</f>
        <v>0</v>
      </c>
      <c r="R94">
        <f>IF(AND('Activity Planner'!$N94=1,'Activity Planner'!$C94=SelPractice,'Activity Planner'!$AA94&gt;0),'Activity Planner'!$F94+ROW()/100000,"")</f>
        <v>0</v>
      </c>
    </row>
    <row r="95" spans="1:18">
      <c r="Q95">
        <f>IF(INDEX('Activity Planner'!$O95:$Z95,SelMonthNum)=1,'Activity Planner'!$F95+ROW()/100000,"")</f>
        <v>0</v>
      </c>
      <c r="R95">
        <f>IF(AND('Activity Planner'!$N95=1,'Activity Planner'!$C95=SelPractice,'Activity Planner'!$AA95&gt;0),'Activity Planner'!$F95+ROW()/100000,"")</f>
        <v>0</v>
      </c>
    </row>
    <row r="96" spans="1:18">
      <c r="Q96">
        <f>IF(INDEX('Activity Planner'!$O96:$Z96,SelMonthNum)=1,'Activity Planner'!$F96+ROW()/100000,"")</f>
        <v>0</v>
      </c>
      <c r="R96">
        <f>IF(AND('Activity Planner'!$N96=1,'Activity Planner'!$C96=SelPractice,'Activity Planner'!$AA96&gt;0),'Activity Planner'!$F96+ROW()/100000,"")</f>
        <v>0</v>
      </c>
    </row>
    <row r="97" spans="17:18">
      <c r="Q97">
        <f>IF(INDEX('Activity Planner'!$O97:$Z97,SelMonthNum)=1,'Activity Planner'!$F97+ROW()/100000,"")</f>
        <v>0</v>
      </c>
      <c r="R97">
        <f>IF(AND('Activity Planner'!$N97=1,'Activity Planner'!$C97=SelPractice,'Activity Planner'!$AA97&gt;0),'Activity Planner'!$F97+ROW()/100000,"")</f>
        <v>0</v>
      </c>
    </row>
    <row r="98" spans="17:18">
      <c r="Q98">
        <f>IF(INDEX('Activity Planner'!$O98:$Z98,SelMonthNum)=1,'Activity Planner'!$F98+ROW()/100000,"")</f>
        <v>0</v>
      </c>
      <c r="R98">
        <f>IF(AND('Activity Planner'!$N98=1,'Activity Planner'!$C98=SelPractice,'Activity Planner'!$AA98&gt;0),'Activity Planner'!$F98+ROW()/100000,"")</f>
        <v>0</v>
      </c>
    </row>
    <row r="99" spans="17:18">
      <c r="Q99">
        <f>IF(INDEX('Activity Planner'!$O99:$Z99,SelMonthNum)=1,'Activity Planner'!$F99+ROW()/100000,"")</f>
        <v>0</v>
      </c>
      <c r="R99">
        <f>IF(AND('Activity Planner'!$N99=1,'Activity Planner'!$C99=SelPractice,'Activity Planner'!$AA99&gt;0),'Activity Planner'!$F99+ROW()/100000,"")</f>
        <v>0</v>
      </c>
    </row>
    <row r="100" spans="17:18">
      <c r="Q100">
        <f>IF(INDEX('Activity Planner'!$O100:$Z100,SelMonthNum)=1,'Activity Planner'!$F100+ROW()/100000,"")</f>
        <v>0</v>
      </c>
      <c r="R100">
        <f>IF(AND('Activity Planner'!$N100=1,'Activity Planner'!$C100=SelPractice,'Activity Planner'!$AA100&gt;0),'Activity Planner'!$F100+ROW()/100000,"")</f>
        <v>0</v>
      </c>
    </row>
    <row r="101" spans="17:18">
      <c r="Q101">
        <f>IF(INDEX('Activity Planner'!$O101:$Z101,SelMonthNum)=1,'Activity Planner'!$F101+ROW()/100000,"")</f>
        <v>0</v>
      </c>
      <c r="R101">
        <f>IF(AND('Activity Planner'!$N101=1,'Activity Planner'!$C101=SelPractice,'Activity Planner'!$AA101&gt;0),'Activity Planner'!$F101+ROW()/100000,"")</f>
        <v>0</v>
      </c>
    </row>
    <row r="102" spans="17:18">
      <c r="Q102">
        <f>IF(INDEX('Activity Planner'!$O102:$Z102,SelMonthNum)=1,'Activity Planner'!$F102+ROW()/100000,"")</f>
        <v>0</v>
      </c>
      <c r="R102">
        <f>IF(AND('Activity Planner'!$N102=1,'Activity Planner'!$C102=SelPractice,'Activity Planner'!$AA102&gt;0),'Activity Planner'!$F102+ROW()/100000,"")</f>
        <v>0</v>
      </c>
    </row>
    <row r="103" spans="17:18">
      <c r="Q103">
        <f>IF(INDEX('Activity Planner'!$O103:$Z103,SelMonthNum)=1,'Activity Planner'!$F103+ROW()/100000,"")</f>
        <v>0</v>
      </c>
      <c r="R103">
        <f>IF(AND('Activity Planner'!$N103=1,'Activity Planner'!$C103=SelPractice,'Activity Planner'!$AA103&gt;0),'Activity Planner'!$F103+ROW()/100000,"")</f>
        <v>0</v>
      </c>
    </row>
    <row r="104" spans="17:18">
      <c r="Q104">
        <f>IF(INDEX('Activity Planner'!$O104:$Z104,SelMonthNum)=1,'Activity Planner'!$F104+ROW()/100000,"")</f>
        <v>0</v>
      </c>
      <c r="R104">
        <f>IF(AND('Activity Planner'!$N104=1,'Activity Planner'!$C104=SelPractice,'Activity Planner'!$AA104&gt;0),'Activity Planner'!$F104+ROW()/100000,"")</f>
        <v>0</v>
      </c>
    </row>
    <row r="105" spans="17:18">
      <c r="Q105">
        <f>IF(INDEX('Activity Planner'!$O105:$Z105,SelMonthNum)=1,'Activity Planner'!$F105+ROW()/100000,"")</f>
        <v>0</v>
      </c>
      <c r="R105">
        <f>IF(AND('Activity Planner'!$N105=1,'Activity Planner'!$C105=SelPractice,'Activity Planner'!$AA105&gt;0),'Activity Planner'!$F105+ROW()/100000,"")</f>
        <v>0</v>
      </c>
    </row>
    <row r="106" spans="17:18">
      <c r="Q106">
        <f>IF(INDEX('Activity Planner'!$O106:$Z106,SelMonthNum)=1,'Activity Planner'!$F106+ROW()/100000,"")</f>
        <v>0</v>
      </c>
      <c r="R106">
        <f>IF(AND('Activity Planner'!$N106=1,'Activity Planner'!$C106=SelPractice,'Activity Planner'!$AA106&gt;0),'Activity Planner'!$F106+ROW()/100000,"")</f>
        <v>0</v>
      </c>
    </row>
    <row r="107" spans="17:18">
      <c r="Q107">
        <f>IF(INDEX('Activity Planner'!$O107:$Z107,SelMonthNum)=1,'Activity Planner'!$F107+ROW()/100000,"")</f>
        <v>0</v>
      </c>
      <c r="R107">
        <f>IF(AND('Activity Planner'!$N107=1,'Activity Planner'!$C107=SelPractice,'Activity Planner'!$AA107&gt;0),'Activity Planner'!$F107+ROW()/100000,"")</f>
        <v>0</v>
      </c>
    </row>
    <row r="108" spans="17:18">
      <c r="Q108">
        <f>IF(INDEX('Activity Planner'!$O108:$Z108,SelMonthNum)=1,'Activity Planner'!$F108+ROW()/100000,"")</f>
        <v>0</v>
      </c>
      <c r="R108">
        <f>IF(AND('Activity Planner'!$N108=1,'Activity Planner'!$C108=SelPractice,'Activity Planner'!$AA108&gt;0),'Activity Planner'!$F108+ROW()/100000,"")</f>
        <v>0</v>
      </c>
    </row>
    <row r="109" spans="17:18">
      <c r="Q109">
        <f>IF(INDEX('Activity Planner'!$O109:$Z109,SelMonthNum)=1,'Activity Planner'!$F109+ROW()/100000,"")</f>
        <v>0</v>
      </c>
      <c r="R109">
        <f>IF(AND('Activity Planner'!$N109=1,'Activity Planner'!$C109=SelPractice,'Activity Planner'!$AA109&gt;0),'Activity Planner'!$F109+ROW()/100000,"")</f>
        <v>0</v>
      </c>
    </row>
    <row r="110" spans="17:18">
      <c r="Q110">
        <f>IF(INDEX('Activity Planner'!$O110:$Z110,SelMonthNum)=1,'Activity Planner'!$F110+ROW()/100000,"")</f>
        <v>0</v>
      </c>
      <c r="R110">
        <f>IF(AND('Activity Planner'!$N110=1,'Activity Planner'!$C110=SelPractice,'Activity Planner'!$AA110&gt;0),'Activity Planner'!$F110+ROW()/100000,"")</f>
        <v>0</v>
      </c>
    </row>
    <row r="111" spans="17:18">
      <c r="Q111">
        <f>IF(INDEX('Activity Planner'!$O111:$Z111,SelMonthNum)=1,'Activity Planner'!$F111+ROW()/100000,"")</f>
        <v>0</v>
      </c>
      <c r="R111">
        <f>IF(AND('Activity Planner'!$N111=1,'Activity Planner'!$C111=SelPractice,'Activity Planner'!$AA111&gt;0),'Activity Planner'!$F111+ROW()/100000,"")</f>
        <v>0</v>
      </c>
    </row>
    <row r="112" spans="17:18">
      <c r="Q112">
        <f>IF(INDEX('Activity Planner'!$O112:$Z112,SelMonthNum)=1,'Activity Planner'!$F112+ROW()/100000,"")</f>
        <v>0</v>
      </c>
      <c r="R112">
        <f>IF(AND('Activity Planner'!$N112=1,'Activity Planner'!$C112=SelPractice,'Activity Planner'!$AA112&gt;0),'Activity Planner'!$F112+ROW()/100000,"")</f>
        <v>0</v>
      </c>
    </row>
    <row r="113" spans="17:18">
      <c r="Q113">
        <f>IF(INDEX('Activity Planner'!$O113:$Z113,SelMonthNum)=1,'Activity Planner'!$F113+ROW()/100000,"")</f>
        <v>0</v>
      </c>
      <c r="R113">
        <f>IF(AND('Activity Planner'!$N113=1,'Activity Planner'!$C113=SelPractice,'Activity Planner'!$AA113&gt;0),'Activity Planner'!$F113+ROW()/100000,"")</f>
        <v>0</v>
      </c>
    </row>
    <row r="114" spans="17:18">
      <c r="Q114">
        <f>IF(INDEX('Activity Planner'!$O114:$Z114,SelMonthNum)=1,'Activity Planner'!$F114+ROW()/100000,"")</f>
        <v>0</v>
      </c>
      <c r="R114">
        <f>IF(AND('Activity Planner'!$N114=1,'Activity Planner'!$C114=SelPractice,'Activity Planner'!$AA114&gt;0),'Activity Planner'!$F114+ROW()/100000,"")</f>
        <v>0</v>
      </c>
    </row>
    <row r="115" spans="17:18">
      <c r="Q115">
        <f>IF(INDEX('Activity Planner'!$O115:$Z115,SelMonthNum)=1,'Activity Planner'!$F115+ROW()/100000,"")</f>
        <v>0</v>
      </c>
      <c r="R115">
        <f>IF(AND('Activity Planner'!$N115=1,'Activity Planner'!$C115=SelPractice,'Activity Planner'!$AA115&gt;0),'Activity Planner'!$F115+ROW()/100000,"")</f>
        <v>0</v>
      </c>
    </row>
    <row r="116" spans="17:18">
      <c r="Q116">
        <f>IF(INDEX('Activity Planner'!$O116:$Z116,SelMonthNum)=1,'Activity Planner'!$F116+ROW()/100000,"")</f>
        <v>0</v>
      </c>
      <c r="R116">
        <f>IF(AND('Activity Planner'!$N116=1,'Activity Planner'!$C116=SelPractice,'Activity Planner'!$AA116&gt;0),'Activity Planner'!$F116+ROW()/100000,"")</f>
        <v>0</v>
      </c>
    </row>
    <row r="117" spans="17:18">
      <c r="Q117">
        <f>IF(INDEX('Activity Planner'!$O117:$Z117,SelMonthNum)=1,'Activity Planner'!$F117+ROW()/100000,"")</f>
        <v>0</v>
      </c>
      <c r="R117">
        <f>IF(AND('Activity Planner'!$N117=1,'Activity Planner'!$C117=SelPractice,'Activity Planner'!$AA117&gt;0),'Activity Planner'!$F117+ROW()/100000,"")</f>
        <v>0</v>
      </c>
    </row>
    <row r="118" spans="17:18">
      <c r="Q118">
        <f>IF(INDEX('Activity Planner'!$O118:$Z118,SelMonthNum)=1,'Activity Planner'!$F118+ROW()/100000,"")</f>
        <v>0</v>
      </c>
      <c r="R118">
        <f>IF(AND('Activity Planner'!$N118=1,'Activity Planner'!$C118=SelPractice,'Activity Planner'!$AA118&gt;0),'Activity Planner'!$F118+ROW()/100000,"")</f>
        <v>0</v>
      </c>
    </row>
    <row r="119" spans="17:18">
      <c r="Q119">
        <f>IF(INDEX('Activity Planner'!$O119:$Z119,SelMonthNum)=1,'Activity Planner'!$F119+ROW()/100000,"")</f>
        <v>0</v>
      </c>
      <c r="R119">
        <f>IF(AND('Activity Planner'!$N119=1,'Activity Planner'!$C119=SelPractice,'Activity Planner'!$AA119&gt;0),'Activity Planner'!$F119+ROW()/100000,"")</f>
        <v>0</v>
      </c>
    </row>
    <row r="120" spans="17:18">
      <c r="Q120">
        <f>IF(INDEX('Activity Planner'!$O120:$Z120,SelMonthNum)=1,'Activity Planner'!$F120+ROW()/100000,"")</f>
        <v>0</v>
      </c>
      <c r="R120">
        <f>IF(AND('Activity Planner'!$N120=1,'Activity Planner'!$C120=SelPractice,'Activity Planner'!$AA120&gt;0),'Activity Planner'!$F120+ROW()/100000,"")</f>
        <v>0</v>
      </c>
    </row>
    <row r="121" spans="17:18">
      <c r="Q121">
        <f>IF(INDEX('Activity Planner'!$O121:$Z121,SelMonthNum)=1,'Activity Planner'!$F121+ROW()/100000,"")</f>
        <v>0</v>
      </c>
      <c r="R121">
        <f>IF(AND('Activity Planner'!$N121=1,'Activity Planner'!$C121=SelPractice,'Activity Planner'!$AA121&gt;0),'Activity Planner'!$F121+ROW()/100000,"")</f>
        <v>0</v>
      </c>
    </row>
    <row r="122" spans="17:18">
      <c r="Q122">
        <f>IF(INDEX('Activity Planner'!$O122:$Z122,SelMonthNum)=1,'Activity Planner'!$F122+ROW()/100000,"")</f>
        <v>0</v>
      </c>
      <c r="R122">
        <f>IF(AND('Activity Planner'!$N122=1,'Activity Planner'!$C122=SelPractice,'Activity Planner'!$AA122&gt;0),'Activity Planner'!$F122+ROW()/100000,"")</f>
        <v>0</v>
      </c>
    </row>
    <row r="123" spans="17:18">
      <c r="Q123">
        <f>IF(INDEX('Activity Planner'!$O123:$Z123,SelMonthNum)=1,'Activity Planner'!$F123+ROW()/100000,"")</f>
        <v>0</v>
      </c>
      <c r="R123">
        <f>IF(AND('Activity Planner'!$N123=1,'Activity Planner'!$C123=SelPractice,'Activity Planner'!$AA123&gt;0),'Activity Planner'!$F123+ROW()/100000,"")</f>
        <v>0</v>
      </c>
    </row>
    <row r="124" spans="17:18">
      <c r="Q124">
        <f>IF(INDEX('Activity Planner'!$O124:$Z124,SelMonthNum)=1,'Activity Planner'!$F124+ROW()/100000,"")</f>
        <v>0</v>
      </c>
      <c r="R124">
        <f>IF(AND('Activity Planner'!$N124=1,'Activity Planner'!$C124=SelPractice,'Activity Planner'!$AA124&gt;0),'Activity Planner'!$F124+ROW()/100000,"")</f>
        <v>0</v>
      </c>
    </row>
    <row r="125" spans="17:18">
      <c r="Q125">
        <f>IF(INDEX('Activity Planner'!$O125:$Z125,SelMonthNum)=1,'Activity Planner'!$F125+ROW()/100000,"")</f>
        <v>0</v>
      </c>
      <c r="R125">
        <f>IF(AND('Activity Planner'!$N125=1,'Activity Planner'!$C125=SelPractice,'Activity Planner'!$AA125&gt;0),'Activity Planner'!$F125+ROW()/100000,"")</f>
        <v>0</v>
      </c>
    </row>
    <row r="126" spans="17:18">
      <c r="Q126">
        <f>IF(INDEX('Activity Planner'!$O126:$Z126,SelMonthNum)=1,'Activity Planner'!$F126+ROW()/100000,"")</f>
        <v>0</v>
      </c>
      <c r="R126">
        <f>IF(AND('Activity Planner'!$N126=1,'Activity Planner'!$C126=SelPractice,'Activity Planner'!$AA126&gt;0),'Activity Planner'!$F126+ROW()/100000,"")</f>
        <v>0</v>
      </c>
    </row>
    <row r="127" spans="17:18">
      <c r="Q127">
        <f>IF(INDEX('Activity Planner'!$O127:$Z127,SelMonthNum)=1,'Activity Planner'!$F127+ROW()/100000,"")</f>
        <v>0</v>
      </c>
      <c r="R127">
        <f>IF(AND('Activity Planner'!$N127=1,'Activity Planner'!$C127=SelPractice,'Activity Planner'!$AA127&gt;0),'Activity Planner'!$F127+ROW()/100000,"")</f>
        <v>0</v>
      </c>
    </row>
    <row r="128" spans="17:18">
      <c r="Q128">
        <f>IF(INDEX('Activity Planner'!$O128:$Z128,SelMonthNum)=1,'Activity Planner'!$F128+ROW()/100000,"")</f>
        <v>0</v>
      </c>
      <c r="R128">
        <f>IF(AND('Activity Planner'!$N128=1,'Activity Planner'!$C128=SelPractice,'Activity Planner'!$AA128&gt;0),'Activity Planner'!$F128+ROW()/100000,"")</f>
        <v>0</v>
      </c>
    </row>
    <row r="129" spans="17:18">
      <c r="Q129">
        <f>IF(INDEX('Activity Planner'!$O129:$Z129,SelMonthNum)=1,'Activity Planner'!$F129+ROW()/100000,"")</f>
        <v>0</v>
      </c>
      <c r="R129">
        <f>IF(AND('Activity Planner'!$N129=1,'Activity Planner'!$C129=SelPractice,'Activity Planner'!$AA129&gt;0),'Activity Planner'!$F129+ROW()/100000,"")</f>
        <v>0</v>
      </c>
    </row>
    <row r="130" spans="17:18">
      <c r="Q130">
        <f>IF(INDEX('Activity Planner'!$O130:$Z130,SelMonthNum)=1,'Activity Planner'!$F130+ROW()/100000,"")</f>
        <v>0</v>
      </c>
      <c r="R130">
        <f>IF(AND('Activity Planner'!$N130=1,'Activity Planner'!$C130=SelPractice,'Activity Planner'!$AA130&gt;0),'Activity Planner'!$F130+ROW()/100000,"")</f>
        <v>0</v>
      </c>
    </row>
    <row r="131" spans="17:18">
      <c r="Q131">
        <f>IF(INDEX('Activity Planner'!$O131:$Z131,SelMonthNum)=1,'Activity Planner'!$F131+ROW()/100000,"")</f>
        <v>0</v>
      </c>
      <c r="R131">
        <f>IF(AND('Activity Planner'!$N131=1,'Activity Planner'!$C131=SelPractice,'Activity Planner'!$AA131&gt;0),'Activity Planner'!$F131+ROW()/100000,"")</f>
        <v>0</v>
      </c>
    </row>
    <row r="132" spans="17:18">
      <c r="Q132">
        <f>IF(INDEX('Activity Planner'!$O132:$Z132,SelMonthNum)=1,'Activity Planner'!$F132+ROW()/100000,"")</f>
        <v>0</v>
      </c>
      <c r="R132">
        <f>IF(AND('Activity Planner'!$N132=1,'Activity Planner'!$C132=SelPractice,'Activity Planner'!$AA132&gt;0),'Activity Planner'!$F132+ROW()/100000,"")</f>
        <v>0</v>
      </c>
    </row>
    <row r="133" spans="17:18">
      <c r="Q133">
        <f>IF(INDEX('Activity Planner'!$O133:$Z133,SelMonthNum)=1,'Activity Planner'!$F133+ROW()/100000,"")</f>
        <v>0</v>
      </c>
      <c r="R133">
        <f>IF(AND('Activity Planner'!$N133=1,'Activity Planner'!$C133=SelPractice,'Activity Planner'!$AA133&gt;0),'Activity Planner'!$F133+ROW()/100000,"")</f>
        <v>0</v>
      </c>
    </row>
    <row r="134" spans="17:18">
      <c r="Q134">
        <f>IF(INDEX('Activity Planner'!$O134:$Z134,SelMonthNum)=1,'Activity Planner'!$F134+ROW()/100000,"")</f>
        <v>0</v>
      </c>
      <c r="R134">
        <f>IF(AND('Activity Planner'!$N134=1,'Activity Planner'!$C134=SelPractice,'Activity Planner'!$AA134&gt;0),'Activity Planner'!$F134+ROW()/100000,"")</f>
        <v>0</v>
      </c>
    </row>
    <row r="135" spans="17:18">
      <c r="Q135">
        <f>IF(INDEX('Activity Planner'!$O135:$Z135,SelMonthNum)=1,'Activity Planner'!$F135+ROW()/100000,"")</f>
        <v>0</v>
      </c>
      <c r="R135">
        <f>IF(AND('Activity Planner'!$N135=1,'Activity Planner'!$C135=SelPractice,'Activity Planner'!$AA135&gt;0),'Activity Planner'!$F135+ROW()/100000,"")</f>
        <v>0</v>
      </c>
    </row>
    <row r="136" spans="17:18">
      <c r="Q136">
        <f>IF(INDEX('Activity Planner'!$O136:$Z136,SelMonthNum)=1,'Activity Planner'!$F136+ROW()/100000,"")</f>
        <v>0</v>
      </c>
      <c r="R136">
        <f>IF(AND('Activity Planner'!$N136=1,'Activity Planner'!$C136=SelPractice,'Activity Planner'!$AA136&gt;0),'Activity Planner'!$F136+ROW()/100000,"")</f>
        <v>0</v>
      </c>
    </row>
    <row r="137" spans="17:18">
      <c r="Q137">
        <f>IF(INDEX('Activity Planner'!$O137:$Z137,SelMonthNum)=1,'Activity Planner'!$F137+ROW()/100000,"")</f>
        <v>0</v>
      </c>
      <c r="R137">
        <f>IF(AND('Activity Planner'!$N137=1,'Activity Planner'!$C137=SelPractice,'Activity Planner'!$AA137&gt;0),'Activity Planner'!$F137+ROW()/100000,"")</f>
        <v>0</v>
      </c>
    </row>
    <row r="138" spans="17:18">
      <c r="Q138">
        <f>IF(INDEX('Activity Planner'!$O138:$Z138,SelMonthNum)=1,'Activity Planner'!$F138+ROW()/100000,"")</f>
        <v>0</v>
      </c>
      <c r="R138">
        <f>IF(AND('Activity Planner'!$N138=1,'Activity Planner'!$C138=SelPractice,'Activity Planner'!$AA138&gt;0),'Activity Planner'!$F138+ROW()/100000,"")</f>
        <v>0</v>
      </c>
    </row>
    <row r="139" spans="17:18">
      <c r="Q139">
        <f>IF(INDEX('Activity Planner'!$O139:$Z139,SelMonthNum)=1,'Activity Planner'!$F139+ROW()/100000,"")</f>
        <v>0</v>
      </c>
      <c r="R139">
        <f>IF(AND('Activity Planner'!$N139=1,'Activity Planner'!$C139=SelPractice,'Activity Planner'!$AA139&gt;0),'Activity Planner'!$F139+ROW()/100000,"")</f>
        <v>0</v>
      </c>
    </row>
    <row r="140" spans="17:18">
      <c r="Q140">
        <f>IF(INDEX('Activity Planner'!$O140:$Z140,SelMonthNum)=1,'Activity Planner'!$F140+ROW()/100000,"")</f>
        <v>0</v>
      </c>
      <c r="R140">
        <f>IF(AND('Activity Planner'!$N140=1,'Activity Planner'!$C140=SelPractice,'Activity Planner'!$AA140&gt;0),'Activity Planner'!$F140+ROW()/100000,"")</f>
        <v>0</v>
      </c>
    </row>
    <row r="141" spans="17:18">
      <c r="Q141">
        <f>IF(INDEX('Activity Planner'!$O141:$Z141,SelMonthNum)=1,'Activity Planner'!$F141+ROW()/100000,"")</f>
        <v>0</v>
      </c>
      <c r="R141">
        <f>IF(AND('Activity Planner'!$N141=1,'Activity Planner'!$C141=SelPractice,'Activity Planner'!$AA141&gt;0),'Activity Planner'!$F141+ROW()/100000,"")</f>
        <v>0</v>
      </c>
    </row>
    <row r="142" spans="17:18">
      <c r="Q142">
        <f>IF(INDEX('Activity Planner'!$O142:$Z142,SelMonthNum)=1,'Activity Planner'!$F142+ROW()/100000,"")</f>
        <v>0</v>
      </c>
      <c r="R142">
        <f>IF(AND('Activity Planner'!$N142=1,'Activity Planner'!$C142=SelPractice,'Activity Planner'!$AA142&gt;0),'Activity Planner'!$F142+ROW()/100000,"")</f>
        <v>0</v>
      </c>
    </row>
    <row r="143" spans="17:18">
      <c r="Q143">
        <f>IF(INDEX('Activity Planner'!$O143:$Z143,SelMonthNum)=1,'Activity Planner'!$F143+ROW()/100000,"")</f>
        <v>0</v>
      </c>
      <c r="R143">
        <f>IF(AND('Activity Planner'!$N143=1,'Activity Planner'!$C143=SelPractice,'Activity Planner'!$AA143&gt;0),'Activity Planner'!$F143+ROW()/100000,"")</f>
        <v>0</v>
      </c>
    </row>
    <row r="144" spans="17:18">
      <c r="Q144">
        <f>IF(INDEX('Activity Planner'!$O144:$Z144,SelMonthNum)=1,'Activity Planner'!$F144+ROW()/100000,"")</f>
        <v>0</v>
      </c>
      <c r="R144">
        <f>IF(AND('Activity Planner'!$N144=1,'Activity Planner'!$C144=SelPractice,'Activity Planner'!$AA144&gt;0),'Activity Planner'!$F144+ROW()/100000,"")</f>
        <v>0</v>
      </c>
    </row>
    <row r="145" spans="17:18">
      <c r="Q145">
        <f>IF(INDEX('Activity Planner'!$O145:$Z145,SelMonthNum)=1,'Activity Planner'!$F145+ROW()/100000,"")</f>
        <v>0</v>
      </c>
      <c r="R145">
        <f>IF(AND('Activity Planner'!$N145=1,'Activity Planner'!$C145=SelPractice,'Activity Planner'!$AA145&gt;0),'Activity Planner'!$F145+ROW()/100000,"")</f>
        <v>0</v>
      </c>
    </row>
    <row r="146" spans="17:18">
      <c r="Q146">
        <f>IF(INDEX('Activity Planner'!$O146:$Z146,SelMonthNum)=1,'Activity Planner'!$F146+ROW()/100000,"")</f>
        <v>0</v>
      </c>
      <c r="R146">
        <f>IF(AND('Activity Planner'!$N146=1,'Activity Planner'!$C146=SelPractice,'Activity Planner'!$AA146&gt;0),'Activity Planner'!$F146+ROW()/100000,"")</f>
        <v>0</v>
      </c>
    </row>
    <row r="147" spans="17:18">
      <c r="Q147">
        <f>IF(INDEX('Activity Planner'!$O147:$Z147,SelMonthNum)=1,'Activity Planner'!$F147+ROW()/100000,"")</f>
        <v>0</v>
      </c>
      <c r="R147">
        <f>IF(AND('Activity Planner'!$N147=1,'Activity Planner'!$C147=SelPractice,'Activity Planner'!$AA147&gt;0),'Activity Planner'!$F147+ROW()/100000,"")</f>
        <v>0</v>
      </c>
    </row>
    <row r="148" spans="17:18">
      <c r="Q148">
        <f>IF(INDEX('Activity Planner'!$O148:$Z148,SelMonthNum)=1,'Activity Planner'!$F148+ROW()/100000,"")</f>
        <v>0</v>
      </c>
      <c r="R148">
        <f>IF(AND('Activity Planner'!$N148=1,'Activity Planner'!$C148=SelPractice,'Activity Planner'!$AA148&gt;0),'Activity Planner'!$F148+ROW()/100000,"")</f>
        <v>0</v>
      </c>
    </row>
    <row r="149" spans="17:18">
      <c r="Q149">
        <f>IF(INDEX('Activity Planner'!$O149:$Z149,SelMonthNum)=1,'Activity Planner'!$F149+ROW()/100000,"")</f>
        <v>0</v>
      </c>
      <c r="R149">
        <f>IF(AND('Activity Planner'!$N149=1,'Activity Planner'!$C149=SelPractice,'Activity Planner'!$AA149&gt;0),'Activity Planner'!$F149+ROW()/100000,"")</f>
        <v>0</v>
      </c>
    </row>
    <row r="150" spans="17:18">
      <c r="Q150">
        <f>IF(INDEX('Activity Planner'!$O150:$Z150,SelMonthNum)=1,'Activity Planner'!$F150+ROW()/100000,"")</f>
        <v>0</v>
      </c>
      <c r="R150">
        <f>IF(AND('Activity Planner'!$N150=1,'Activity Planner'!$C150=SelPractice,'Activity Planner'!$AA150&gt;0),'Activity Planner'!$F150+ROW()/100000,"")</f>
        <v>0</v>
      </c>
    </row>
    <row r="151" spans="17:18">
      <c r="Q151">
        <f>IF(INDEX('Activity Planner'!$O151:$Z151,SelMonthNum)=1,'Activity Planner'!$F151+ROW()/100000,"")</f>
        <v>0</v>
      </c>
      <c r="R151">
        <f>IF(AND('Activity Planner'!$N151=1,'Activity Planner'!$C151=SelPractice,'Activity Planner'!$AA151&gt;0),'Activity Planner'!$F151+ROW()/100000,"")</f>
        <v>0</v>
      </c>
    </row>
    <row r="152" spans="17:18">
      <c r="Q152">
        <f>IF(INDEX('Activity Planner'!$O152:$Z152,SelMonthNum)=1,'Activity Planner'!$F152+ROW()/100000,"")</f>
        <v>0</v>
      </c>
      <c r="R152">
        <f>IF(AND('Activity Planner'!$N152=1,'Activity Planner'!$C152=SelPractice,'Activity Planner'!$AA152&gt;0),'Activity Planner'!$F152+ROW()/100000,"")</f>
        <v>0</v>
      </c>
    </row>
    <row r="153" spans="17:18">
      <c r="Q153">
        <f>IF(INDEX('Activity Planner'!$O153:$Z153,SelMonthNum)=1,'Activity Planner'!$F153+ROW()/100000,"")</f>
        <v>0</v>
      </c>
      <c r="R153">
        <f>IF(AND('Activity Planner'!$N153=1,'Activity Planner'!$C153=SelPractice,'Activity Planner'!$AA153&gt;0),'Activity Planner'!$F153+ROW()/100000,"")</f>
        <v>0</v>
      </c>
    </row>
    <row r="154" spans="17:18">
      <c r="Q154">
        <f>IF(INDEX('Activity Planner'!$O154:$Z154,SelMonthNum)=1,'Activity Planner'!$F154+ROW()/100000,"")</f>
        <v>0</v>
      </c>
      <c r="R154">
        <f>IF(AND('Activity Planner'!$N154=1,'Activity Planner'!$C154=SelPractice,'Activity Planner'!$AA154&gt;0),'Activity Planner'!$F154+ROW()/100000,"")</f>
        <v>0</v>
      </c>
    </row>
    <row r="155" spans="17:18">
      <c r="Q155">
        <f>IF(INDEX('Activity Planner'!$O155:$Z155,SelMonthNum)=1,'Activity Planner'!$F155+ROW()/100000,"")</f>
        <v>0</v>
      </c>
      <c r="R155">
        <f>IF(AND('Activity Planner'!$N155=1,'Activity Planner'!$C155=SelPractice,'Activity Planner'!$AA155&gt;0),'Activity Planner'!$F155+ROW()/100000,"")</f>
        <v>0</v>
      </c>
    </row>
    <row r="156" spans="17:18">
      <c r="Q156">
        <f>IF(INDEX('Activity Planner'!$O156:$Z156,SelMonthNum)=1,'Activity Planner'!$F156+ROW()/100000,"")</f>
        <v>0</v>
      </c>
      <c r="R156">
        <f>IF(AND('Activity Planner'!$N156=1,'Activity Planner'!$C156=SelPractice,'Activity Planner'!$AA156&gt;0),'Activity Planner'!$F156+ROW()/100000,"")</f>
        <v>0</v>
      </c>
    </row>
    <row r="157" spans="17:18">
      <c r="Q157">
        <f>IF(INDEX('Activity Planner'!$O157:$Z157,SelMonthNum)=1,'Activity Planner'!$F157+ROW()/100000,"")</f>
        <v>0</v>
      </c>
      <c r="R157">
        <f>IF(AND('Activity Planner'!$N157=1,'Activity Planner'!$C157=SelPractice,'Activity Planner'!$AA157&gt;0),'Activity Planner'!$F157+ROW()/100000,"")</f>
        <v>0</v>
      </c>
    </row>
    <row r="158" spans="17:18">
      <c r="Q158">
        <f>IF(INDEX('Activity Planner'!$O158:$Z158,SelMonthNum)=1,'Activity Planner'!$F158+ROW()/100000,"")</f>
        <v>0</v>
      </c>
      <c r="R158">
        <f>IF(AND('Activity Planner'!$N158=1,'Activity Planner'!$C158=SelPractice,'Activity Planner'!$AA158&gt;0),'Activity Planner'!$F158+ROW()/100000,"")</f>
        <v>0</v>
      </c>
    </row>
    <row r="159" spans="17:18">
      <c r="Q159">
        <f>IF(INDEX('Activity Planner'!$O159:$Z159,SelMonthNum)=1,'Activity Planner'!$F159+ROW()/100000,"")</f>
        <v>0</v>
      </c>
      <c r="R159">
        <f>IF(AND('Activity Planner'!$N159=1,'Activity Planner'!$C159=SelPractice,'Activity Planner'!$AA159&gt;0),'Activity Planner'!$F159+ROW()/100000,"")</f>
        <v>0</v>
      </c>
    </row>
    <row r="160" spans="17:18">
      <c r="Q160">
        <f>IF(INDEX('Activity Planner'!$O160:$Z160,SelMonthNum)=1,'Activity Planner'!$F160+ROW()/100000,"")</f>
        <v>0</v>
      </c>
      <c r="R160">
        <f>IF(AND('Activity Planner'!$N160=1,'Activity Planner'!$C160=SelPractice,'Activity Planner'!$AA160&gt;0),'Activity Planner'!$F160+ROW()/100000,"")</f>
        <v>0</v>
      </c>
    </row>
    <row r="161" spans="17:18">
      <c r="Q161">
        <f>IF(INDEX('Activity Planner'!$O161:$Z161,SelMonthNum)=1,'Activity Planner'!$F161+ROW()/100000,"")</f>
        <v>0</v>
      </c>
      <c r="R161">
        <f>IF(AND('Activity Planner'!$N161=1,'Activity Planner'!$C161=SelPractice,'Activity Planner'!$AA161&gt;0),'Activity Planner'!$F161+ROW()/100000,"")</f>
        <v>0</v>
      </c>
    </row>
    <row r="162" spans="17:18">
      <c r="Q162">
        <f>IF(INDEX('Activity Planner'!$O162:$Z162,SelMonthNum)=1,'Activity Planner'!$F162+ROW()/100000,"")</f>
        <v>0</v>
      </c>
      <c r="R162">
        <f>IF(AND('Activity Planner'!$N162=1,'Activity Planner'!$C162=SelPractice,'Activity Planner'!$AA162&gt;0),'Activity Planner'!$F162+ROW()/100000,"")</f>
        <v>0</v>
      </c>
    </row>
    <row r="163" spans="17:18">
      <c r="Q163">
        <f>IF(INDEX('Activity Planner'!$O163:$Z163,SelMonthNum)=1,'Activity Planner'!$F163+ROW()/100000,"")</f>
        <v>0</v>
      </c>
      <c r="R163">
        <f>IF(AND('Activity Planner'!$N163=1,'Activity Planner'!$C163=SelPractice,'Activity Planner'!$AA163&gt;0),'Activity Planner'!$F163+ROW()/100000,"")</f>
        <v>0</v>
      </c>
    </row>
    <row r="164" spans="17:18">
      <c r="Q164">
        <f>IF(INDEX('Activity Planner'!$O164:$Z164,SelMonthNum)=1,'Activity Planner'!$F164+ROW()/100000,"")</f>
        <v>0</v>
      </c>
      <c r="R164">
        <f>IF(AND('Activity Planner'!$N164=1,'Activity Planner'!$C164=SelPractice,'Activity Planner'!$AA164&gt;0),'Activity Planner'!$F164+ROW()/100000,"")</f>
        <v>0</v>
      </c>
    </row>
    <row r="165" spans="17:18">
      <c r="Q165">
        <f>IF(INDEX('Activity Planner'!$O165:$Z165,SelMonthNum)=1,'Activity Planner'!$F165+ROW()/100000,"")</f>
        <v>0</v>
      </c>
      <c r="R165">
        <f>IF(AND('Activity Planner'!$N165=1,'Activity Planner'!$C165=SelPractice,'Activity Planner'!$AA165&gt;0),'Activity Planner'!$F165+ROW()/100000,"")</f>
        <v>0</v>
      </c>
    </row>
    <row r="166" spans="17:18">
      <c r="Q166">
        <f>IF(INDEX('Activity Planner'!$O166:$Z166,SelMonthNum)=1,'Activity Planner'!$F166+ROW()/100000,"")</f>
        <v>0</v>
      </c>
      <c r="R166">
        <f>IF(AND('Activity Planner'!$N166=1,'Activity Planner'!$C166=SelPractice,'Activity Planner'!$AA166&gt;0),'Activity Planner'!$F166+ROW()/100000,"")</f>
        <v>0</v>
      </c>
    </row>
    <row r="167" spans="17:18">
      <c r="Q167">
        <f>IF(INDEX('Activity Planner'!$O167:$Z167,SelMonthNum)=1,'Activity Planner'!$F167+ROW()/100000,"")</f>
        <v>0</v>
      </c>
      <c r="R167">
        <f>IF(AND('Activity Planner'!$N167=1,'Activity Planner'!$C167=SelPractice,'Activity Planner'!$AA167&gt;0),'Activity Planner'!$F167+ROW()/100000,"")</f>
        <v>0</v>
      </c>
    </row>
    <row r="168" spans="17:18">
      <c r="Q168">
        <f>IF(INDEX('Activity Planner'!$O168:$Z168,SelMonthNum)=1,'Activity Planner'!$F168+ROW()/100000,"")</f>
        <v>0</v>
      </c>
      <c r="R168">
        <f>IF(AND('Activity Planner'!$N168=1,'Activity Planner'!$C168=SelPractice,'Activity Planner'!$AA168&gt;0),'Activity Planner'!$F168+ROW()/100000,"")</f>
        <v>0</v>
      </c>
    </row>
    <row r="169" spans="17:18">
      <c r="Q169">
        <f>IF(INDEX('Activity Planner'!$O169:$Z169,SelMonthNum)=1,'Activity Planner'!$F169+ROW()/100000,"")</f>
        <v>0</v>
      </c>
      <c r="R169">
        <f>IF(AND('Activity Planner'!$N169=1,'Activity Planner'!$C169=SelPractice,'Activity Planner'!$AA169&gt;0),'Activity Planner'!$F169+ROW()/100000,"")</f>
        <v>0</v>
      </c>
    </row>
    <row r="170" spans="17:18">
      <c r="Q170">
        <f>IF(INDEX('Activity Planner'!$O170:$Z170,SelMonthNum)=1,'Activity Planner'!$F170+ROW()/100000,"")</f>
        <v>0</v>
      </c>
      <c r="R170">
        <f>IF(AND('Activity Planner'!$N170=1,'Activity Planner'!$C170=SelPractice,'Activity Planner'!$AA170&gt;0),'Activity Planner'!$F170+ROW()/100000,"")</f>
        <v>0</v>
      </c>
    </row>
    <row r="171" spans="17:18">
      <c r="Q171">
        <f>IF(INDEX('Activity Planner'!$O171:$Z171,SelMonthNum)=1,'Activity Planner'!$F171+ROW()/100000,"")</f>
        <v>0</v>
      </c>
      <c r="R171">
        <f>IF(AND('Activity Planner'!$N171=1,'Activity Planner'!$C171=SelPractice,'Activity Planner'!$AA171&gt;0),'Activity Planner'!$F171+ROW()/100000,"")</f>
        <v>0</v>
      </c>
    </row>
    <row r="172" spans="17:18">
      <c r="Q172">
        <f>IF(INDEX('Activity Planner'!$O172:$Z172,SelMonthNum)=1,'Activity Planner'!$F172+ROW()/100000,"")</f>
        <v>0</v>
      </c>
      <c r="R172">
        <f>IF(AND('Activity Planner'!$N172=1,'Activity Planner'!$C172=SelPractice,'Activity Planner'!$AA172&gt;0),'Activity Planner'!$F172+ROW()/100000,"")</f>
        <v>0</v>
      </c>
    </row>
    <row r="173" spans="17:18">
      <c r="Q173">
        <f>IF(INDEX('Activity Planner'!$O173:$Z173,SelMonthNum)=1,'Activity Planner'!$F173+ROW()/100000,"")</f>
        <v>0</v>
      </c>
      <c r="R173">
        <f>IF(AND('Activity Planner'!$N173=1,'Activity Planner'!$C173=SelPractice,'Activity Planner'!$AA173&gt;0),'Activity Planner'!$F173+ROW()/100000,"")</f>
        <v>0</v>
      </c>
    </row>
    <row r="174" spans="17:18">
      <c r="Q174">
        <f>IF(INDEX('Activity Planner'!$O174:$Z174,SelMonthNum)=1,'Activity Planner'!$F174+ROW()/100000,"")</f>
        <v>0</v>
      </c>
      <c r="R174">
        <f>IF(AND('Activity Planner'!$N174=1,'Activity Planner'!$C174=SelPractice,'Activity Planner'!$AA174&gt;0),'Activity Planner'!$F174+ROW()/100000,"")</f>
        <v>0</v>
      </c>
    </row>
    <row r="175" spans="17:18">
      <c r="Q175">
        <f>IF(INDEX('Activity Planner'!$O175:$Z175,SelMonthNum)=1,'Activity Planner'!$F175+ROW()/100000,"")</f>
        <v>0</v>
      </c>
      <c r="R175">
        <f>IF(AND('Activity Planner'!$N175=1,'Activity Planner'!$C175=SelPractice,'Activity Planner'!$AA175&gt;0),'Activity Planner'!$F175+ROW()/100000,"")</f>
        <v>0</v>
      </c>
    </row>
    <row r="176" spans="17:18">
      <c r="Q176">
        <f>IF(INDEX('Activity Planner'!$O176:$Z176,SelMonthNum)=1,'Activity Planner'!$F176+ROW()/100000,"")</f>
        <v>0</v>
      </c>
      <c r="R176">
        <f>IF(AND('Activity Planner'!$N176=1,'Activity Planner'!$C176=SelPractice,'Activity Planner'!$AA176&gt;0),'Activity Planner'!$F176+ROW()/100000,"")</f>
        <v>0</v>
      </c>
    </row>
    <row r="177" spans="17:18">
      <c r="Q177">
        <f>IF(INDEX('Activity Planner'!$O177:$Z177,SelMonthNum)=1,'Activity Planner'!$F177+ROW()/100000,"")</f>
        <v>0</v>
      </c>
      <c r="R177">
        <f>IF(AND('Activity Planner'!$N177=1,'Activity Planner'!$C177=SelPractice,'Activity Planner'!$AA177&gt;0),'Activity Planner'!$F177+ROW()/100000,"")</f>
        <v>0</v>
      </c>
    </row>
    <row r="178" spans="17:18">
      <c r="Q178">
        <f>IF(INDEX('Activity Planner'!$O178:$Z178,SelMonthNum)=1,'Activity Planner'!$F178+ROW()/100000,"")</f>
        <v>0</v>
      </c>
      <c r="R178">
        <f>IF(AND('Activity Planner'!$N178=1,'Activity Planner'!$C178=SelPractice,'Activity Planner'!$AA178&gt;0),'Activity Planner'!$F178+ROW()/100000,"")</f>
        <v>0</v>
      </c>
    </row>
    <row r="179" spans="17:18">
      <c r="Q179">
        <f>IF(INDEX('Activity Planner'!$O179:$Z179,SelMonthNum)=1,'Activity Planner'!$F179+ROW()/100000,"")</f>
        <v>0</v>
      </c>
      <c r="R179">
        <f>IF(AND('Activity Planner'!$N179=1,'Activity Planner'!$C179=SelPractice,'Activity Planner'!$AA179&gt;0),'Activity Planner'!$F179+ROW()/100000,"")</f>
        <v>0</v>
      </c>
    </row>
    <row r="180" spans="17:18">
      <c r="Q180">
        <f>IF(INDEX('Activity Planner'!$O180:$Z180,SelMonthNum)=1,'Activity Planner'!$F180+ROW()/100000,"")</f>
        <v>0</v>
      </c>
      <c r="R180">
        <f>IF(AND('Activity Planner'!$N180=1,'Activity Planner'!$C180=SelPractice,'Activity Planner'!$AA180&gt;0),'Activity Planner'!$F180+ROW()/100000,"")</f>
        <v>0</v>
      </c>
    </row>
    <row r="181" spans="17:18">
      <c r="Q181">
        <f>IF(INDEX('Activity Planner'!$O181:$Z181,SelMonthNum)=1,'Activity Planner'!$F181+ROW()/100000,"")</f>
        <v>0</v>
      </c>
      <c r="R181">
        <f>IF(AND('Activity Planner'!$N181=1,'Activity Planner'!$C181=SelPractice,'Activity Planner'!$AA181&gt;0),'Activity Planner'!$F181+ROW()/100000,"")</f>
        <v>0</v>
      </c>
    </row>
    <row r="182" spans="17:18">
      <c r="Q182">
        <f>IF(INDEX('Activity Planner'!$O182:$Z182,SelMonthNum)=1,'Activity Planner'!$F182+ROW()/100000,"")</f>
        <v>0</v>
      </c>
      <c r="R182">
        <f>IF(AND('Activity Planner'!$N182=1,'Activity Planner'!$C182=SelPractice,'Activity Planner'!$AA182&gt;0),'Activity Planner'!$F182+ROW()/100000,"")</f>
        <v>0</v>
      </c>
    </row>
    <row r="183" spans="17:18">
      <c r="Q183">
        <f>IF(INDEX('Activity Planner'!$O183:$Z183,SelMonthNum)=1,'Activity Planner'!$F183+ROW()/100000,"")</f>
        <v>0</v>
      </c>
      <c r="R183">
        <f>IF(AND('Activity Planner'!$N183=1,'Activity Planner'!$C183=SelPractice,'Activity Planner'!$AA183&gt;0),'Activity Planner'!$F183+ROW()/100000,"")</f>
        <v>0</v>
      </c>
    </row>
    <row r="184" spans="17:18">
      <c r="Q184">
        <f>IF(INDEX('Activity Planner'!$O184:$Z184,SelMonthNum)=1,'Activity Planner'!$F184+ROW()/100000,"")</f>
        <v>0</v>
      </c>
      <c r="R184">
        <f>IF(AND('Activity Planner'!$N184=1,'Activity Planner'!$C184=SelPractice,'Activity Planner'!$AA184&gt;0),'Activity Planner'!$F184+ROW()/100000,"")</f>
        <v>0</v>
      </c>
    </row>
    <row r="185" spans="17:18">
      <c r="Q185">
        <f>IF(INDEX('Activity Planner'!$O185:$Z185,SelMonthNum)=1,'Activity Planner'!$F185+ROW()/100000,"")</f>
        <v>0</v>
      </c>
      <c r="R185">
        <f>IF(AND('Activity Planner'!$N185=1,'Activity Planner'!$C185=SelPractice,'Activity Planner'!$AA185&gt;0),'Activity Planner'!$F185+ROW()/100000,"")</f>
        <v>0</v>
      </c>
    </row>
    <row r="186" spans="17:18">
      <c r="Q186">
        <f>IF(INDEX('Activity Planner'!$O186:$Z186,SelMonthNum)=1,'Activity Planner'!$F186+ROW()/100000,"")</f>
        <v>0</v>
      </c>
      <c r="R186">
        <f>IF(AND('Activity Planner'!$N186=1,'Activity Planner'!$C186=SelPractice,'Activity Planner'!$AA186&gt;0),'Activity Planner'!$F186+ROW()/100000,"")</f>
        <v>0</v>
      </c>
    </row>
    <row r="187" spans="17:18">
      <c r="Q187">
        <f>IF(INDEX('Activity Planner'!$O187:$Z187,SelMonthNum)=1,'Activity Planner'!$F187+ROW()/100000,"")</f>
        <v>0</v>
      </c>
      <c r="R187">
        <f>IF(AND('Activity Planner'!$N187=1,'Activity Planner'!$C187=SelPractice,'Activity Planner'!$AA187&gt;0),'Activity Planner'!$F187+ROW()/100000,"")</f>
        <v>0</v>
      </c>
    </row>
    <row r="188" spans="17:18">
      <c r="Q188">
        <f>IF(INDEX('Activity Planner'!$O188:$Z188,SelMonthNum)=1,'Activity Planner'!$F188+ROW()/100000,"")</f>
        <v>0</v>
      </c>
      <c r="R188">
        <f>IF(AND('Activity Planner'!$N188=1,'Activity Planner'!$C188=SelPractice,'Activity Planner'!$AA188&gt;0),'Activity Planner'!$F188+ROW()/100000,"")</f>
        <v>0</v>
      </c>
    </row>
    <row r="189" spans="17:18">
      <c r="Q189">
        <f>IF(INDEX('Activity Planner'!$O189:$Z189,SelMonthNum)=1,'Activity Planner'!$F189+ROW()/100000,"")</f>
        <v>0</v>
      </c>
      <c r="R189">
        <f>IF(AND('Activity Planner'!$N189=1,'Activity Planner'!$C189=SelPractice,'Activity Planner'!$AA189&gt;0),'Activity Planner'!$F189+ROW()/100000,"")</f>
        <v>0</v>
      </c>
    </row>
    <row r="190" spans="17:18">
      <c r="Q190">
        <f>IF(INDEX('Activity Planner'!$O190:$Z190,SelMonthNum)=1,'Activity Planner'!$F190+ROW()/100000,"")</f>
        <v>0</v>
      </c>
      <c r="R190">
        <f>IF(AND('Activity Planner'!$N190=1,'Activity Planner'!$C190=SelPractice,'Activity Planner'!$AA190&gt;0),'Activity Planner'!$F190+ROW()/100000,"")</f>
        <v>0</v>
      </c>
    </row>
    <row r="191" spans="17:18">
      <c r="Q191">
        <f>IF(INDEX('Activity Planner'!$O191:$Z191,SelMonthNum)=1,'Activity Planner'!$F191+ROW()/100000,"")</f>
        <v>0</v>
      </c>
      <c r="R191">
        <f>IF(AND('Activity Planner'!$N191=1,'Activity Planner'!$C191=SelPractice,'Activity Planner'!$AA191&gt;0),'Activity Planner'!$F191+ROW()/100000,"")</f>
        <v>0</v>
      </c>
    </row>
    <row r="192" spans="17:18">
      <c r="Q192">
        <f>IF(INDEX('Activity Planner'!$O192:$Z192,SelMonthNum)=1,'Activity Planner'!$F192+ROW()/100000,"")</f>
        <v>0</v>
      </c>
      <c r="R192">
        <f>IF(AND('Activity Planner'!$N192=1,'Activity Planner'!$C192=SelPractice,'Activity Planner'!$AA192&gt;0),'Activity Planner'!$F192+ROW()/100000,"")</f>
        <v>0</v>
      </c>
    </row>
    <row r="193" spans="17:18">
      <c r="Q193">
        <f>IF(INDEX('Activity Planner'!$O193:$Z193,SelMonthNum)=1,'Activity Planner'!$F193+ROW()/100000,"")</f>
        <v>0</v>
      </c>
      <c r="R193">
        <f>IF(AND('Activity Planner'!$N193=1,'Activity Planner'!$C193=SelPractice,'Activity Planner'!$AA193&gt;0),'Activity Planner'!$F193+ROW()/100000,"")</f>
        <v>0</v>
      </c>
    </row>
    <row r="194" spans="17:18">
      <c r="Q194">
        <f>IF(INDEX('Activity Planner'!$O194:$Z194,SelMonthNum)=1,'Activity Planner'!$F194+ROW()/100000,"")</f>
        <v>0</v>
      </c>
      <c r="R194">
        <f>IF(AND('Activity Planner'!$N194=1,'Activity Planner'!$C194=SelPractice,'Activity Planner'!$AA194&gt;0),'Activity Planner'!$F194+ROW()/100000,"")</f>
        <v>0</v>
      </c>
    </row>
    <row r="195" spans="17:18">
      <c r="Q195">
        <f>IF(INDEX('Activity Planner'!$O195:$Z195,SelMonthNum)=1,'Activity Planner'!$F195+ROW()/100000,"")</f>
        <v>0</v>
      </c>
      <c r="R195">
        <f>IF(AND('Activity Planner'!$N195=1,'Activity Planner'!$C195=SelPractice,'Activity Planner'!$AA195&gt;0),'Activity Planner'!$F195+ROW()/100000,"")</f>
        <v>0</v>
      </c>
    </row>
    <row r="196" spans="17:18">
      <c r="Q196">
        <f>IF(INDEX('Activity Planner'!$O196:$Z196,SelMonthNum)=1,'Activity Planner'!$F196+ROW()/100000,"")</f>
        <v>0</v>
      </c>
      <c r="R196">
        <f>IF(AND('Activity Planner'!$N196=1,'Activity Planner'!$C196=SelPractice,'Activity Planner'!$AA196&gt;0),'Activity Planner'!$F196+ROW()/100000,"")</f>
        <v>0</v>
      </c>
    </row>
    <row r="197" spans="17:18">
      <c r="Q197">
        <f>IF(INDEX('Activity Planner'!$O197:$Z197,SelMonthNum)=1,'Activity Planner'!$F197+ROW()/100000,"")</f>
        <v>0</v>
      </c>
      <c r="R197">
        <f>IF(AND('Activity Planner'!$N197=1,'Activity Planner'!$C197=SelPractice,'Activity Planner'!$AA197&gt;0),'Activity Planner'!$F197+ROW()/100000,"")</f>
        <v>0</v>
      </c>
    </row>
    <row r="198" spans="17:18">
      <c r="Q198">
        <f>IF(INDEX('Activity Planner'!$O198:$Z198,SelMonthNum)=1,'Activity Planner'!$F198+ROW()/100000,"")</f>
        <v>0</v>
      </c>
      <c r="R198">
        <f>IF(AND('Activity Planner'!$N198=1,'Activity Planner'!$C198=SelPractice,'Activity Planner'!$AA198&gt;0),'Activity Planner'!$F198+ROW()/100000,"")</f>
        <v>0</v>
      </c>
    </row>
    <row r="199" spans="17:18">
      <c r="Q199">
        <f>IF(INDEX('Activity Planner'!$O199:$Z199,SelMonthNum)=1,'Activity Planner'!$F199+ROW()/100000,"")</f>
        <v>0</v>
      </c>
      <c r="R199">
        <f>IF(AND('Activity Planner'!$N199=1,'Activity Planner'!$C199=SelPractice,'Activity Planner'!$AA199&gt;0),'Activity Planner'!$F199+ROW()/100000,"")</f>
        <v>0</v>
      </c>
    </row>
    <row r="200" spans="17:18">
      <c r="Q200">
        <f>IF(INDEX('Activity Planner'!$O200:$Z200,SelMonthNum)=1,'Activity Planner'!$F200+ROW()/100000,"")</f>
        <v>0</v>
      </c>
      <c r="R200">
        <f>IF(AND('Activity Planner'!$N200=1,'Activity Planner'!$C200=SelPractice,'Activity Planner'!$AA200&gt;0),'Activity Planner'!$F200+ROW()/100000,"")</f>
        <v>0</v>
      </c>
    </row>
    <row r="201" spans="17:18">
      <c r="Q201">
        <f>IF(INDEX('Activity Planner'!$O201:$Z201,SelMonthNum)=1,'Activity Planner'!$F201+ROW()/100000,"")</f>
        <v>0</v>
      </c>
      <c r="R201">
        <f>IF(AND('Activity Planner'!$N201=1,'Activity Planner'!$C201=SelPractice,'Activity Planner'!$AA201&gt;0),'Activity Planner'!$F201+ROW()/100000,"")</f>
        <v>0</v>
      </c>
    </row>
    <row r="202" spans="17:18">
      <c r="Q202">
        <f>IF(INDEX('Activity Planner'!$O202:$Z202,SelMonthNum)=1,'Activity Planner'!$F202+ROW()/100000,"")</f>
        <v>0</v>
      </c>
      <c r="R202">
        <f>IF(AND('Activity Planner'!$N202=1,'Activity Planner'!$C202=SelPractice,'Activity Planner'!$AA202&gt;0),'Activity Planner'!$F202+ROW()/100000,"")</f>
        <v>0</v>
      </c>
    </row>
    <row r="203" spans="17:18">
      <c r="Q203">
        <f>IF(INDEX('Activity Planner'!$O203:$Z203,SelMonthNum)=1,'Activity Planner'!$F203+ROW()/100000,"")</f>
        <v>0</v>
      </c>
      <c r="R203">
        <f>IF(AND('Activity Planner'!$N203=1,'Activity Planner'!$C203=SelPractice,'Activity Planner'!$AA203&gt;0),'Activity Planner'!$F203+ROW()/100000,"")</f>
        <v>0</v>
      </c>
    </row>
    <row r="204" spans="17:18">
      <c r="Q204">
        <f>IF(INDEX('Activity Planner'!$O204:$Z204,SelMonthNum)=1,'Activity Planner'!$F204+ROW()/100000,"")</f>
        <v>0</v>
      </c>
      <c r="R204">
        <f>IF(AND('Activity Planner'!$N204=1,'Activity Planner'!$C204=SelPractice,'Activity Planner'!$AA204&gt;0),'Activity Planner'!$F204+ROW()/100000,"")</f>
        <v>0</v>
      </c>
    </row>
    <row r="205" spans="17:18">
      <c r="Q205">
        <f>IF(INDEX('Activity Planner'!$O205:$Z205,SelMonthNum)=1,'Activity Planner'!$F205+ROW()/100000,"")</f>
        <v>0</v>
      </c>
      <c r="R205">
        <f>IF(AND('Activity Planner'!$N205=1,'Activity Planner'!$C205=SelPractice,'Activity Planner'!$AA205&gt;0),'Activity Planner'!$F205+ROW()/100000,"")</f>
        <v>0</v>
      </c>
    </row>
    <row r="206" spans="17:18">
      <c r="Q206">
        <f>IF(INDEX('Activity Planner'!$O206:$Z206,SelMonthNum)=1,'Activity Planner'!$F206+ROW()/100000,"")</f>
        <v>0</v>
      </c>
      <c r="R206">
        <f>IF(AND('Activity Planner'!$N206=1,'Activity Planner'!$C206=SelPractice,'Activity Planner'!$AA206&gt;0),'Activity Planner'!$F206+ROW()/100000,"")</f>
        <v>0</v>
      </c>
    </row>
    <row r="207" spans="17:18">
      <c r="Q207">
        <f>IF(INDEX('Activity Planner'!$O207:$Z207,SelMonthNum)=1,'Activity Planner'!$F207+ROW()/100000,"")</f>
        <v>0</v>
      </c>
      <c r="R207">
        <f>IF(AND('Activity Planner'!$N207=1,'Activity Planner'!$C207=SelPractice,'Activity Planner'!$AA207&gt;0),'Activity Planner'!$F207+ROW()/100000,"")</f>
        <v>0</v>
      </c>
    </row>
    <row r="208" spans="17:18">
      <c r="Q208">
        <f>IF(INDEX('Activity Planner'!$O208:$Z208,SelMonthNum)=1,'Activity Planner'!$F208+ROW()/100000,"")</f>
        <v>0</v>
      </c>
      <c r="R208">
        <f>IF(AND('Activity Planner'!$N208=1,'Activity Planner'!$C208=SelPractice,'Activity Planner'!$AA208&gt;0),'Activity Planner'!$F208+ROW()/100000,"")</f>
        <v>0</v>
      </c>
    </row>
    <row r="209" spans="17:18">
      <c r="Q209">
        <f>IF(INDEX('Activity Planner'!$O209:$Z209,SelMonthNum)=1,'Activity Planner'!$F209+ROW()/100000,"")</f>
        <v>0</v>
      </c>
      <c r="R209">
        <f>IF(AND('Activity Planner'!$N209=1,'Activity Planner'!$C209=SelPractice,'Activity Planner'!$AA209&gt;0),'Activity Planner'!$F209+ROW()/100000,"")</f>
        <v>0</v>
      </c>
    </row>
    <row r="210" spans="17:18">
      <c r="Q210">
        <f>IF(INDEX('Activity Planner'!$O210:$Z210,SelMonthNum)=1,'Activity Planner'!$F210+ROW()/100000,"")</f>
        <v>0</v>
      </c>
      <c r="R210">
        <f>IF(AND('Activity Planner'!$N210=1,'Activity Planner'!$C210=SelPractice,'Activity Planner'!$AA210&gt;0),'Activity Planner'!$F210+ROW()/100000,"")</f>
        <v>0</v>
      </c>
    </row>
    <row r="211" spans="17:18">
      <c r="Q211">
        <f>IF(INDEX('Activity Planner'!$O211:$Z211,SelMonthNum)=1,'Activity Planner'!$F211+ROW()/100000,"")</f>
        <v>0</v>
      </c>
      <c r="R211">
        <f>IF(AND('Activity Planner'!$N211=1,'Activity Planner'!$C211=SelPractice,'Activity Planner'!$AA211&gt;0),'Activity Planner'!$F211+ROW()/100000,"")</f>
        <v>0</v>
      </c>
    </row>
    <row r="212" spans="17:18">
      <c r="Q212">
        <f>IF(INDEX('Activity Planner'!$O212:$Z212,SelMonthNum)=1,'Activity Planner'!$F212+ROW()/100000,"")</f>
        <v>0</v>
      </c>
      <c r="R212">
        <f>IF(AND('Activity Planner'!$N212=1,'Activity Planner'!$C212=SelPractice,'Activity Planner'!$AA212&gt;0),'Activity Planner'!$F212+ROW()/100000,"")</f>
        <v>0</v>
      </c>
    </row>
    <row r="213" spans="17:18">
      <c r="Q213">
        <f>IF(INDEX('Activity Planner'!$O213:$Z213,SelMonthNum)=1,'Activity Planner'!$F213+ROW()/100000,"")</f>
        <v>0</v>
      </c>
      <c r="R213">
        <f>IF(AND('Activity Planner'!$N213=1,'Activity Planner'!$C213=SelPractice,'Activity Planner'!$AA213&gt;0),'Activity Planner'!$F213+ROW()/100000,"")</f>
        <v>0</v>
      </c>
    </row>
    <row r="214" spans="17:18">
      <c r="Q214">
        <f>IF(INDEX('Activity Planner'!$O214:$Z214,SelMonthNum)=1,'Activity Planner'!$F214+ROW()/100000,"")</f>
        <v>0</v>
      </c>
      <c r="R214">
        <f>IF(AND('Activity Planner'!$N214=1,'Activity Planner'!$C214=SelPractice,'Activity Planner'!$AA214&gt;0),'Activity Planner'!$F214+ROW()/100000,"")</f>
        <v>0</v>
      </c>
    </row>
    <row r="215" spans="17:18">
      <c r="Q215">
        <f>IF(INDEX('Activity Planner'!$O215:$Z215,SelMonthNum)=1,'Activity Planner'!$F215+ROW()/100000,"")</f>
        <v>0</v>
      </c>
      <c r="R215">
        <f>IF(AND('Activity Planner'!$N215=1,'Activity Planner'!$C215=SelPractice,'Activity Planner'!$AA215&gt;0),'Activity Planner'!$F215+ROW()/100000,"")</f>
        <v>0</v>
      </c>
    </row>
    <row r="216" spans="17:18">
      <c r="Q216">
        <f>IF(INDEX('Activity Planner'!$O216:$Z216,SelMonthNum)=1,'Activity Planner'!$F216+ROW()/100000,"")</f>
        <v>0</v>
      </c>
      <c r="R216">
        <f>IF(AND('Activity Planner'!$N216=1,'Activity Planner'!$C216=SelPractice,'Activity Planner'!$AA216&gt;0),'Activity Planner'!$F216+ROW()/100000,"")</f>
        <v>0</v>
      </c>
    </row>
    <row r="217" spans="17:18">
      <c r="Q217">
        <f>IF(INDEX('Activity Planner'!$O217:$Z217,SelMonthNum)=1,'Activity Planner'!$F217+ROW()/100000,"")</f>
        <v>0</v>
      </c>
      <c r="R217">
        <f>IF(AND('Activity Planner'!$N217=1,'Activity Planner'!$C217=SelPractice,'Activity Planner'!$AA217&gt;0),'Activity Planner'!$F217+ROW()/100000,"")</f>
        <v>0</v>
      </c>
    </row>
    <row r="218" spans="17:18">
      <c r="Q218">
        <f>IF(INDEX('Activity Planner'!$O218:$Z218,SelMonthNum)=1,'Activity Planner'!$F218+ROW()/100000,"")</f>
        <v>0</v>
      </c>
      <c r="R218">
        <f>IF(AND('Activity Planner'!$N218=1,'Activity Planner'!$C218=SelPractice,'Activity Planner'!$AA218&gt;0),'Activity Planner'!$F218+ROW()/100000,"")</f>
        <v>0</v>
      </c>
    </row>
    <row r="219" spans="17:18">
      <c r="Q219">
        <f>IF(INDEX('Activity Planner'!$O219:$Z219,SelMonthNum)=1,'Activity Planner'!$F219+ROW()/100000,"")</f>
        <v>0</v>
      </c>
      <c r="R219">
        <f>IF(AND('Activity Planner'!$N219=1,'Activity Planner'!$C219=SelPractice,'Activity Planner'!$AA219&gt;0),'Activity Planner'!$F219+ROW()/100000,"")</f>
        <v>0</v>
      </c>
    </row>
    <row r="220" spans="17:18">
      <c r="Q220">
        <f>IF(INDEX('Activity Planner'!$O220:$Z220,SelMonthNum)=1,'Activity Planner'!$F220+ROW()/100000,"")</f>
        <v>0</v>
      </c>
      <c r="R220">
        <f>IF(AND('Activity Planner'!$N220=1,'Activity Planner'!$C220=SelPractice,'Activity Planner'!$AA220&gt;0),'Activity Planner'!$F220+ROW()/100000,"")</f>
        <v>0</v>
      </c>
    </row>
    <row r="221" spans="17:18">
      <c r="Q221">
        <f>IF(INDEX('Activity Planner'!$O221:$Z221,SelMonthNum)=1,'Activity Planner'!$F221+ROW()/100000,"")</f>
        <v>0</v>
      </c>
      <c r="R221">
        <f>IF(AND('Activity Planner'!$N221=1,'Activity Planner'!$C221=SelPractice,'Activity Planner'!$AA221&gt;0),'Activity Planner'!$F221+ROW()/100000,"")</f>
        <v>0</v>
      </c>
    </row>
    <row r="222" spans="17:18">
      <c r="Q222">
        <f>IF(INDEX('Activity Planner'!$O222:$Z222,SelMonthNum)=1,'Activity Planner'!$F222+ROW()/100000,"")</f>
        <v>0</v>
      </c>
      <c r="R222">
        <f>IF(AND('Activity Planner'!$N222=1,'Activity Planner'!$C222=SelPractice,'Activity Planner'!$AA222&gt;0),'Activity Planner'!$F222+ROW()/100000,"")</f>
        <v>0</v>
      </c>
    </row>
    <row r="223" spans="17:18">
      <c r="Q223">
        <f>IF(INDEX('Activity Planner'!$O223:$Z223,SelMonthNum)=1,'Activity Planner'!$F223+ROW()/100000,"")</f>
        <v>0</v>
      </c>
      <c r="R223">
        <f>IF(AND('Activity Planner'!$N223=1,'Activity Planner'!$C223=SelPractice,'Activity Planner'!$AA223&gt;0),'Activity Planner'!$F223+ROW()/100000,"")</f>
        <v>0</v>
      </c>
    </row>
    <row r="224" spans="17:18">
      <c r="Q224">
        <f>IF(INDEX('Activity Planner'!$O224:$Z224,SelMonthNum)=1,'Activity Planner'!$F224+ROW()/100000,"")</f>
        <v>0</v>
      </c>
      <c r="R224">
        <f>IF(AND('Activity Planner'!$N224=1,'Activity Planner'!$C224=SelPractice,'Activity Planner'!$AA224&gt;0),'Activity Planner'!$F224+ROW()/100000,"")</f>
        <v>0</v>
      </c>
    </row>
    <row r="225" spans="17:18">
      <c r="Q225">
        <f>IF(INDEX('Activity Planner'!$O225:$Z225,SelMonthNum)=1,'Activity Planner'!$F225+ROW()/100000,"")</f>
        <v>0</v>
      </c>
      <c r="R225">
        <f>IF(AND('Activity Planner'!$N225=1,'Activity Planner'!$C225=SelPractice,'Activity Planner'!$AA225&gt;0),'Activity Planner'!$F225+ROW()/100000,"")</f>
        <v>0</v>
      </c>
    </row>
    <row r="226" spans="17:18">
      <c r="Q226">
        <f>IF(INDEX('Activity Planner'!$O226:$Z226,SelMonthNum)=1,'Activity Planner'!$F226+ROW()/100000,"")</f>
        <v>0</v>
      </c>
      <c r="R226">
        <f>IF(AND('Activity Planner'!$N226=1,'Activity Planner'!$C226=SelPractice,'Activity Planner'!$AA226&gt;0),'Activity Planner'!$F226+ROW()/100000,"")</f>
        <v>0</v>
      </c>
    </row>
    <row r="227" spans="17:18">
      <c r="Q227">
        <f>IF(INDEX('Activity Planner'!$O227:$Z227,SelMonthNum)=1,'Activity Planner'!$F227+ROW()/100000,"")</f>
        <v>0</v>
      </c>
      <c r="R227">
        <f>IF(AND('Activity Planner'!$N227=1,'Activity Planner'!$C227=SelPractice,'Activity Planner'!$AA227&gt;0),'Activity Planner'!$F227+ROW()/100000,"")</f>
        <v>0</v>
      </c>
    </row>
    <row r="228" spans="17:18">
      <c r="Q228">
        <f>IF(INDEX('Activity Planner'!$O228:$Z228,SelMonthNum)=1,'Activity Planner'!$F228+ROW()/100000,"")</f>
        <v>0</v>
      </c>
      <c r="R228">
        <f>IF(AND('Activity Planner'!$N228=1,'Activity Planner'!$C228=SelPractice,'Activity Planner'!$AA228&gt;0),'Activity Planner'!$F228+ROW()/100000,"")</f>
        <v>0</v>
      </c>
    </row>
    <row r="229" spans="17:18">
      <c r="Q229">
        <f>IF(INDEX('Activity Planner'!$O229:$Z229,SelMonthNum)=1,'Activity Planner'!$F229+ROW()/100000,"")</f>
        <v>0</v>
      </c>
      <c r="R229">
        <f>IF(AND('Activity Planner'!$N229=1,'Activity Planner'!$C229=SelPractice,'Activity Planner'!$AA229&gt;0),'Activity Planner'!$F229+ROW()/100000,"")</f>
        <v>0</v>
      </c>
    </row>
    <row r="230" spans="17:18">
      <c r="Q230">
        <f>IF(INDEX('Activity Planner'!$O230:$Z230,SelMonthNum)=1,'Activity Planner'!$F230+ROW()/100000,"")</f>
        <v>0</v>
      </c>
      <c r="R230">
        <f>IF(AND('Activity Planner'!$N230=1,'Activity Planner'!$C230=SelPractice,'Activity Planner'!$AA230&gt;0),'Activity Planner'!$F230+ROW()/100000,"")</f>
        <v>0</v>
      </c>
    </row>
    <row r="231" spans="17:18">
      <c r="Q231">
        <f>IF(INDEX('Activity Planner'!$O231:$Z231,SelMonthNum)=1,'Activity Planner'!$F231+ROW()/100000,"")</f>
        <v>0</v>
      </c>
      <c r="R231">
        <f>IF(AND('Activity Planner'!$N231=1,'Activity Planner'!$C231=SelPractice,'Activity Planner'!$AA231&gt;0),'Activity Planner'!$F231+ROW()/100000,"")</f>
        <v>0</v>
      </c>
    </row>
    <row r="232" spans="17:18">
      <c r="Q232">
        <f>IF(INDEX('Activity Planner'!$O232:$Z232,SelMonthNum)=1,'Activity Planner'!$F232+ROW()/100000,"")</f>
        <v>0</v>
      </c>
      <c r="R232">
        <f>IF(AND('Activity Planner'!$N232=1,'Activity Planner'!$C232=SelPractice,'Activity Planner'!$AA232&gt;0),'Activity Planner'!$F232+ROW()/100000,"")</f>
        <v>0</v>
      </c>
    </row>
    <row r="233" spans="17:18">
      <c r="Q233">
        <f>IF(INDEX('Activity Planner'!$O233:$Z233,SelMonthNum)=1,'Activity Planner'!$F233+ROW()/100000,"")</f>
        <v>0</v>
      </c>
      <c r="R233">
        <f>IF(AND('Activity Planner'!$N233=1,'Activity Planner'!$C233=SelPractice,'Activity Planner'!$AA233&gt;0),'Activity Planner'!$F233+ROW()/100000,"")</f>
        <v>0</v>
      </c>
    </row>
    <row r="234" spans="17:18">
      <c r="Q234">
        <f>IF(INDEX('Activity Planner'!$O234:$Z234,SelMonthNum)=1,'Activity Planner'!$F234+ROW()/100000,"")</f>
        <v>0</v>
      </c>
      <c r="R234">
        <f>IF(AND('Activity Planner'!$N234=1,'Activity Planner'!$C234=SelPractice,'Activity Planner'!$AA234&gt;0),'Activity Planner'!$F234+ROW()/100000,"")</f>
        <v>0</v>
      </c>
    </row>
    <row r="235" spans="17:18">
      <c r="Q235">
        <f>IF(INDEX('Activity Planner'!$O235:$Z235,SelMonthNum)=1,'Activity Planner'!$F235+ROW()/100000,"")</f>
        <v>0</v>
      </c>
      <c r="R235">
        <f>IF(AND('Activity Planner'!$N235=1,'Activity Planner'!$C235=SelPractice,'Activity Planner'!$AA235&gt;0),'Activity Planner'!$F235+ROW()/100000,"")</f>
        <v>0</v>
      </c>
    </row>
    <row r="236" spans="17:18">
      <c r="Q236">
        <f>IF(INDEX('Activity Planner'!$O236:$Z236,SelMonthNum)=1,'Activity Planner'!$F236+ROW()/100000,"")</f>
        <v>0</v>
      </c>
      <c r="R236">
        <f>IF(AND('Activity Planner'!$N236=1,'Activity Planner'!$C236=SelPractice,'Activity Planner'!$AA236&gt;0),'Activity Planner'!$F236+ROW()/100000,"")</f>
        <v>0</v>
      </c>
    </row>
    <row r="237" spans="17:18">
      <c r="Q237">
        <f>IF(INDEX('Activity Planner'!$O237:$Z237,SelMonthNum)=1,'Activity Planner'!$F237+ROW()/100000,"")</f>
        <v>0</v>
      </c>
      <c r="R237">
        <f>IF(AND('Activity Planner'!$N237=1,'Activity Planner'!$C237=SelPractice,'Activity Planner'!$AA237&gt;0),'Activity Planner'!$F237+ROW()/100000,"")</f>
        <v>0</v>
      </c>
    </row>
    <row r="238" spans="17:18">
      <c r="Q238">
        <f>IF(INDEX('Activity Planner'!$O238:$Z238,SelMonthNum)=1,'Activity Planner'!$F238+ROW()/100000,"")</f>
        <v>0</v>
      </c>
      <c r="R238">
        <f>IF(AND('Activity Planner'!$N238=1,'Activity Planner'!$C238=SelPractice,'Activity Planner'!$AA238&gt;0),'Activity Planner'!$F238+ROW()/100000,"")</f>
        <v>0</v>
      </c>
    </row>
    <row r="239" spans="17:18">
      <c r="Q239">
        <f>IF(INDEX('Activity Planner'!$O239:$Z239,SelMonthNum)=1,'Activity Planner'!$F239+ROW()/100000,"")</f>
        <v>0</v>
      </c>
      <c r="R239">
        <f>IF(AND('Activity Planner'!$N239=1,'Activity Planner'!$C239=SelPractice,'Activity Planner'!$AA239&gt;0),'Activity Planner'!$F239+ROW()/100000,"")</f>
        <v>0</v>
      </c>
    </row>
    <row r="240" spans="17:18">
      <c r="Q240">
        <f>IF(INDEX('Activity Planner'!$O240:$Z240,SelMonthNum)=1,'Activity Planner'!$F240+ROW()/100000,"")</f>
        <v>0</v>
      </c>
      <c r="R240">
        <f>IF(AND('Activity Planner'!$N240=1,'Activity Planner'!$C240=SelPractice,'Activity Planner'!$AA240&gt;0),'Activity Planner'!$F240+ROW()/100000,"")</f>
        <v>0</v>
      </c>
    </row>
    <row r="241" spans="17:18">
      <c r="Q241">
        <f>IF(INDEX('Activity Planner'!$O241:$Z241,SelMonthNum)=1,'Activity Planner'!$F241+ROW()/100000,"")</f>
        <v>0</v>
      </c>
      <c r="R241">
        <f>IF(AND('Activity Planner'!$N241=1,'Activity Planner'!$C241=SelPractice,'Activity Planner'!$AA241&gt;0),'Activity Planner'!$F241+ROW()/100000,"")</f>
        <v>0</v>
      </c>
    </row>
    <row r="242" spans="17:18">
      <c r="Q242">
        <f>IF(INDEX('Activity Planner'!$O242:$Z242,SelMonthNum)=1,'Activity Planner'!$F242+ROW()/100000,"")</f>
        <v>0</v>
      </c>
      <c r="R242">
        <f>IF(AND('Activity Planner'!$N242=1,'Activity Planner'!$C242=SelPractice,'Activity Planner'!$AA242&gt;0),'Activity Planner'!$F242+ROW()/100000,"")</f>
        <v>0</v>
      </c>
    </row>
    <row r="243" spans="17:18">
      <c r="Q243">
        <f>IF(INDEX('Activity Planner'!$O243:$Z243,SelMonthNum)=1,'Activity Planner'!$F243+ROW()/100000,"")</f>
        <v>0</v>
      </c>
      <c r="R243">
        <f>IF(AND('Activity Planner'!$N243=1,'Activity Planner'!$C243=SelPractice,'Activity Planner'!$AA243&gt;0),'Activity Planner'!$F243+ROW()/100000,"")</f>
        <v>0</v>
      </c>
    </row>
    <row r="244" spans="17:18">
      <c r="Q244">
        <f>IF(INDEX('Activity Planner'!$O244:$Z244,SelMonthNum)=1,'Activity Planner'!$F244+ROW()/100000,"")</f>
        <v>0</v>
      </c>
      <c r="R244">
        <f>IF(AND('Activity Planner'!$N244=1,'Activity Planner'!$C244=SelPractice,'Activity Planner'!$AA244&gt;0),'Activity Planner'!$F244+ROW()/100000,"")</f>
        <v>0</v>
      </c>
    </row>
    <row r="245" spans="17:18">
      <c r="Q245">
        <f>IF(INDEX('Activity Planner'!$O245:$Z245,SelMonthNum)=1,'Activity Planner'!$F245+ROW()/100000,"")</f>
        <v>0</v>
      </c>
      <c r="R245">
        <f>IF(AND('Activity Planner'!$N245=1,'Activity Planner'!$C245=SelPractice,'Activity Planner'!$AA245&gt;0),'Activity Planner'!$F245+ROW()/100000,"")</f>
        <v>0</v>
      </c>
    </row>
    <row r="246" spans="17:18">
      <c r="Q246">
        <f>IF(INDEX('Activity Planner'!$O246:$Z246,SelMonthNum)=1,'Activity Planner'!$F246+ROW()/100000,"")</f>
        <v>0</v>
      </c>
      <c r="R246">
        <f>IF(AND('Activity Planner'!$N246=1,'Activity Planner'!$C246=SelPractice,'Activity Planner'!$AA246&gt;0),'Activity Planner'!$F246+ROW()/100000,"")</f>
        <v>0</v>
      </c>
    </row>
    <row r="247" spans="17:18">
      <c r="Q247">
        <f>IF(INDEX('Activity Planner'!$O247:$Z247,SelMonthNum)=1,'Activity Planner'!$F247+ROW()/100000,"")</f>
        <v>0</v>
      </c>
      <c r="R247">
        <f>IF(AND('Activity Planner'!$N247=1,'Activity Planner'!$C247=SelPractice,'Activity Planner'!$AA247&gt;0),'Activity Planner'!$F247+ROW()/100000,"")</f>
        <v>0</v>
      </c>
    </row>
    <row r="248" spans="17:18">
      <c r="Q248">
        <f>IF(INDEX('Activity Planner'!$O248:$Z248,SelMonthNum)=1,'Activity Planner'!$F248+ROW()/100000,"")</f>
        <v>0</v>
      </c>
      <c r="R248">
        <f>IF(AND('Activity Planner'!$N248=1,'Activity Planner'!$C248=SelPractice,'Activity Planner'!$AA248&gt;0),'Activity Planner'!$F248+ROW()/100000,"")</f>
        <v>0</v>
      </c>
    </row>
    <row r="249" spans="17:18">
      <c r="Q249">
        <f>IF(INDEX('Activity Planner'!$O249:$Z249,SelMonthNum)=1,'Activity Planner'!$F249+ROW()/100000,"")</f>
        <v>0</v>
      </c>
      <c r="R249">
        <f>IF(AND('Activity Planner'!$N249=1,'Activity Planner'!$C249=SelPractice,'Activity Planner'!$AA249&gt;0),'Activity Planner'!$F249+ROW()/100000,"")</f>
        <v>0</v>
      </c>
    </row>
    <row r="250" spans="17:18">
      <c r="Q250">
        <f>IF(INDEX('Activity Planner'!$O250:$Z250,SelMonthNum)=1,'Activity Planner'!$F250+ROW()/100000,"")</f>
        <v>0</v>
      </c>
      <c r="R250">
        <f>IF(AND('Activity Planner'!$N250=1,'Activity Planner'!$C250=SelPractice,'Activity Planner'!$AA250&gt;0),'Activity Planner'!$F250+ROW()/100000,"")</f>
        <v>0</v>
      </c>
    </row>
    <row r="251" spans="17:18">
      <c r="Q251">
        <f>IF(INDEX('Activity Planner'!$O251:$Z251,SelMonthNum)=1,'Activity Planner'!$F251+ROW()/100000,"")</f>
        <v>0</v>
      </c>
      <c r="R251">
        <f>IF(AND('Activity Planner'!$N251=1,'Activity Planner'!$C251=SelPractice,'Activity Planner'!$AA251&gt;0),'Activity Planner'!$F251+ROW()/100000,"")</f>
        <v>0</v>
      </c>
    </row>
    <row r="252" spans="17:18">
      <c r="Q252">
        <f>IF(INDEX('Activity Planner'!$O252:$Z252,SelMonthNum)=1,'Activity Planner'!$F252+ROW()/100000,"")</f>
        <v>0</v>
      </c>
      <c r="R252">
        <f>IF(AND('Activity Planner'!$N252=1,'Activity Planner'!$C252=SelPractice,'Activity Planner'!$AA252&gt;0),'Activity Planner'!$F252+ROW()/100000,"")</f>
        <v>0</v>
      </c>
    </row>
    <row r="253" spans="17:18">
      <c r="Q253">
        <f>IF(INDEX('Activity Planner'!$O253:$Z253,SelMonthNum)=1,'Activity Planner'!$F253+ROW()/100000,"")</f>
        <v>0</v>
      </c>
      <c r="R253">
        <f>IF(AND('Activity Planner'!$N253=1,'Activity Planner'!$C253=SelPractice,'Activity Planner'!$AA253&gt;0),'Activity Planner'!$F253+ROW()/100000,"")</f>
        <v>0</v>
      </c>
    </row>
    <row r="254" spans="17:18">
      <c r="Q254">
        <f>IF(INDEX('Activity Planner'!$O254:$Z254,SelMonthNum)=1,'Activity Planner'!$F254+ROW()/100000,"")</f>
        <v>0</v>
      </c>
      <c r="R254">
        <f>IF(AND('Activity Planner'!$N254=1,'Activity Planner'!$C254=SelPractice,'Activity Planner'!$AA254&gt;0),'Activity Planner'!$F254+ROW()/100000,"")</f>
        <v>0</v>
      </c>
    </row>
    <row r="255" spans="17:18">
      <c r="Q255">
        <f>IF(INDEX('Activity Planner'!$O255:$Z255,SelMonthNum)=1,'Activity Planner'!$F255+ROW()/100000,"")</f>
        <v>0</v>
      </c>
      <c r="R255">
        <f>IF(AND('Activity Planner'!$N255=1,'Activity Planner'!$C255=SelPractice,'Activity Planner'!$AA255&gt;0),'Activity Planner'!$F255+ROW()/100000,"")</f>
        <v>0</v>
      </c>
    </row>
    <row r="256" spans="17:18">
      <c r="Q256">
        <f>IF(INDEX('Activity Planner'!$O256:$Z256,SelMonthNum)=1,'Activity Planner'!$F256+ROW()/100000,"")</f>
        <v>0</v>
      </c>
      <c r="R256">
        <f>IF(AND('Activity Planner'!$N256=1,'Activity Planner'!$C256=SelPractice,'Activity Planner'!$AA256&gt;0),'Activity Planner'!$F256+ROW()/100000,"")</f>
        <v>0</v>
      </c>
    </row>
    <row r="257" spans="17:18">
      <c r="Q257">
        <f>IF(INDEX('Activity Planner'!$O257:$Z257,SelMonthNum)=1,'Activity Planner'!$F257+ROW()/100000,"")</f>
        <v>0</v>
      </c>
      <c r="R257">
        <f>IF(AND('Activity Planner'!$N257=1,'Activity Planner'!$C257=SelPractice,'Activity Planner'!$AA257&gt;0),'Activity Planner'!$F257+ROW()/100000,"")</f>
        <v>0</v>
      </c>
    </row>
    <row r="258" spans="17:18">
      <c r="Q258">
        <f>IF(INDEX('Activity Planner'!$O258:$Z258,SelMonthNum)=1,'Activity Planner'!$F258+ROW()/100000,"")</f>
        <v>0</v>
      </c>
      <c r="R258">
        <f>IF(AND('Activity Planner'!$N258=1,'Activity Planner'!$C258=SelPractice,'Activity Planner'!$AA258&gt;0),'Activity Planner'!$F258+ROW()/100000,"")</f>
        <v>0</v>
      </c>
    </row>
    <row r="259" spans="17:18">
      <c r="Q259">
        <f>IF(INDEX('Activity Planner'!$O259:$Z259,SelMonthNum)=1,'Activity Planner'!$F259+ROW()/100000,"")</f>
        <v>0</v>
      </c>
      <c r="R259">
        <f>IF(AND('Activity Planner'!$N259=1,'Activity Planner'!$C259=SelPractice,'Activity Planner'!$AA259&gt;0),'Activity Planner'!$F259+ROW()/100000,"")</f>
        <v>0</v>
      </c>
    </row>
    <row r="260" spans="17:18">
      <c r="Q260">
        <f>IF(INDEX('Activity Planner'!$O260:$Z260,SelMonthNum)=1,'Activity Planner'!$F260+ROW()/100000,"")</f>
        <v>0</v>
      </c>
      <c r="R260">
        <f>IF(AND('Activity Planner'!$N260=1,'Activity Planner'!$C260=SelPractice,'Activity Planner'!$AA260&gt;0),'Activity Planner'!$F260+ROW()/100000,"")</f>
        <v>0</v>
      </c>
    </row>
    <row r="261" spans="17:18">
      <c r="Q261">
        <f>IF(INDEX('Activity Planner'!$O261:$Z261,SelMonthNum)=1,'Activity Planner'!$F261+ROW()/100000,"")</f>
        <v>0</v>
      </c>
      <c r="R261">
        <f>IF(AND('Activity Planner'!$N261=1,'Activity Planner'!$C261=SelPractice,'Activity Planner'!$AA261&gt;0),'Activity Planner'!$F261+ROW()/100000,"")</f>
        <v>0</v>
      </c>
    </row>
    <row r="262" spans="17:18">
      <c r="Q262">
        <f>IF(INDEX('Activity Planner'!$O262:$Z262,SelMonthNum)=1,'Activity Planner'!$F262+ROW()/100000,"")</f>
        <v>0</v>
      </c>
      <c r="R262">
        <f>IF(AND('Activity Planner'!$N262=1,'Activity Planner'!$C262=SelPractice,'Activity Planner'!$AA262&gt;0),'Activity Planner'!$F262+ROW()/100000,"")</f>
        <v>0</v>
      </c>
    </row>
    <row r="263" spans="17:18">
      <c r="Q263">
        <f>IF(INDEX('Activity Planner'!$O263:$Z263,SelMonthNum)=1,'Activity Planner'!$F263+ROW()/100000,"")</f>
        <v>0</v>
      </c>
      <c r="R263">
        <f>IF(AND('Activity Planner'!$N263=1,'Activity Planner'!$C263=SelPractice,'Activity Planner'!$AA263&gt;0),'Activity Planner'!$F263+ROW()/100000,"")</f>
        <v>0</v>
      </c>
    </row>
    <row r="264" spans="17:18">
      <c r="Q264">
        <f>IF(INDEX('Activity Planner'!$O264:$Z264,SelMonthNum)=1,'Activity Planner'!$F264+ROW()/100000,"")</f>
        <v>0</v>
      </c>
      <c r="R264">
        <f>IF(AND('Activity Planner'!$N264=1,'Activity Planner'!$C264=SelPractice,'Activity Planner'!$AA264&gt;0),'Activity Planner'!$F264+ROW()/100000,"")</f>
        <v>0</v>
      </c>
    </row>
    <row r="265" spans="17:18">
      <c r="Q265">
        <f>IF(INDEX('Activity Planner'!$O265:$Z265,SelMonthNum)=1,'Activity Planner'!$F265+ROW()/100000,"")</f>
        <v>0</v>
      </c>
      <c r="R265">
        <f>IF(AND('Activity Planner'!$N265=1,'Activity Planner'!$C265=SelPractice,'Activity Planner'!$AA265&gt;0),'Activity Planner'!$F265+ROW()/100000,"")</f>
        <v>0</v>
      </c>
    </row>
    <row r="266" spans="17:18">
      <c r="Q266">
        <f>IF(INDEX('Activity Planner'!$O266:$Z266,SelMonthNum)=1,'Activity Planner'!$F266+ROW()/100000,"")</f>
        <v>0</v>
      </c>
      <c r="R266">
        <f>IF(AND('Activity Planner'!$N266=1,'Activity Planner'!$C266=SelPractice,'Activity Planner'!$AA266&gt;0),'Activity Planner'!$F266+ROW()/100000,"")</f>
        <v>0</v>
      </c>
    </row>
    <row r="267" spans="17:18">
      <c r="Q267">
        <f>IF(INDEX('Activity Planner'!$O267:$Z267,SelMonthNum)=1,'Activity Planner'!$F267+ROW()/100000,"")</f>
        <v>0</v>
      </c>
      <c r="R267">
        <f>IF(AND('Activity Planner'!$N267=1,'Activity Planner'!$C267=SelPractice,'Activity Planner'!$AA267&gt;0),'Activity Planner'!$F267+ROW()/100000,"")</f>
        <v>0</v>
      </c>
    </row>
    <row r="268" spans="17:18">
      <c r="Q268">
        <f>IF(INDEX('Activity Planner'!$O268:$Z268,SelMonthNum)=1,'Activity Planner'!$F268+ROW()/100000,"")</f>
        <v>0</v>
      </c>
      <c r="R268">
        <f>IF(AND('Activity Planner'!$N268=1,'Activity Planner'!$C268=SelPractice,'Activity Planner'!$AA268&gt;0),'Activity Planner'!$F268+ROW()/100000,"")</f>
        <v>0</v>
      </c>
    </row>
    <row r="269" spans="17:18">
      <c r="Q269">
        <f>IF(INDEX('Activity Planner'!$O269:$Z269,SelMonthNum)=1,'Activity Planner'!$F269+ROW()/100000,"")</f>
        <v>0</v>
      </c>
      <c r="R269">
        <f>IF(AND('Activity Planner'!$N269=1,'Activity Planner'!$C269=SelPractice,'Activity Planner'!$AA269&gt;0),'Activity Planner'!$F269+ROW()/100000,"")</f>
        <v>0</v>
      </c>
    </row>
    <row r="270" spans="17:18">
      <c r="Q270">
        <f>IF(INDEX('Activity Planner'!$O270:$Z270,SelMonthNum)=1,'Activity Planner'!$F270+ROW()/100000,"")</f>
        <v>0</v>
      </c>
      <c r="R270">
        <f>IF(AND('Activity Planner'!$N270=1,'Activity Planner'!$C270=SelPractice,'Activity Planner'!$AA270&gt;0),'Activity Planner'!$F270+ROW()/100000,"")</f>
        <v>0</v>
      </c>
    </row>
    <row r="271" spans="17:18">
      <c r="Q271">
        <f>IF(INDEX('Activity Planner'!$O271:$Z271,SelMonthNum)=1,'Activity Planner'!$F271+ROW()/100000,"")</f>
        <v>0</v>
      </c>
      <c r="R271">
        <f>IF(AND('Activity Planner'!$N271=1,'Activity Planner'!$C271=SelPractice,'Activity Planner'!$AA271&gt;0),'Activity Planner'!$F271+ROW()/100000,"")</f>
        <v>0</v>
      </c>
    </row>
    <row r="272" spans="17:18">
      <c r="Q272">
        <f>IF(INDEX('Activity Planner'!$O272:$Z272,SelMonthNum)=1,'Activity Planner'!$F272+ROW()/100000,"")</f>
        <v>0</v>
      </c>
      <c r="R272">
        <f>IF(AND('Activity Planner'!$N272=1,'Activity Planner'!$C272=SelPractice,'Activity Planner'!$AA272&gt;0),'Activity Planner'!$F272+ROW()/100000,"")</f>
        <v>0</v>
      </c>
    </row>
    <row r="273" spans="17:18">
      <c r="Q273">
        <f>IF(INDEX('Activity Planner'!$O273:$Z273,SelMonthNum)=1,'Activity Planner'!$F273+ROW()/100000,"")</f>
        <v>0</v>
      </c>
      <c r="R273">
        <f>IF(AND('Activity Planner'!$N273=1,'Activity Planner'!$C273=SelPractice,'Activity Planner'!$AA273&gt;0),'Activity Planner'!$F273+ROW()/100000,"")</f>
        <v>0</v>
      </c>
    </row>
    <row r="274" spans="17:18">
      <c r="Q274">
        <f>IF(INDEX('Activity Planner'!$O274:$Z274,SelMonthNum)=1,'Activity Planner'!$F274+ROW()/100000,"")</f>
        <v>0</v>
      </c>
      <c r="R274">
        <f>IF(AND('Activity Planner'!$N274=1,'Activity Planner'!$C274=SelPractice,'Activity Planner'!$AA274&gt;0),'Activity Planner'!$F274+ROW()/100000,"")</f>
        <v>0</v>
      </c>
    </row>
    <row r="275" spans="17:18">
      <c r="Q275">
        <f>IF(INDEX('Activity Planner'!$O275:$Z275,SelMonthNum)=1,'Activity Planner'!$F275+ROW()/100000,"")</f>
        <v>0</v>
      </c>
      <c r="R275">
        <f>IF(AND('Activity Planner'!$N275=1,'Activity Planner'!$C275=SelPractice,'Activity Planner'!$AA275&gt;0),'Activity Planner'!$F275+ROW()/100000,"")</f>
        <v>0</v>
      </c>
    </row>
    <row r="276" spans="17:18">
      <c r="Q276">
        <f>IF(INDEX('Activity Planner'!$O276:$Z276,SelMonthNum)=1,'Activity Planner'!$F276+ROW()/100000,"")</f>
        <v>0</v>
      </c>
      <c r="R276">
        <f>IF(AND('Activity Planner'!$N276=1,'Activity Planner'!$C276=SelPractice,'Activity Planner'!$AA276&gt;0),'Activity Planner'!$F276+ROW()/100000,"")</f>
        <v>0</v>
      </c>
    </row>
    <row r="277" spans="17:18">
      <c r="Q277">
        <f>IF(INDEX('Activity Planner'!$O277:$Z277,SelMonthNum)=1,'Activity Planner'!$F277+ROW()/100000,"")</f>
        <v>0</v>
      </c>
      <c r="R277">
        <f>IF(AND('Activity Planner'!$N277=1,'Activity Planner'!$C277=SelPractice,'Activity Planner'!$AA277&gt;0),'Activity Planner'!$F277+ROW()/100000,"")</f>
        <v>0</v>
      </c>
    </row>
    <row r="278" spans="17:18">
      <c r="Q278">
        <f>IF(INDEX('Activity Planner'!$O278:$Z278,SelMonthNum)=1,'Activity Planner'!$F278+ROW()/100000,"")</f>
        <v>0</v>
      </c>
      <c r="R278">
        <f>IF(AND('Activity Planner'!$N278=1,'Activity Planner'!$C278=SelPractice,'Activity Planner'!$AA278&gt;0),'Activity Planner'!$F278+ROW()/100000,"")</f>
        <v>0</v>
      </c>
    </row>
    <row r="279" spans="17:18">
      <c r="Q279">
        <f>IF(INDEX('Activity Planner'!$O279:$Z279,SelMonthNum)=1,'Activity Planner'!$F279+ROW()/100000,"")</f>
        <v>0</v>
      </c>
      <c r="R279">
        <f>IF(AND('Activity Planner'!$N279=1,'Activity Planner'!$C279=SelPractice,'Activity Planner'!$AA279&gt;0),'Activity Planner'!$F279+ROW()/100000,"")</f>
        <v>0</v>
      </c>
    </row>
    <row r="280" spans="17:18">
      <c r="Q280">
        <f>IF(INDEX('Activity Planner'!$O280:$Z280,SelMonthNum)=1,'Activity Planner'!$F280+ROW()/100000,"")</f>
        <v>0</v>
      </c>
      <c r="R280">
        <f>IF(AND('Activity Planner'!$N280=1,'Activity Planner'!$C280=SelPractice,'Activity Planner'!$AA280&gt;0),'Activity Planner'!$F280+ROW()/100000,"")</f>
        <v>0</v>
      </c>
    </row>
    <row r="281" spans="17:18">
      <c r="Q281">
        <f>IF(INDEX('Activity Planner'!$O281:$Z281,SelMonthNum)=1,'Activity Planner'!$F281+ROW()/100000,"")</f>
        <v>0</v>
      </c>
      <c r="R281">
        <f>IF(AND('Activity Planner'!$N281=1,'Activity Planner'!$C281=SelPractice,'Activity Planner'!$AA281&gt;0),'Activity Planner'!$F281+ROW()/100000,"")</f>
        <v>0</v>
      </c>
    </row>
    <row r="282" spans="17:18">
      <c r="Q282">
        <f>IF(INDEX('Activity Planner'!$O282:$Z282,SelMonthNum)=1,'Activity Planner'!$F282+ROW()/100000,"")</f>
        <v>0</v>
      </c>
      <c r="R282">
        <f>IF(AND('Activity Planner'!$N282=1,'Activity Planner'!$C282=SelPractice,'Activity Planner'!$AA282&gt;0),'Activity Planner'!$F282+ROW()/100000,"")</f>
        <v>0</v>
      </c>
    </row>
    <row r="283" spans="17:18">
      <c r="Q283">
        <f>IF(INDEX('Activity Planner'!$O283:$Z283,SelMonthNum)=1,'Activity Planner'!$F283+ROW()/100000,"")</f>
        <v>0</v>
      </c>
      <c r="R283">
        <f>IF(AND('Activity Planner'!$N283=1,'Activity Planner'!$C283=SelPractice,'Activity Planner'!$AA283&gt;0),'Activity Planner'!$F283+ROW()/100000,"")</f>
        <v>0</v>
      </c>
    </row>
    <row r="284" spans="17:18">
      <c r="Q284">
        <f>IF(INDEX('Activity Planner'!$O284:$Z284,SelMonthNum)=1,'Activity Planner'!$F284+ROW()/100000,"")</f>
        <v>0</v>
      </c>
      <c r="R284">
        <f>IF(AND('Activity Planner'!$N284=1,'Activity Planner'!$C284=SelPractice,'Activity Planner'!$AA284&gt;0),'Activity Planner'!$F284+ROW()/100000,"")</f>
        <v>0</v>
      </c>
    </row>
    <row r="285" spans="17:18">
      <c r="Q285">
        <f>IF(INDEX('Activity Planner'!$O285:$Z285,SelMonthNum)=1,'Activity Planner'!$F285+ROW()/100000,"")</f>
        <v>0</v>
      </c>
      <c r="R285">
        <f>IF(AND('Activity Planner'!$N285=1,'Activity Planner'!$C285=SelPractice,'Activity Planner'!$AA285&gt;0),'Activity Planner'!$F285+ROW()/100000,"")</f>
        <v>0</v>
      </c>
    </row>
    <row r="286" spans="17:18">
      <c r="Q286">
        <f>IF(INDEX('Activity Planner'!$O286:$Z286,SelMonthNum)=1,'Activity Planner'!$F286+ROW()/100000,"")</f>
        <v>0</v>
      </c>
      <c r="R286">
        <f>IF(AND('Activity Planner'!$N286=1,'Activity Planner'!$C286=SelPractice,'Activity Planner'!$AA286&gt;0),'Activity Planner'!$F286+ROW()/100000,"")</f>
        <v>0</v>
      </c>
    </row>
    <row r="287" spans="17:18">
      <c r="Q287">
        <f>IF(INDEX('Activity Planner'!$O287:$Z287,SelMonthNum)=1,'Activity Planner'!$F287+ROW()/100000,"")</f>
        <v>0</v>
      </c>
      <c r="R287">
        <f>IF(AND('Activity Planner'!$N287=1,'Activity Planner'!$C287=SelPractice,'Activity Planner'!$AA287&gt;0),'Activity Planner'!$F287+ROW()/100000,"")</f>
        <v>0</v>
      </c>
    </row>
    <row r="288" spans="17:18">
      <c r="Q288">
        <f>IF(INDEX('Activity Planner'!$O288:$Z288,SelMonthNum)=1,'Activity Planner'!$F288+ROW()/100000,"")</f>
        <v>0</v>
      </c>
      <c r="R288">
        <f>IF(AND('Activity Planner'!$N288=1,'Activity Planner'!$C288=SelPractice,'Activity Planner'!$AA288&gt;0),'Activity Planner'!$F288+ROW()/100000,"")</f>
        <v>0</v>
      </c>
    </row>
    <row r="289" spans="17:18">
      <c r="Q289">
        <f>IF(INDEX('Activity Planner'!$O289:$Z289,SelMonthNum)=1,'Activity Planner'!$F289+ROW()/100000,"")</f>
        <v>0</v>
      </c>
      <c r="R289">
        <f>IF(AND('Activity Planner'!$N289=1,'Activity Planner'!$C289=SelPractice,'Activity Planner'!$AA289&gt;0),'Activity Planner'!$F289+ROW()/100000,"")</f>
        <v>0</v>
      </c>
    </row>
    <row r="290" spans="17:18">
      <c r="Q290">
        <f>IF(INDEX('Activity Planner'!$O290:$Z290,SelMonthNum)=1,'Activity Planner'!$F290+ROW()/100000,"")</f>
        <v>0</v>
      </c>
      <c r="R290">
        <f>IF(AND('Activity Planner'!$N290=1,'Activity Planner'!$C290=SelPractice,'Activity Planner'!$AA290&gt;0),'Activity Planner'!$F290+ROW()/100000,"")</f>
        <v>0</v>
      </c>
    </row>
    <row r="291" spans="17:18">
      <c r="Q291">
        <f>IF(INDEX('Activity Planner'!$O291:$Z291,SelMonthNum)=1,'Activity Planner'!$F291+ROW()/100000,"")</f>
        <v>0</v>
      </c>
      <c r="R291">
        <f>IF(AND('Activity Planner'!$N291=1,'Activity Planner'!$C291=SelPractice,'Activity Planner'!$AA291&gt;0),'Activity Planner'!$F291+ROW()/100000,"")</f>
        <v>0</v>
      </c>
    </row>
    <row r="292" spans="17:18">
      <c r="Q292">
        <f>IF(INDEX('Activity Planner'!$O292:$Z292,SelMonthNum)=1,'Activity Planner'!$F292+ROW()/100000,"")</f>
        <v>0</v>
      </c>
      <c r="R292">
        <f>IF(AND('Activity Planner'!$N292=1,'Activity Planner'!$C292=SelPractice,'Activity Planner'!$AA292&gt;0),'Activity Planner'!$F292+ROW()/100000,"")</f>
        <v>0</v>
      </c>
    </row>
    <row r="293" spans="17:18">
      <c r="Q293">
        <f>IF(INDEX('Activity Planner'!$O293:$Z293,SelMonthNum)=1,'Activity Planner'!$F293+ROW()/100000,"")</f>
        <v>0</v>
      </c>
      <c r="R293">
        <f>IF(AND('Activity Planner'!$N293=1,'Activity Planner'!$C293=SelPractice,'Activity Planner'!$AA293&gt;0),'Activity Planner'!$F293+ROW()/100000,"")</f>
        <v>0</v>
      </c>
    </row>
    <row r="294" spans="17:18">
      <c r="Q294">
        <f>IF(INDEX('Activity Planner'!$O294:$Z294,SelMonthNum)=1,'Activity Planner'!$F294+ROW()/100000,"")</f>
        <v>0</v>
      </c>
      <c r="R294">
        <f>IF(AND('Activity Planner'!$N294=1,'Activity Planner'!$C294=SelPractice,'Activity Planner'!$AA294&gt;0),'Activity Planner'!$F294+ROW()/100000,"")</f>
        <v>0</v>
      </c>
    </row>
    <row r="295" spans="17:18">
      <c r="Q295">
        <f>IF(INDEX('Activity Planner'!$O295:$Z295,SelMonthNum)=1,'Activity Planner'!$F295+ROW()/100000,"")</f>
        <v>0</v>
      </c>
      <c r="R295">
        <f>IF(AND('Activity Planner'!$N295=1,'Activity Planner'!$C295=SelPractice,'Activity Planner'!$AA295&gt;0),'Activity Planner'!$F295+ROW()/100000,"")</f>
        <v>0</v>
      </c>
    </row>
    <row r="296" spans="17:18">
      <c r="Q296">
        <f>IF(INDEX('Activity Planner'!$O296:$Z296,SelMonthNum)=1,'Activity Planner'!$F296+ROW()/100000,"")</f>
        <v>0</v>
      </c>
      <c r="R296">
        <f>IF(AND('Activity Planner'!$N296=1,'Activity Planner'!$C296=SelPractice,'Activity Planner'!$AA296&gt;0),'Activity Planner'!$F296+ROW()/100000,"")</f>
        <v>0</v>
      </c>
    </row>
    <row r="297" spans="17:18">
      <c r="Q297">
        <f>IF(INDEX('Activity Planner'!$O297:$Z297,SelMonthNum)=1,'Activity Planner'!$F297+ROW()/100000,"")</f>
        <v>0</v>
      </c>
      <c r="R297">
        <f>IF(AND('Activity Planner'!$N297=1,'Activity Planner'!$C297=SelPractice,'Activity Planner'!$AA297&gt;0),'Activity Planner'!$F297+ROW()/100000,"")</f>
        <v>0</v>
      </c>
    </row>
    <row r="298" spans="17:18">
      <c r="Q298">
        <f>IF(INDEX('Activity Planner'!$O298:$Z298,SelMonthNum)=1,'Activity Planner'!$F298+ROW()/100000,"")</f>
        <v>0</v>
      </c>
      <c r="R298">
        <f>IF(AND('Activity Planner'!$N298=1,'Activity Planner'!$C298=SelPractice,'Activity Planner'!$AA298&gt;0),'Activity Planner'!$F298+ROW()/100000,"")</f>
        <v>0</v>
      </c>
    </row>
    <row r="299" spans="17:18">
      <c r="Q299">
        <f>IF(INDEX('Activity Planner'!$O299:$Z299,SelMonthNum)=1,'Activity Planner'!$F299+ROW()/100000,"")</f>
        <v>0</v>
      </c>
      <c r="R299">
        <f>IF(AND('Activity Planner'!$N299=1,'Activity Planner'!$C299=SelPractice,'Activity Planner'!$AA299&gt;0),'Activity Planner'!$F299+ROW()/100000,"")</f>
        <v>0</v>
      </c>
    </row>
    <row r="300" spans="17:18">
      <c r="Q300">
        <f>IF(INDEX('Activity Planner'!$O300:$Z300,SelMonthNum)=1,'Activity Planner'!$F300+ROW()/100000,"")</f>
        <v>0</v>
      </c>
      <c r="R300">
        <f>IF(AND('Activity Planner'!$N300=1,'Activity Planner'!$C300=SelPractice,'Activity Planner'!$AA300&gt;0),'Activity Planner'!$F300+ROW()/100000,"")</f>
        <v>0</v>
      </c>
    </row>
    <row r="301" spans="17:18">
      <c r="Q301">
        <f>IF(INDEX('Activity Planner'!$O301:$Z301,SelMonthNum)=1,'Activity Planner'!$F301+ROW()/100000,"")</f>
        <v>0</v>
      </c>
      <c r="R301">
        <f>IF(AND('Activity Planner'!$N301=1,'Activity Planner'!$C301=SelPractice,'Activity Planner'!$AA301&gt;0),'Activity Planner'!$F301+ROW()/100000,"")</f>
        <v>0</v>
      </c>
    </row>
    <row r="302" spans="17:18">
      <c r="Q302">
        <f>IF(INDEX('Activity Planner'!$O302:$Z302,SelMonthNum)=1,'Activity Planner'!$F302+ROW()/100000,"")</f>
        <v>0</v>
      </c>
      <c r="R302">
        <f>IF(AND('Activity Planner'!$N302=1,'Activity Planner'!$C302=SelPractice,'Activity Planner'!$AA302&gt;0),'Activity Planner'!$F302+ROW()/100000,"")</f>
        <v>0</v>
      </c>
    </row>
    <row r="303" spans="17:18">
      <c r="Q303">
        <f>IF(INDEX('Activity Planner'!$O303:$Z303,SelMonthNum)=1,'Activity Planner'!$F303+ROW()/100000,"")</f>
        <v>0</v>
      </c>
      <c r="R303">
        <f>IF(AND('Activity Planner'!$N303=1,'Activity Planner'!$C303=SelPractice,'Activity Planner'!$AA303&gt;0),'Activity Planner'!$F303+ROW()/100000,"")</f>
        <v>0</v>
      </c>
    </row>
    <row r="304" spans="17:18">
      <c r="Q304">
        <f>IF(INDEX('Activity Planner'!$O304:$Z304,SelMonthNum)=1,'Activity Planner'!$F304+ROW()/100000,"")</f>
        <v>0</v>
      </c>
      <c r="R304">
        <f>IF(AND('Activity Planner'!$N304=1,'Activity Planner'!$C304=SelPractice,'Activity Planner'!$AA304&gt;0),'Activity Planner'!$F304+ROW()/100000,"")</f>
        <v>0</v>
      </c>
    </row>
    <row r="305" spans="17:18">
      <c r="Q305">
        <f>IF(INDEX('Activity Planner'!$O305:$Z305,SelMonthNum)=1,'Activity Planner'!$F305+ROW()/100000,"")</f>
        <v>0</v>
      </c>
      <c r="R305">
        <f>IF(AND('Activity Planner'!$N305=1,'Activity Planner'!$C305=SelPractice,'Activity Planner'!$AA305&gt;0),'Activity Planner'!$F305+ROW()/100000,"")</f>
        <v>0</v>
      </c>
    </row>
    <row r="306" spans="17:18">
      <c r="Q306">
        <f>IF(INDEX('Activity Planner'!$O306:$Z306,SelMonthNum)=1,'Activity Planner'!$F306+ROW()/100000,"")</f>
        <v>0</v>
      </c>
      <c r="R306">
        <f>IF(AND('Activity Planner'!$N306=1,'Activity Planner'!$C306=SelPractice,'Activity Planner'!$AA306&gt;0),'Activity Planner'!$F306+ROW()/100000,"")</f>
        <v>0</v>
      </c>
    </row>
    <row r="307" spans="17:18">
      <c r="Q307">
        <f>IF(INDEX('Activity Planner'!$O307:$Z307,SelMonthNum)=1,'Activity Planner'!$F307+ROW()/100000,"")</f>
        <v>0</v>
      </c>
      <c r="R307">
        <f>IF(AND('Activity Planner'!$N307=1,'Activity Planner'!$C307=SelPractice,'Activity Planner'!$AA307&gt;0),'Activity Planner'!$F307+ROW()/100000,"")</f>
        <v>0</v>
      </c>
    </row>
    <row r="308" spans="17:18">
      <c r="Q308">
        <f>IF(INDEX('Activity Planner'!$O308:$Z308,SelMonthNum)=1,'Activity Planner'!$F308+ROW()/100000,"")</f>
        <v>0</v>
      </c>
      <c r="R308">
        <f>IF(AND('Activity Planner'!$N308=1,'Activity Planner'!$C308=SelPractice,'Activity Planner'!$AA308&gt;0),'Activity Planner'!$F308+ROW()/100000,"")</f>
        <v>0</v>
      </c>
    </row>
    <row r="309" spans="17:18">
      <c r="Q309">
        <f>IF(INDEX('Activity Planner'!$O309:$Z309,SelMonthNum)=1,'Activity Planner'!$F309+ROW()/100000,"")</f>
        <v>0</v>
      </c>
      <c r="R309">
        <f>IF(AND('Activity Planner'!$N309=1,'Activity Planner'!$C309=SelPractice,'Activity Planner'!$AA309&gt;0),'Activity Planner'!$F309+ROW()/100000,"")</f>
        <v>0</v>
      </c>
    </row>
    <row r="310" spans="17:18">
      <c r="Q310">
        <f>IF(INDEX('Activity Planner'!$O310:$Z310,SelMonthNum)=1,'Activity Planner'!$F310+ROW()/100000,"")</f>
        <v>0</v>
      </c>
      <c r="R310">
        <f>IF(AND('Activity Planner'!$N310=1,'Activity Planner'!$C310=SelPractice,'Activity Planner'!$AA310&gt;0),'Activity Planner'!$F310+ROW()/100000,"")</f>
        <v>0</v>
      </c>
    </row>
    <row r="311" spans="17:18">
      <c r="Q311">
        <f>IF(INDEX('Activity Planner'!$O311:$Z311,SelMonthNum)=1,'Activity Planner'!$F311+ROW()/100000,"")</f>
        <v>0</v>
      </c>
      <c r="R311">
        <f>IF(AND('Activity Planner'!$N311=1,'Activity Planner'!$C311=SelPractice,'Activity Planner'!$AA311&gt;0),'Activity Planner'!$F311+ROW()/100000,"")</f>
        <v>0</v>
      </c>
    </row>
    <row r="312" spans="17:18">
      <c r="Q312">
        <f>IF(INDEX('Activity Planner'!$O312:$Z312,SelMonthNum)=1,'Activity Planner'!$F312+ROW()/100000,"")</f>
        <v>0</v>
      </c>
      <c r="R312">
        <f>IF(AND('Activity Planner'!$N312=1,'Activity Planner'!$C312=SelPractice,'Activity Planner'!$AA312&gt;0),'Activity Planner'!$F312+ROW()/100000,"")</f>
        <v>0</v>
      </c>
    </row>
    <row r="313" spans="17:18">
      <c r="Q313">
        <f>IF(INDEX('Activity Planner'!$O313:$Z313,SelMonthNum)=1,'Activity Planner'!$F313+ROW()/100000,"")</f>
        <v>0</v>
      </c>
      <c r="R313">
        <f>IF(AND('Activity Planner'!$N313=1,'Activity Planner'!$C313=SelPractice,'Activity Planner'!$AA313&gt;0),'Activity Planner'!$F313+ROW()/100000,"")</f>
        <v>0</v>
      </c>
    </row>
    <row r="314" spans="17:18">
      <c r="Q314">
        <f>IF(INDEX('Activity Planner'!$O314:$Z314,SelMonthNum)=1,'Activity Planner'!$F314+ROW()/100000,"")</f>
        <v>0</v>
      </c>
      <c r="R314">
        <f>IF(AND('Activity Planner'!$N314=1,'Activity Planner'!$C314=SelPractice,'Activity Planner'!$AA314&gt;0),'Activity Planner'!$F314+ROW()/100000,"")</f>
        <v>0</v>
      </c>
    </row>
    <row r="315" spans="17:18">
      <c r="Q315">
        <f>IF(INDEX('Activity Planner'!$O315:$Z315,SelMonthNum)=1,'Activity Planner'!$F315+ROW()/100000,"")</f>
        <v>0</v>
      </c>
      <c r="R315">
        <f>IF(AND('Activity Planner'!$N315=1,'Activity Planner'!$C315=SelPractice,'Activity Planner'!$AA315&gt;0),'Activity Planner'!$F315+ROW()/100000,"")</f>
        <v>0</v>
      </c>
    </row>
    <row r="316" spans="17:18">
      <c r="Q316">
        <f>IF(INDEX('Activity Planner'!$O316:$Z316,SelMonthNum)=1,'Activity Planner'!$F316+ROW()/100000,"")</f>
        <v>0</v>
      </c>
      <c r="R316">
        <f>IF(AND('Activity Planner'!$N316=1,'Activity Planner'!$C316=SelPractice,'Activity Planner'!$AA316&gt;0),'Activity Planner'!$F316+ROW()/100000,"")</f>
        <v>0</v>
      </c>
    </row>
    <row r="317" spans="17:18">
      <c r="Q317">
        <f>IF(INDEX('Activity Planner'!$O317:$Z317,SelMonthNum)=1,'Activity Planner'!$F317+ROW()/100000,"")</f>
        <v>0</v>
      </c>
      <c r="R317">
        <f>IF(AND('Activity Planner'!$N317=1,'Activity Planner'!$C317=SelPractice,'Activity Planner'!$AA317&gt;0),'Activity Planner'!$F317+ROW()/100000,"")</f>
        <v>0</v>
      </c>
    </row>
    <row r="318" spans="17:18">
      <c r="Q318">
        <f>IF(INDEX('Activity Planner'!$O318:$Z318,SelMonthNum)=1,'Activity Planner'!$F318+ROW()/100000,"")</f>
        <v>0</v>
      </c>
      <c r="R318">
        <f>IF(AND('Activity Planner'!$N318=1,'Activity Planner'!$C318=SelPractice,'Activity Planner'!$AA318&gt;0),'Activity Planner'!$F318+ROW()/100000,"")</f>
        <v>0</v>
      </c>
    </row>
    <row r="319" spans="17:18">
      <c r="Q319">
        <f>IF(INDEX('Activity Planner'!$O319:$Z319,SelMonthNum)=1,'Activity Planner'!$F319+ROW()/100000,"")</f>
        <v>0</v>
      </c>
      <c r="R319">
        <f>IF(AND('Activity Planner'!$N319=1,'Activity Planner'!$C319=SelPractice,'Activity Planner'!$AA319&gt;0),'Activity Planner'!$F319+ROW()/100000,"")</f>
        <v>0</v>
      </c>
    </row>
    <row r="320" spans="17:18">
      <c r="Q320">
        <f>IF(INDEX('Activity Planner'!$O320:$Z320,SelMonthNum)=1,'Activity Planner'!$F320+ROW()/100000,"")</f>
        <v>0</v>
      </c>
      <c r="R320">
        <f>IF(AND('Activity Planner'!$N320=1,'Activity Planner'!$C320=SelPractice,'Activity Planner'!$AA320&gt;0),'Activity Planner'!$F320+ROW()/100000,"")</f>
        <v>0</v>
      </c>
    </row>
    <row r="321" spans="17:18">
      <c r="Q321">
        <f>IF(INDEX('Activity Planner'!$O321:$Z321,SelMonthNum)=1,'Activity Planner'!$F321+ROW()/100000,"")</f>
        <v>0</v>
      </c>
      <c r="R321">
        <f>IF(AND('Activity Planner'!$N321=1,'Activity Planner'!$C321=SelPractice,'Activity Planner'!$AA321&gt;0),'Activity Planner'!$F321+ROW()/100000,"")</f>
        <v>0</v>
      </c>
    </row>
    <row r="322" spans="17:18">
      <c r="Q322">
        <f>IF(INDEX('Activity Planner'!$O322:$Z322,SelMonthNum)=1,'Activity Planner'!$F322+ROW()/100000,"")</f>
        <v>0</v>
      </c>
      <c r="R322">
        <f>IF(AND('Activity Planner'!$N322=1,'Activity Planner'!$C322=SelPractice,'Activity Planner'!$AA322&gt;0),'Activity Planner'!$F322+ROW()/100000,"")</f>
        <v>0</v>
      </c>
    </row>
    <row r="323" spans="17:18">
      <c r="Q323">
        <f>IF(INDEX('Activity Planner'!$O323:$Z323,SelMonthNum)=1,'Activity Planner'!$F323+ROW()/100000,"")</f>
        <v>0</v>
      </c>
      <c r="R323">
        <f>IF(AND('Activity Planner'!$N323=1,'Activity Planner'!$C323=SelPractice,'Activity Planner'!$AA323&gt;0),'Activity Planner'!$F323+ROW()/100000,"")</f>
        <v>0</v>
      </c>
    </row>
    <row r="324" spans="17:18">
      <c r="Q324">
        <f>IF(INDEX('Activity Planner'!$O324:$Z324,SelMonthNum)=1,'Activity Planner'!$F324+ROW()/100000,"")</f>
        <v>0</v>
      </c>
      <c r="R324">
        <f>IF(AND('Activity Planner'!$N324=1,'Activity Planner'!$C324=SelPractice,'Activity Planner'!$AA324&gt;0),'Activity Planner'!$F324+ROW()/100000,"")</f>
        <v>0</v>
      </c>
    </row>
    <row r="325" spans="17:18">
      <c r="Q325">
        <f>IF(INDEX('Activity Planner'!$O325:$Z325,SelMonthNum)=1,'Activity Planner'!$F325+ROW()/100000,"")</f>
        <v>0</v>
      </c>
      <c r="R325">
        <f>IF(AND('Activity Planner'!$N325=1,'Activity Planner'!$C325=SelPractice,'Activity Planner'!$AA325&gt;0),'Activity Planner'!$F325+ROW()/100000,"")</f>
        <v>0</v>
      </c>
    </row>
    <row r="326" spans="17:18">
      <c r="Q326">
        <f>IF(INDEX('Activity Planner'!$O326:$Z326,SelMonthNum)=1,'Activity Planner'!$F326+ROW()/100000,"")</f>
        <v>0</v>
      </c>
      <c r="R326">
        <f>IF(AND('Activity Planner'!$N326=1,'Activity Planner'!$C326=SelPractice,'Activity Planner'!$AA326&gt;0),'Activity Planner'!$F326+ROW()/100000,"")</f>
        <v>0</v>
      </c>
    </row>
    <row r="327" spans="17:18">
      <c r="Q327">
        <f>IF(INDEX('Activity Planner'!$O327:$Z327,SelMonthNum)=1,'Activity Planner'!$F327+ROW()/100000,"")</f>
        <v>0</v>
      </c>
      <c r="R327">
        <f>IF(AND('Activity Planner'!$N327=1,'Activity Planner'!$C327=SelPractice,'Activity Planner'!$AA327&gt;0),'Activity Planner'!$F327+ROW()/100000,"")</f>
        <v>0</v>
      </c>
    </row>
    <row r="328" spans="17:18">
      <c r="Q328">
        <f>IF(INDEX('Activity Planner'!$O328:$Z328,SelMonthNum)=1,'Activity Planner'!$F328+ROW()/100000,"")</f>
        <v>0</v>
      </c>
      <c r="R328">
        <f>IF(AND('Activity Planner'!$N328=1,'Activity Planner'!$C328=SelPractice,'Activity Planner'!$AA328&gt;0),'Activity Planner'!$F328+ROW()/100000,"")</f>
        <v>0</v>
      </c>
    </row>
    <row r="329" spans="17:18">
      <c r="Q329">
        <f>IF(INDEX('Activity Planner'!$O329:$Z329,SelMonthNum)=1,'Activity Planner'!$F329+ROW()/100000,"")</f>
        <v>0</v>
      </c>
      <c r="R329">
        <f>IF(AND('Activity Planner'!$N329=1,'Activity Planner'!$C329=SelPractice,'Activity Planner'!$AA329&gt;0),'Activity Planner'!$F329+ROW()/100000,"")</f>
        <v>0</v>
      </c>
    </row>
    <row r="330" spans="17:18">
      <c r="Q330">
        <f>IF(INDEX('Activity Planner'!$O330:$Z330,SelMonthNum)=1,'Activity Planner'!$F330+ROW()/100000,"")</f>
        <v>0</v>
      </c>
      <c r="R330">
        <f>IF(AND('Activity Planner'!$N330=1,'Activity Planner'!$C330=SelPractice,'Activity Planner'!$AA330&gt;0),'Activity Planner'!$F330+ROW()/100000,"")</f>
        <v>0</v>
      </c>
    </row>
    <row r="331" spans="17:18">
      <c r="Q331">
        <f>IF(INDEX('Activity Planner'!$O331:$Z331,SelMonthNum)=1,'Activity Planner'!$F331+ROW()/100000,"")</f>
        <v>0</v>
      </c>
      <c r="R331">
        <f>IF(AND('Activity Planner'!$N331=1,'Activity Planner'!$C331=SelPractice,'Activity Planner'!$AA331&gt;0),'Activity Planner'!$F331+ROW()/100000,"")</f>
        <v>0</v>
      </c>
    </row>
    <row r="332" spans="17:18">
      <c r="Q332">
        <f>IF(INDEX('Activity Planner'!$O332:$Z332,SelMonthNum)=1,'Activity Planner'!$F332+ROW()/100000,"")</f>
        <v>0</v>
      </c>
      <c r="R332">
        <f>IF(AND('Activity Planner'!$N332=1,'Activity Planner'!$C332=SelPractice,'Activity Planner'!$AA332&gt;0),'Activity Planner'!$F332+ROW()/100000,"")</f>
        <v>0</v>
      </c>
    </row>
    <row r="333" spans="17:18">
      <c r="Q333">
        <f>IF(INDEX('Activity Planner'!$O333:$Z333,SelMonthNum)=1,'Activity Planner'!$F333+ROW()/100000,"")</f>
        <v>0</v>
      </c>
      <c r="R333">
        <f>IF(AND('Activity Planner'!$N333=1,'Activity Planner'!$C333=SelPractice,'Activity Planner'!$AA333&gt;0),'Activity Planner'!$F333+ROW()/100000,"")</f>
        <v>0</v>
      </c>
    </row>
    <row r="334" spans="17:18">
      <c r="Q334">
        <f>IF(INDEX('Activity Planner'!$O334:$Z334,SelMonthNum)=1,'Activity Planner'!$F334+ROW()/100000,"")</f>
        <v>0</v>
      </c>
      <c r="R334">
        <f>IF(AND('Activity Planner'!$N334=1,'Activity Planner'!$C334=SelPractice,'Activity Planner'!$AA334&gt;0),'Activity Planner'!$F334+ROW()/100000,"")</f>
        <v>0</v>
      </c>
    </row>
    <row r="335" spans="17:18">
      <c r="Q335">
        <f>IF(INDEX('Activity Planner'!$O335:$Z335,SelMonthNum)=1,'Activity Planner'!$F335+ROW()/100000,"")</f>
        <v>0</v>
      </c>
      <c r="R335">
        <f>IF(AND('Activity Planner'!$N335=1,'Activity Planner'!$C335=SelPractice,'Activity Planner'!$AA335&gt;0),'Activity Planner'!$F335+ROW()/100000,"")</f>
        <v>0</v>
      </c>
    </row>
    <row r="336" spans="17:18">
      <c r="Q336">
        <f>IF(INDEX('Activity Planner'!$O336:$Z336,SelMonthNum)=1,'Activity Planner'!$F336+ROW()/100000,"")</f>
        <v>0</v>
      </c>
      <c r="R336">
        <f>IF(AND('Activity Planner'!$N336=1,'Activity Planner'!$C336=SelPractice,'Activity Planner'!$AA336&gt;0),'Activity Planner'!$F336+ROW()/100000,"")</f>
        <v>0</v>
      </c>
    </row>
    <row r="337" spans="17:18">
      <c r="Q337">
        <f>IF(INDEX('Activity Planner'!$O337:$Z337,SelMonthNum)=1,'Activity Planner'!$F337+ROW()/100000,"")</f>
        <v>0</v>
      </c>
      <c r="R337">
        <f>IF(AND('Activity Planner'!$N337=1,'Activity Planner'!$C337=SelPractice,'Activity Planner'!$AA337&gt;0),'Activity Planner'!$F337+ROW()/100000,"")</f>
        <v>0</v>
      </c>
    </row>
    <row r="338" spans="17:18">
      <c r="Q338">
        <f>IF(INDEX('Activity Planner'!$O338:$Z338,SelMonthNum)=1,'Activity Planner'!$F338+ROW()/100000,"")</f>
        <v>0</v>
      </c>
      <c r="R338">
        <f>IF(AND('Activity Planner'!$N338=1,'Activity Planner'!$C338=SelPractice,'Activity Planner'!$AA338&gt;0),'Activity Planner'!$F338+ROW()/100000,"")</f>
        <v>0</v>
      </c>
    </row>
    <row r="339" spans="17:18">
      <c r="Q339">
        <f>IF(INDEX('Activity Planner'!$O339:$Z339,SelMonthNum)=1,'Activity Planner'!$F339+ROW()/100000,"")</f>
        <v>0</v>
      </c>
      <c r="R339">
        <f>IF(AND('Activity Planner'!$N339=1,'Activity Planner'!$C339=SelPractice,'Activity Planner'!$AA339&gt;0),'Activity Planner'!$F339+ROW()/100000,"")</f>
        <v>0</v>
      </c>
    </row>
    <row r="340" spans="17:18">
      <c r="Q340">
        <f>IF(INDEX('Activity Planner'!$O340:$Z340,SelMonthNum)=1,'Activity Planner'!$F340+ROW()/100000,"")</f>
        <v>0</v>
      </c>
      <c r="R340">
        <f>IF(AND('Activity Planner'!$N340=1,'Activity Planner'!$C340=SelPractice,'Activity Planner'!$AA340&gt;0),'Activity Planner'!$F340+ROW()/100000,"")</f>
        <v>0</v>
      </c>
    </row>
    <row r="341" spans="17:18">
      <c r="Q341">
        <f>IF(INDEX('Activity Planner'!$O341:$Z341,SelMonthNum)=1,'Activity Planner'!$F341+ROW()/100000,"")</f>
        <v>0</v>
      </c>
      <c r="R341">
        <f>IF(AND('Activity Planner'!$N341=1,'Activity Planner'!$C341=SelPractice,'Activity Planner'!$AA341&gt;0),'Activity Planner'!$F341+ROW()/100000,"")</f>
        <v>0</v>
      </c>
    </row>
    <row r="342" spans="17:18">
      <c r="Q342">
        <f>IF(INDEX('Activity Planner'!$O342:$Z342,SelMonthNum)=1,'Activity Planner'!$F342+ROW()/100000,"")</f>
        <v>0</v>
      </c>
      <c r="R342">
        <f>IF(AND('Activity Planner'!$N342=1,'Activity Planner'!$C342=SelPractice,'Activity Planner'!$AA342&gt;0),'Activity Planner'!$F342+ROW()/100000,"")</f>
        <v>0</v>
      </c>
    </row>
    <row r="343" spans="17:18">
      <c r="Q343">
        <f>IF(INDEX('Activity Planner'!$O343:$Z343,SelMonthNum)=1,'Activity Planner'!$F343+ROW()/100000,"")</f>
        <v>0</v>
      </c>
      <c r="R343">
        <f>IF(AND('Activity Planner'!$N343=1,'Activity Planner'!$C343=SelPractice,'Activity Planner'!$AA343&gt;0),'Activity Planner'!$F343+ROW()/100000,"")</f>
        <v>0</v>
      </c>
    </row>
    <row r="344" spans="17:18">
      <c r="Q344">
        <f>IF(INDEX('Activity Planner'!$O344:$Z344,SelMonthNum)=1,'Activity Planner'!$F344+ROW()/100000,"")</f>
        <v>0</v>
      </c>
      <c r="R344">
        <f>IF(AND('Activity Planner'!$N344=1,'Activity Planner'!$C344=SelPractice,'Activity Planner'!$AA344&gt;0),'Activity Planner'!$F344+ROW()/100000,"")</f>
        <v>0</v>
      </c>
    </row>
    <row r="345" spans="17:18">
      <c r="Q345">
        <f>IF(INDEX('Activity Planner'!$O345:$Z345,SelMonthNum)=1,'Activity Planner'!$F345+ROW()/100000,"")</f>
        <v>0</v>
      </c>
      <c r="R345">
        <f>IF(AND('Activity Planner'!$N345=1,'Activity Planner'!$C345=SelPractice,'Activity Planner'!$AA345&gt;0),'Activity Planner'!$F345+ROW()/100000,"")</f>
        <v>0</v>
      </c>
    </row>
    <row r="346" spans="17:18">
      <c r="Q346">
        <f>IF(INDEX('Activity Planner'!$O346:$Z346,SelMonthNum)=1,'Activity Planner'!$F346+ROW()/100000,"")</f>
        <v>0</v>
      </c>
      <c r="R346">
        <f>IF(AND('Activity Planner'!$N346=1,'Activity Planner'!$C346=SelPractice,'Activity Planner'!$AA346&gt;0),'Activity Planner'!$F346+ROW()/100000,"")</f>
        <v>0</v>
      </c>
    </row>
    <row r="347" spans="17:18">
      <c r="Q347">
        <f>IF(INDEX('Activity Planner'!$O347:$Z347,SelMonthNum)=1,'Activity Planner'!$F347+ROW()/100000,"")</f>
        <v>0</v>
      </c>
      <c r="R347">
        <f>IF(AND('Activity Planner'!$N347=1,'Activity Planner'!$C347=SelPractice,'Activity Planner'!$AA347&gt;0),'Activity Planner'!$F347+ROW()/100000,"")</f>
        <v>0</v>
      </c>
    </row>
    <row r="348" spans="17:18">
      <c r="Q348">
        <f>IF(INDEX('Activity Planner'!$O348:$Z348,SelMonthNum)=1,'Activity Planner'!$F348+ROW()/100000,"")</f>
        <v>0</v>
      </c>
      <c r="R348">
        <f>IF(AND('Activity Planner'!$N348=1,'Activity Planner'!$C348=SelPractice,'Activity Planner'!$AA348&gt;0),'Activity Planner'!$F348+ROW()/100000,"")</f>
        <v>0</v>
      </c>
    </row>
    <row r="349" spans="17:18">
      <c r="Q349">
        <f>IF(INDEX('Activity Planner'!$O349:$Z349,SelMonthNum)=1,'Activity Planner'!$F349+ROW()/100000,"")</f>
        <v>0</v>
      </c>
      <c r="R349">
        <f>IF(AND('Activity Planner'!$N349=1,'Activity Planner'!$C349=SelPractice,'Activity Planner'!$AA349&gt;0),'Activity Planner'!$F349+ROW()/100000,"")</f>
        <v>0</v>
      </c>
    </row>
    <row r="350" spans="17:18">
      <c r="Q350">
        <f>IF(INDEX('Activity Planner'!$O350:$Z350,SelMonthNum)=1,'Activity Planner'!$F350+ROW()/100000,"")</f>
        <v>0</v>
      </c>
      <c r="R350">
        <f>IF(AND('Activity Planner'!$N350=1,'Activity Planner'!$C350=SelPractice,'Activity Planner'!$AA350&gt;0),'Activity Planner'!$F350+ROW()/100000,"")</f>
        <v>0</v>
      </c>
    </row>
    <row r="351" spans="17:18">
      <c r="Q351">
        <f>IF(INDEX('Activity Planner'!$O351:$Z351,SelMonthNum)=1,'Activity Planner'!$F351+ROW()/100000,"")</f>
        <v>0</v>
      </c>
      <c r="R351">
        <f>IF(AND('Activity Planner'!$N351=1,'Activity Planner'!$C351=SelPractice,'Activity Planner'!$AA351&gt;0),'Activity Planner'!$F351+ROW()/100000,"")</f>
        <v>0</v>
      </c>
    </row>
    <row r="352" spans="17:18">
      <c r="Q352">
        <f>IF(INDEX('Activity Planner'!$O352:$Z352,SelMonthNum)=1,'Activity Planner'!$F352+ROW()/100000,"")</f>
        <v>0</v>
      </c>
      <c r="R352">
        <f>IF(AND('Activity Planner'!$N352=1,'Activity Planner'!$C352=SelPractice,'Activity Planner'!$AA352&gt;0),'Activity Planner'!$F352+ROW()/100000,"")</f>
        <v>0</v>
      </c>
    </row>
    <row r="353" spans="17:18">
      <c r="Q353">
        <f>IF(INDEX('Activity Planner'!$O353:$Z353,SelMonthNum)=1,'Activity Planner'!$F353+ROW()/100000,"")</f>
        <v>0</v>
      </c>
      <c r="R353">
        <f>IF(AND('Activity Planner'!$N353=1,'Activity Planner'!$C353=SelPractice,'Activity Planner'!$AA353&gt;0),'Activity Planner'!$F353+ROW()/100000,"")</f>
        <v>0</v>
      </c>
    </row>
    <row r="354" spans="17:18">
      <c r="Q354">
        <f>IF(INDEX('Activity Planner'!$O354:$Z354,SelMonthNum)=1,'Activity Planner'!$F354+ROW()/100000,"")</f>
        <v>0</v>
      </c>
      <c r="R354">
        <f>IF(AND('Activity Planner'!$N354=1,'Activity Planner'!$C354=SelPractice,'Activity Planner'!$AA354&gt;0),'Activity Planner'!$F354+ROW()/100000,"")</f>
        <v>0</v>
      </c>
    </row>
    <row r="355" spans="17:18">
      <c r="Q355">
        <f>IF(INDEX('Activity Planner'!$O355:$Z355,SelMonthNum)=1,'Activity Planner'!$F355+ROW()/100000,"")</f>
        <v>0</v>
      </c>
      <c r="R355">
        <f>IF(AND('Activity Planner'!$N355=1,'Activity Planner'!$C355=SelPractice,'Activity Planner'!$AA355&gt;0),'Activity Planner'!$F355+ROW()/100000,"")</f>
        <v>0</v>
      </c>
    </row>
    <row r="356" spans="17:18">
      <c r="Q356">
        <f>IF(INDEX('Activity Planner'!$O356:$Z356,SelMonthNum)=1,'Activity Planner'!$F356+ROW()/100000,"")</f>
        <v>0</v>
      </c>
      <c r="R356">
        <f>IF(AND('Activity Planner'!$N356=1,'Activity Planner'!$C356=SelPractice,'Activity Planner'!$AA356&gt;0),'Activity Planner'!$F356+ROW()/100000,"")</f>
        <v>0</v>
      </c>
    </row>
    <row r="357" spans="17:18">
      <c r="Q357">
        <f>IF(INDEX('Activity Planner'!$O357:$Z357,SelMonthNum)=1,'Activity Planner'!$F357+ROW()/100000,"")</f>
        <v>0</v>
      </c>
      <c r="R357">
        <f>IF(AND('Activity Planner'!$N357=1,'Activity Planner'!$C357=SelPractice,'Activity Planner'!$AA357&gt;0),'Activity Planner'!$F357+ROW()/100000,"")</f>
        <v>0</v>
      </c>
    </row>
    <row r="358" spans="17:18">
      <c r="Q358">
        <f>IF(INDEX('Activity Planner'!$O358:$Z358,SelMonthNum)=1,'Activity Planner'!$F358+ROW()/100000,"")</f>
        <v>0</v>
      </c>
      <c r="R358">
        <f>IF(AND('Activity Planner'!$N358=1,'Activity Planner'!$C358=SelPractice,'Activity Planner'!$AA358&gt;0),'Activity Planner'!$F358+ROW()/100000,"")</f>
        <v>0</v>
      </c>
    </row>
    <row r="359" spans="17:18">
      <c r="Q359">
        <f>IF(INDEX('Activity Planner'!$O359:$Z359,SelMonthNum)=1,'Activity Planner'!$F359+ROW()/100000,"")</f>
        <v>0</v>
      </c>
      <c r="R359">
        <f>IF(AND('Activity Planner'!$N359=1,'Activity Planner'!$C359=SelPractice,'Activity Planner'!$AA359&gt;0),'Activity Planner'!$F359+ROW()/100000,"")</f>
        <v>0</v>
      </c>
    </row>
    <row r="360" spans="17:18">
      <c r="Q360">
        <f>IF(INDEX('Activity Planner'!$O360:$Z360,SelMonthNum)=1,'Activity Planner'!$F360+ROW()/100000,"")</f>
        <v>0</v>
      </c>
      <c r="R360">
        <f>IF(AND('Activity Planner'!$N360=1,'Activity Planner'!$C360=SelPractice,'Activity Planner'!$AA360&gt;0),'Activity Planner'!$F360+ROW()/100000,"")</f>
        <v>0</v>
      </c>
    </row>
    <row r="361" spans="17:18">
      <c r="Q361">
        <f>IF(INDEX('Activity Planner'!$O361:$Z361,SelMonthNum)=1,'Activity Planner'!$F361+ROW()/100000,"")</f>
        <v>0</v>
      </c>
      <c r="R361">
        <f>IF(AND('Activity Planner'!$N361=1,'Activity Planner'!$C361=SelPractice,'Activity Planner'!$AA361&gt;0),'Activity Planner'!$F361+ROW()/100000,"")</f>
        <v>0</v>
      </c>
    </row>
    <row r="362" spans="17:18">
      <c r="Q362">
        <f>IF(INDEX('Activity Planner'!$O362:$Z362,SelMonthNum)=1,'Activity Planner'!$F362+ROW()/100000,"")</f>
        <v>0</v>
      </c>
      <c r="R362">
        <f>IF(AND('Activity Planner'!$N362=1,'Activity Planner'!$C362=SelPractice,'Activity Planner'!$AA362&gt;0),'Activity Planner'!$F362+ROW()/100000,"")</f>
        <v>0</v>
      </c>
    </row>
    <row r="363" spans="17:18">
      <c r="Q363">
        <f>IF(INDEX('Activity Planner'!$O363:$Z363,SelMonthNum)=1,'Activity Planner'!$F363+ROW()/100000,"")</f>
        <v>0</v>
      </c>
      <c r="R363">
        <f>IF(AND('Activity Planner'!$N363=1,'Activity Planner'!$C363=SelPractice,'Activity Planner'!$AA363&gt;0),'Activity Planner'!$F363+ROW()/100000,"")</f>
        <v>0</v>
      </c>
    </row>
    <row r="364" spans="17:18">
      <c r="Q364">
        <f>IF(INDEX('Activity Planner'!$O364:$Z364,SelMonthNum)=1,'Activity Planner'!$F364+ROW()/100000,"")</f>
        <v>0</v>
      </c>
      <c r="R364">
        <f>IF(AND('Activity Planner'!$N364=1,'Activity Planner'!$C364=SelPractice,'Activity Planner'!$AA364&gt;0),'Activity Planner'!$F364+ROW()/100000,"")</f>
        <v>0</v>
      </c>
    </row>
    <row r="365" spans="17:18">
      <c r="Q365">
        <f>IF(INDEX('Activity Planner'!$O365:$Z365,SelMonthNum)=1,'Activity Planner'!$F365+ROW()/100000,"")</f>
        <v>0</v>
      </c>
      <c r="R365">
        <f>IF(AND('Activity Planner'!$N365=1,'Activity Planner'!$C365=SelPractice,'Activity Planner'!$AA365&gt;0),'Activity Planner'!$F365+ROW()/100000,"")</f>
        <v>0</v>
      </c>
    </row>
    <row r="366" spans="17:18">
      <c r="Q366">
        <f>IF(INDEX('Activity Planner'!$O366:$Z366,SelMonthNum)=1,'Activity Planner'!$F366+ROW()/100000,"")</f>
        <v>0</v>
      </c>
      <c r="R366">
        <f>IF(AND('Activity Planner'!$N366=1,'Activity Planner'!$C366=SelPractice,'Activity Planner'!$AA366&gt;0),'Activity Planner'!$F366+ROW()/100000,"")</f>
        <v>0</v>
      </c>
    </row>
    <row r="367" spans="17:18">
      <c r="Q367">
        <f>IF(INDEX('Activity Planner'!$O367:$Z367,SelMonthNum)=1,'Activity Planner'!$F367+ROW()/100000,"")</f>
        <v>0</v>
      </c>
      <c r="R367">
        <f>IF(AND('Activity Planner'!$N367=1,'Activity Planner'!$C367=SelPractice,'Activity Planner'!$AA367&gt;0),'Activity Planner'!$F367+ROW()/100000,"")</f>
        <v>0</v>
      </c>
    </row>
    <row r="368" spans="17:18">
      <c r="Q368">
        <f>IF(INDEX('Activity Planner'!$O368:$Z368,SelMonthNum)=1,'Activity Planner'!$F368+ROW()/100000,"")</f>
        <v>0</v>
      </c>
      <c r="R368">
        <f>IF(AND('Activity Planner'!$N368=1,'Activity Planner'!$C368=SelPractice,'Activity Planner'!$AA368&gt;0),'Activity Planner'!$F368+ROW()/100000,"")</f>
        <v>0</v>
      </c>
    </row>
    <row r="369" spans="17:18">
      <c r="Q369">
        <f>IF(INDEX('Activity Planner'!$O369:$Z369,SelMonthNum)=1,'Activity Planner'!$F369+ROW()/100000,"")</f>
        <v>0</v>
      </c>
      <c r="R369">
        <f>IF(AND('Activity Planner'!$N369=1,'Activity Planner'!$C369=SelPractice,'Activity Planner'!$AA369&gt;0),'Activity Planner'!$F369+ROW()/100000,"")</f>
        <v>0</v>
      </c>
    </row>
    <row r="370" spans="17:18">
      <c r="Q370">
        <f>IF(INDEX('Activity Planner'!$O370:$Z370,SelMonthNum)=1,'Activity Planner'!$F370+ROW()/100000,"")</f>
        <v>0</v>
      </c>
      <c r="R370">
        <f>IF(AND('Activity Planner'!$N370=1,'Activity Planner'!$C370=SelPractice,'Activity Planner'!$AA370&gt;0),'Activity Planner'!$F370+ROW()/100000,"")</f>
        <v>0</v>
      </c>
    </row>
    <row r="371" spans="17:18">
      <c r="Q371">
        <f>IF(INDEX('Activity Planner'!$O371:$Z371,SelMonthNum)=1,'Activity Planner'!$F371+ROW()/100000,"")</f>
        <v>0</v>
      </c>
      <c r="R371">
        <f>IF(AND('Activity Planner'!$N371=1,'Activity Planner'!$C371=SelPractice,'Activity Planner'!$AA371&gt;0),'Activity Planner'!$F371+ROW()/100000,"")</f>
        <v>0</v>
      </c>
    </row>
    <row r="372" spans="17:18">
      <c r="Q372">
        <f>IF(INDEX('Activity Planner'!$O372:$Z372,SelMonthNum)=1,'Activity Planner'!$F372+ROW()/100000,"")</f>
        <v>0</v>
      </c>
      <c r="R372">
        <f>IF(AND('Activity Planner'!$N372=1,'Activity Planner'!$C372=SelPractice,'Activity Planner'!$AA372&gt;0),'Activity Planner'!$F372+ROW()/100000,"")</f>
        <v>0</v>
      </c>
    </row>
    <row r="373" spans="17:18">
      <c r="Q373">
        <f>IF(INDEX('Activity Planner'!$O373:$Z373,SelMonthNum)=1,'Activity Planner'!$F373+ROW()/100000,"")</f>
        <v>0</v>
      </c>
      <c r="R373">
        <f>IF(AND('Activity Planner'!$N373=1,'Activity Planner'!$C373=SelPractice,'Activity Planner'!$AA373&gt;0),'Activity Planner'!$F373+ROW()/100000,"")</f>
        <v>0</v>
      </c>
    </row>
    <row r="374" spans="17:18">
      <c r="Q374">
        <f>IF(INDEX('Activity Planner'!$O374:$Z374,SelMonthNum)=1,'Activity Planner'!$F374+ROW()/100000,"")</f>
        <v>0</v>
      </c>
      <c r="R374">
        <f>IF(AND('Activity Planner'!$N374=1,'Activity Planner'!$C374=SelPractice,'Activity Planner'!$AA374&gt;0),'Activity Planner'!$F374+ROW()/100000,"")</f>
        <v>0</v>
      </c>
    </row>
    <row r="375" spans="17:18">
      <c r="Q375">
        <f>IF(INDEX('Activity Planner'!$O375:$Z375,SelMonthNum)=1,'Activity Planner'!$F375+ROW()/100000,"")</f>
        <v>0</v>
      </c>
      <c r="R375">
        <f>IF(AND('Activity Planner'!$N375=1,'Activity Planner'!$C375=SelPractice,'Activity Planner'!$AA375&gt;0),'Activity Planner'!$F375+ROW()/100000,"")</f>
        <v>0</v>
      </c>
    </row>
    <row r="376" spans="17:18">
      <c r="Q376">
        <f>IF(INDEX('Activity Planner'!$O376:$Z376,SelMonthNum)=1,'Activity Planner'!$F376+ROW()/100000,"")</f>
        <v>0</v>
      </c>
      <c r="R376">
        <f>IF(AND('Activity Planner'!$N376=1,'Activity Planner'!$C376=SelPractice,'Activity Planner'!$AA376&gt;0),'Activity Planner'!$F376+ROW()/100000,"")</f>
        <v>0</v>
      </c>
    </row>
    <row r="377" spans="17:18">
      <c r="Q377">
        <f>IF(INDEX('Activity Planner'!$O377:$Z377,SelMonthNum)=1,'Activity Planner'!$F377+ROW()/100000,"")</f>
        <v>0</v>
      </c>
      <c r="R377">
        <f>IF(AND('Activity Planner'!$N377=1,'Activity Planner'!$C377=SelPractice,'Activity Planner'!$AA377&gt;0),'Activity Planner'!$F377+ROW()/100000,"")</f>
        <v>0</v>
      </c>
    </row>
    <row r="378" spans="17:18">
      <c r="Q378">
        <f>IF(INDEX('Activity Planner'!$O378:$Z378,SelMonthNum)=1,'Activity Planner'!$F378+ROW()/100000,"")</f>
        <v>0</v>
      </c>
      <c r="R378">
        <f>IF(AND('Activity Planner'!$N378=1,'Activity Planner'!$C378=SelPractice,'Activity Planner'!$AA378&gt;0),'Activity Planner'!$F378+ROW()/100000,"")</f>
        <v>0</v>
      </c>
    </row>
    <row r="379" spans="17:18">
      <c r="Q379">
        <f>IF(INDEX('Activity Planner'!$O379:$Z379,SelMonthNum)=1,'Activity Planner'!$F379+ROW()/100000,"")</f>
        <v>0</v>
      </c>
      <c r="R379">
        <f>IF(AND('Activity Planner'!$N379=1,'Activity Planner'!$C379=SelPractice,'Activity Planner'!$AA379&gt;0),'Activity Planner'!$F379+ROW()/100000,"")</f>
        <v>0</v>
      </c>
    </row>
    <row r="380" spans="17:18">
      <c r="Q380">
        <f>IF(INDEX('Activity Planner'!$O380:$Z380,SelMonthNum)=1,'Activity Planner'!$F380+ROW()/100000,"")</f>
        <v>0</v>
      </c>
      <c r="R380">
        <f>IF(AND('Activity Planner'!$N380=1,'Activity Planner'!$C380=SelPractice,'Activity Planner'!$AA380&gt;0),'Activity Planner'!$F380+ROW()/100000,"")</f>
        <v>0</v>
      </c>
    </row>
    <row r="381" spans="17:18">
      <c r="Q381">
        <f>IF(INDEX('Activity Planner'!$O381:$Z381,SelMonthNum)=1,'Activity Planner'!$F381+ROW()/100000,"")</f>
        <v>0</v>
      </c>
      <c r="R381">
        <f>IF(AND('Activity Planner'!$N381=1,'Activity Planner'!$C381=SelPractice,'Activity Planner'!$AA381&gt;0),'Activity Planner'!$F381+ROW()/100000,"")</f>
        <v>0</v>
      </c>
    </row>
    <row r="382" spans="17:18">
      <c r="Q382">
        <f>IF(INDEX('Activity Planner'!$O382:$Z382,SelMonthNum)=1,'Activity Planner'!$F382+ROW()/100000,"")</f>
        <v>0</v>
      </c>
      <c r="R382">
        <f>IF(AND('Activity Planner'!$N382=1,'Activity Planner'!$C382=SelPractice,'Activity Planner'!$AA382&gt;0),'Activity Planner'!$F382+ROW()/100000,"")</f>
        <v>0</v>
      </c>
    </row>
    <row r="383" spans="17:18">
      <c r="Q383">
        <f>IF(INDEX('Activity Planner'!$O383:$Z383,SelMonthNum)=1,'Activity Planner'!$F383+ROW()/100000,"")</f>
        <v>0</v>
      </c>
      <c r="R383">
        <f>IF(AND('Activity Planner'!$N383=1,'Activity Planner'!$C383=SelPractice,'Activity Planner'!$AA383&gt;0),'Activity Planner'!$F383+ROW()/100000,"")</f>
        <v>0</v>
      </c>
    </row>
    <row r="384" spans="17:18">
      <c r="Q384">
        <f>IF(INDEX('Activity Planner'!$O384:$Z384,SelMonthNum)=1,'Activity Planner'!$F384+ROW()/100000,"")</f>
        <v>0</v>
      </c>
      <c r="R384">
        <f>IF(AND('Activity Planner'!$N384=1,'Activity Planner'!$C384=SelPractice,'Activity Planner'!$AA384&gt;0),'Activity Planner'!$F384+ROW()/100000,"")</f>
        <v>0</v>
      </c>
    </row>
    <row r="385" spans="17:18">
      <c r="Q385">
        <f>IF(INDEX('Activity Planner'!$O385:$Z385,SelMonthNum)=1,'Activity Planner'!$F385+ROW()/100000,"")</f>
        <v>0</v>
      </c>
      <c r="R385">
        <f>IF(AND('Activity Planner'!$N385=1,'Activity Planner'!$C385=SelPractice,'Activity Planner'!$AA385&gt;0),'Activity Planner'!$F385+ROW()/100000,"")</f>
        <v>0</v>
      </c>
    </row>
    <row r="386" spans="17:18">
      <c r="Q386">
        <f>IF(INDEX('Activity Planner'!$O386:$Z386,SelMonthNum)=1,'Activity Planner'!$F386+ROW()/100000,"")</f>
        <v>0</v>
      </c>
      <c r="R386">
        <f>IF(AND('Activity Planner'!$N386=1,'Activity Planner'!$C386=SelPractice,'Activity Planner'!$AA386&gt;0),'Activity Planner'!$F386+ROW()/100000,"")</f>
        <v>0</v>
      </c>
    </row>
    <row r="387" spans="17:18">
      <c r="Q387">
        <f>IF(INDEX('Activity Planner'!$O387:$Z387,SelMonthNum)=1,'Activity Planner'!$F387+ROW()/100000,"")</f>
        <v>0</v>
      </c>
      <c r="R387">
        <f>IF(AND('Activity Planner'!$N387=1,'Activity Planner'!$C387=SelPractice,'Activity Planner'!$AA387&gt;0),'Activity Planner'!$F387+ROW()/100000,"")</f>
        <v>0</v>
      </c>
    </row>
    <row r="388" spans="17:18">
      <c r="Q388">
        <f>IF(INDEX('Activity Planner'!$O388:$Z388,SelMonthNum)=1,'Activity Planner'!$F388+ROW()/100000,"")</f>
        <v>0</v>
      </c>
      <c r="R388">
        <f>IF(AND('Activity Planner'!$N388=1,'Activity Planner'!$C388=SelPractice,'Activity Planner'!$AA388&gt;0),'Activity Planner'!$F388+ROW()/100000,"")</f>
        <v>0</v>
      </c>
    </row>
    <row r="389" spans="17:18">
      <c r="Q389">
        <f>IF(INDEX('Activity Planner'!$O389:$Z389,SelMonthNum)=1,'Activity Planner'!$F389+ROW()/100000,"")</f>
        <v>0</v>
      </c>
      <c r="R389">
        <f>IF(AND('Activity Planner'!$N389=1,'Activity Planner'!$C389=SelPractice,'Activity Planner'!$AA389&gt;0),'Activity Planner'!$F389+ROW()/100000,"")</f>
        <v>0</v>
      </c>
    </row>
    <row r="390" spans="17:18">
      <c r="Q390">
        <f>IF(INDEX('Activity Planner'!$O390:$Z390,SelMonthNum)=1,'Activity Planner'!$F390+ROW()/100000,"")</f>
        <v>0</v>
      </c>
      <c r="R390">
        <f>IF(AND('Activity Planner'!$N390=1,'Activity Planner'!$C390=SelPractice,'Activity Planner'!$AA390&gt;0),'Activity Planner'!$F390+ROW()/100000,"")</f>
        <v>0</v>
      </c>
    </row>
    <row r="391" spans="17:18">
      <c r="Q391">
        <f>IF(INDEX('Activity Planner'!$O391:$Z391,SelMonthNum)=1,'Activity Planner'!$F391+ROW()/100000,"")</f>
        <v>0</v>
      </c>
      <c r="R391">
        <f>IF(AND('Activity Planner'!$N391=1,'Activity Planner'!$C391=SelPractice,'Activity Planner'!$AA391&gt;0),'Activity Planner'!$F391+ROW()/100000,"")</f>
        <v>0</v>
      </c>
    </row>
    <row r="392" spans="17:18">
      <c r="Q392">
        <f>IF(INDEX('Activity Planner'!$O392:$Z392,SelMonthNum)=1,'Activity Planner'!$F392+ROW()/100000,"")</f>
        <v>0</v>
      </c>
      <c r="R392">
        <f>IF(AND('Activity Planner'!$N392=1,'Activity Planner'!$C392=SelPractice,'Activity Planner'!$AA392&gt;0),'Activity Planner'!$F392+ROW()/100000,"")</f>
        <v>0</v>
      </c>
    </row>
    <row r="393" spans="17:18">
      <c r="Q393">
        <f>IF(INDEX('Activity Planner'!$O393:$Z393,SelMonthNum)=1,'Activity Planner'!$F393+ROW()/100000,"")</f>
        <v>0</v>
      </c>
      <c r="R393">
        <f>IF(AND('Activity Planner'!$N393=1,'Activity Planner'!$C393=SelPractice,'Activity Planner'!$AA393&gt;0),'Activity Planner'!$F393+ROW()/100000,"")</f>
        <v>0</v>
      </c>
    </row>
    <row r="394" spans="17:18">
      <c r="Q394">
        <f>IF(INDEX('Activity Planner'!$O394:$Z394,SelMonthNum)=1,'Activity Planner'!$F394+ROW()/100000,"")</f>
        <v>0</v>
      </c>
      <c r="R394">
        <f>IF(AND('Activity Planner'!$N394=1,'Activity Planner'!$C394=SelPractice,'Activity Planner'!$AA394&gt;0),'Activity Planner'!$F394+ROW()/100000,"")</f>
        <v>0</v>
      </c>
    </row>
    <row r="395" spans="17:18">
      <c r="Q395">
        <f>IF(INDEX('Activity Planner'!$O395:$Z395,SelMonthNum)=1,'Activity Planner'!$F395+ROW()/100000,"")</f>
        <v>0</v>
      </c>
      <c r="R395">
        <f>IF(AND('Activity Planner'!$N395=1,'Activity Planner'!$C395=SelPractice,'Activity Planner'!$AA395&gt;0),'Activity Planner'!$F395+ROW()/100000,"")</f>
        <v>0</v>
      </c>
    </row>
    <row r="396" spans="17:18">
      <c r="Q396">
        <f>IF(INDEX('Activity Planner'!$O396:$Z396,SelMonthNum)=1,'Activity Planner'!$F396+ROW()/100000,"")</f>
        <v>0</v>
      </c>
      <c r="R396">
        <f>IF(AND('Activity Planner'!$N396=1,'Activity Planner'!$C396=SelPractice,'Activity Planner'!$AA396&gt;0),'Activity Planner'!$F396+ROW()/100000,"")</f>
        <v>0</v>
      </c>
    </row>
    <row r="397" spans="17:18">
      <c r="Q397">
        <f>IF(INDEX('Activity Planner'!$O397:$Z397,SelMonthNum)=1,'Activity Planner'!$F397+ROW()/100000,"")</f>
        <v>0</v>
      </c>
      <c r="R397">
        <f>IF(AND('Activity Planner'!$N397=1,'Activity Planner'!$C397=SelPractice,'Activity Planner'!$AA397&gt;0),'Activity Planner'!$F397+ROW()/100000,"")</f>
        <v>0</v>
      </c>
    </row>
    <row r="398" spans="17:18">
      <c r="Q398">
        <f>IF(INDEX('Activity Planner'!$O398:$Z398,SelMonthNum)=1,'Activity Planner'!$F398+ROW()/100000,"")</f>
        <v>0</v>
      </c>
      <c r="R398">
        <f>IF(AND('Activity Planner'!$N398=1,'Activity Planner'!$C398=SelPractice,'Activity Planner'!$AA398&gt;0),'Activity Planner'!$F398+ROW()/100000,"")</f>
        <v>0</v>
      </c>
    </row>
    <row r="399" spans="17:18">
      <c r="Q399">
        <f>IF(INDEX('Activity Planner'!$O399:$Z399,SelMonthNum)=1,'Activity Planner'!$F399+ROW()/100000,"")</f>
        <v>0</v>
      </c>
      <c r="R399">
        <f>IF(AND('Activity Planner'!$N399=1,'Activity Planner'!$C399=SelPractice,'Activity Planner'!$AA399&gt;0),'Activity Planner'!$F399+ROW()/100000,"")</f>
        <v>0</v>
      </c>
    </row>
    <row r="400" spans="17:18">
      <c r="Q400">
        <f>IF(INDEX('Activity Planner'!$O400:$Z400,SelMonthNum)=1,'Activity Planner'!$F400+ROW()/100000,"")</f>
        <v>0</v>
      </c>
      <c r="R400">
        <f>IF(AND('Activity Planner'!$N400=1,'Activity Planner'!$C400=SelPractice,'Activity Planner'!$AA400&gt;0),'Activity Planner'!$F400+ROW()/100000,"")</f>
        <v>0</v>
      </c>
    </row>
    <row r="401" spans="17:18">
      <c r="Q401">
        <f>IF(INDEX('Activity Planner'!$O401:$Z401,SelMonthNum)=1,'Activity Planner'!$F401+ROW()/100000,"")</f>
        <v>0</v>
      </c>
      <c r="R401">
        <f>IF(AND('Activity Planner'!$N401=1,'Activity Planner'!$C401=SelPractice,'Activity Planner'!$AA401&gt;0),'Activity Planner'!$F401+ROW()/100000,"")</f>
        <v>0</v>
      </c>
    </row>
    <row r="402" spans="17:18">
      <c r="Q402">
        <f>IF(INDEX('Activity Planner'!$O402:$Z402,SelMonthNum)=1,'Activity Planner'!$F402+ROW()/100000,"")</f>
        <v>0</v>
      </c>
      <c r="R402">
        <f>IF(AND('Activity Planner'!$N402=1,'Activity Planner'!$C402=SelPractice,'Activity Planner'!$AA402&gt;0),'Activity Planner'!$F402+ROW()/100000,"")</f>
        <v>0</v>
      </c>
    </row>
    <row r="403" spans="17:18">
      <c r="Q403">
        <f>IF(INDEX('Activity Planner'!$O403:$Z403,SelMonthNum)=1,'Activity Planner'!$F403+ROW()/100000,"")</f>
        <v>0</v>
      </c>
      <c r="R403">
        <f>IF(AND('Activity Planner'!$N403=1,'Activity Planner'!$C403=SelPractice,'Activity Planner'!$AA403&gt;0),'Activity Planner'!$F403+ROW()/100000,"")</f>
        <v>0</v>
      </c>
    </row>
    <row r="404" spans="17:18">
      <c r="Q404">
        <f>IF(INDEX('Activity Planner'!$O404:$Z404,SelMonthNum)=1,'Activity Planner'!$F404+ROW()/100000,"")</f>
        <v>0</v>
      </c>
      <c r="R404">
        <f>IF(AND('Activity Planner'!$N404=1,'Activity Planner'!$C404=SelPractice,'Activity Planner'!$AA404&gt;0),'Activity Planner'!$F404+ROW()/100000,"")</f>
        <v>0</v>
      </c>
    </row>
    <row r="405" spans="17:18">
      <c r="Q405">
        <f>IF(INDEX('Activity Planner'!$O405:$Z405,SelMonthNum)=1,'Activity Planner'!$F405+ROW()/100000,"")</f>
        <v>0</v>
      </c>
      <c r="R405">
        <f>IF(AND('Activity Planner'!$N405=1,'Activity Planner'!$C405=SelPractice,'Activity Planner'!$AA405&gt;0),'Activity Planner'!$F405+ROW()/100000,"")</f>
        <v>0</v>
      </c>
    </row>
    <row r="406" spans="17:18">
      <c r="Q406">
        <f>IF(INDEX('Activity Planner'!$O406:$Z406,SelMonthNum)=1,'Activity Planner'!$F406+ROW()/100000,"")</f>
        <v>0</v>
      </c>
      <c r="R406">
        <f>IF(AND('Activity Planner'!$N406=1,'Activity Planner'!$C406=SelPractice,'Activity Planner'!$AA406&gt;0),'Activity Planner'!$F406+ROW()/100000,"")</f>
        <v>0</v>
      </c>
    </row>
    <row r="407" spans="17:18">
      <c r="Q407">
        <f>IF(INDEX('Activity Planner'!$O407:$Z407,SelMonthNum)=1,'Activity Planner'!$F407+ROW()/100000,"")</f>
        <v>0</v>
      </c>
      <c r="R407">
        <f>IF(AND('Activity Planner'!$N407=1,'Activity Planner'!$C407=SelPractice,'Activity Planner'!$AA407&gt;0),'Activity Planner'!$F407+ROW()/100000,"")</f>
        <v>0</v>
      </c>
    </row>
    <row r="408" spans="17:18">
      <c r="Q408">
        <f>IF(INDEX('Activity Planner'!$O408:$Z408,SelMonthNum)=1,'Activity Planner'!$F408+ROW()/100000,"")</f>
        <v>0</v>
      </c>
      <c r="R408">
        <f>IF(AND('Activity Planner'!$N408=1,'Activity Planner'!$C408=SelPractice,'Activity Planner'!$AA408&gt;0),'Activity Planner'!$F408+ROW()/100000,"")</f>
        <v>0</v>
      </c>
    </row>
    <row r="409" spans="17:18">
      <c r="Q409">
        <f>IF(INDEX('Activity Planner'!$O409:$Z409,SelMonthNum)=1,'Activity Planner'!$F409+ROW()/100000,"")</f>
        <v>0</v>
      </c>
      <c r="R409">
        <f>IF(AND('Activity Planner'!$N409=1,'Activity Planner'!$C409=SelPractice,'Activity Planner'!$AA409&gt;0),'Activity Planner'!$F409+ROW()/100000,"")</f>
        <v>0</v>
      </c>
    </row>
    <row r="410" spans="17:18">
      <c r="Q410">
        <f>IF(INDEX('Activity Planner'!$O410:$Z410,SelMonthNum)=1,'Activity Planner'!$F410+ROW()/100000,"")</f>
        <v>0</v>
      </c>
      <c r="R410">
        <f>IF(AND('Activity Planner'!$N410=1,'Activity Planner'!$C410=SelPractice,'Activity Planner'!$AA410&gt;0),'Activity Planner'!$F410+ROW()/100000,"")</f>
        <v>0</v>
      </c>
    </row>
    <row r="411" spans="17:18">
      <c r="Q411">
        <f>IF(INDEX('Activity Planner'!$O411:$Z411,SelMonthNum)=1,'Activity Planner'!$F411+ROW()/100000,"")</f>
        <v>0</v>
      </c>
      <c r="R411">
        <f>IF(AND('Activity Planner'!$N411=1,'Activity Planner'!$C411=SelPractice,'Activity Planner'!$AA411&gt;0),'Activity Planner'!$F411+ROW()/100000,"")</f>
        <v>0</v>
      </c>
    </row>
    <row r="412" spans="17:18">
      <c r="Q412">
        <f>IF(INDEX('Activity Planner'!$O412:$Z412,SelMonthNum)=1,'Activity Planner'!$F412+ROW()/100000,"")</f>
        <v>0</v>
      </c>
      <c r="R412">
        <f>IF(AND('Activity Planner'!$N412=1,'Activity Planner'!$C412=SelPractice,'Activity Planner'!$AA412&gt;0),'Activity Planner'!$F412+ROW()/100000,"")</f>
        <v>0</v>
      </c>
    </row>
    <row r="413" spans="17:18">
      <c r="Q413">
        <f>IF(INDEX('Activity Planner'!$O413:$Z413,SelMonthNum)=1,'Activity Planner'!$F413+ROW()/100000,"")</f>
        <v>0</v>
      </c>
      <c r="R413">
        <f>IF(AND('Activity Planner'!$N413=1,'Activity Planner'!$C413=SelPractice,'Activity Planner'!$AA413&gt;0),'Activity Planner'!$F413+ROW()/100000,"")</f>
        <v>0</v>
      </c>
    </row>
    <row r="414" spans="17:18">
      <c r="Q414">
        <f>IF(INDEX('Activity Planner'!$O414:$Z414,SelMonthNum)=1,'Activity Planner'!$F414+ROW()/100000,"")</f>
        <v>0</v>
      </c>
      <c r="R414">
        <f>IF(AND('Activity Planner'!$N414=1,'Activity Planner'!$C414=SelPractice,'Activity Planner'!$AA414&gt;0),'Activity Planner'!$F414+ROW()/100000,"")</f>
        <v>0</v>
      </c>
    </row>
    <row r="415" spans="17:18">
      <c r="Q415">
        <f>IF(INDEX('Activity Planner'!$O415:$Z415,SelMonthNum)=1,'Activity Planner'!$F415+ROW()/100000,"")</f>
        <v>0</v>
      </c>
      <c r="R415">
        <f>IF(AND('Activity Planner'!$N415=1,'Activity Planner'!$C415=SelPractice,'Activity Planner'!$AA415&gt;0),'Activity Planner'!$F415+ROW()/100000,"")</f>
        <v>0</v>
      </c>
    </row>
    <row r="416" spans="17:18">
      <c r="Q416">
        <f>IF(INDEX('Activity Planner'!$O416:$Z416,SelMonthNum)=1,'Activity Planner'!$F416+ROW()/100000,"")</f>
        <v>0</v>
      </c>
      <c r="R416">
        <f>IF(AND('Activity Planner'!$N416=1,'Activity Planner'!$C416=SelPractice,'Activity Planner'!$AA416&gt;0),'Activity Planner'!$F416+ROW()/100000,"")</f>
        <v>0</v>
      </c>
    </row>
    <row r="417" spans="17:18">
      <c r="Q417">
        <f>IF(INDEX('Activity Planner'!$O417:$Z417,SelMonthNum)=1,'Activity Planner'!$F417+ROW()/100000,"")</f>
        <v>0</v>
      </c>
      <c r="R417">
        <f>IF(AND('Activity Planner'!$N417=1,'Activity Planner'!$C417=SelPractice,'Activity Planner'!$AA417&gt;0),'Activity Planner'!$F417+ROW()/100000,"")</f>
        <v>0</v>
      </c>
    </row>
    <row r="418" spans="17:18">
      <c r="Q418">
        <f>IF(INDEX('Activity Planner'!$O418:$Z418,SelMonthNum)=1,'Activity Planner'!$F418+ROW()/100000,"")</f>
        <v>0</v>
      </c>
      <c r="R418">
        <f>IF(AND('Activity Planner'!$N418=1,'Activity Planner'!$C418=SelPractice,'Activity Planner'!$AA418&gt;0),'Activity Planner'!$F418+ROW()/100000,"")</f>
        <v>0</v>
      </c>
    </row>
    <row r="419" spans="17:18">
      <c r="Q419">
        <f>IF(INDEX('Activity Planner'!$O419:$Z419,SelMonthNum)=1,'Activity Planner'!$F419+ROW()/100000,"")</f>
        <v>0</v>
      </c>
      <c r="R419">
        <f>IF(AND('Activity Planner'!$N419=1,'Activity Planner'!$C419=SelPractice,'Activity Planner'!$AA419&gt;0),'Activity Planner'!$F419+ROW()/100000,"")</f>
        <v>0</v>
      </c>
    </row>
    <row r="420" spans="17:18">
      <c r="Q420">
        <f>IF(INDEX('Activity Planner'!$O420:$Z420,SelMonthNum)=1,'Activity Planner'!$F420+ROW()/100000,"")</f>
        <v>0</v>
      </c>
      <c r="R420">
        <f>IF(AND('Activity Planner'!$N420=1,'Activity Planner'!$C420=SelPractice,'Activity Planner'!$AA420&gt;0),'Activity Planner'!$F420+ROW()/100000,"")</f>
        <v>0</v>
      </c>
    </row>
    <row r="421" spans="17:18">
      <c r="Q421">
        <f>IF(INDEX('Activity Planner'!$O421:$Z421,SelMonthNum)=1,'Activity Planner'!$F421+ROW()/100000,"")</f>
        <v>0</v>
      </c>
      <c r="R421">
        <f>IF(AND('Activity Planner'!$N421=1,'Activity Planner'!$C421=SelPractice,'Activity Planner'!$AA421&gt;0),'Activity Planner'!$F421+ROW()/100000,"")</f>
        <v>0</v>
      </c>
    </row>
    <row r="422" spans="17:18">
      <c r="Q422">
        <f>IF(INDEX('Activity Planner'!$O422:$Z422,SelMonthNum)=1,'Activity Planner'!$F422+ROW()/100000,"")</f>
        <v>0</v>
      </c>
      <c r="R422">
        <f>IF(AND('Activity Planner'!$N422=1,'Activity Planner'!$C422=SelPractice,'Activity Planner'!$AA422&gt;0),'Activity Planner'!$F422+ROW()/100000,"")</f>
        <v>0</v>
      </c>
    </row>
    <row r="423" spans="17:18">
      <c r="Q423">
        <f>IF(INDEX('Activity Planner'!$O423:$Z423,SelMonthNum)=1,'Activity Planner'!$F423+ROW()/100000,"")</f>
        <v>0</v>
      </c>
      <c r="R423">
        <f>IF(AND('Activity Planner'!$N423=1,'Activity Planner'!$C423=SelPractice,'Activity Planner'!$AA423&gt;0),'Activity Planner'!$F423+ROW()/100000,"")</f>
        <v>0</v>
      </c>
    </row>
    <row r="424" spans="17:18">
      <c r="Q424">
        <f>IF(INDEX('Activity Planner'!$O424:$Z424,SelMonthNum)=1,'Activity Planner'!$F424+ROW()/100000,"")</f>
        <v>0</v>
      </c>
      <c r="R424">
        <f>IF(AND('Activity Planner'!$N424=1,'Activity Planner'!$C424=SelPractice,'Activity Planner'!$AA424&gt;0),'Activity Planner'!$F424+ROW()/100000,"")</f>
        <v>0</v>
      </c>
    </row>
    <row r="425" spans="17:18">
      <c r="Q425">
        <f>IF(INDEX('Activity Planner'!$O425:$Z425,SelMonthNum)=1,'Activity Planner'!$F425+ROW()/100000,"")</f>
        <v>0</v>
      </c>
      <c r="R425">
        <f>IF(AND('Activity Planner'!$N425=1,'Activity Planner'!$C425=SelPractice,'Activity Planner'!$AA425&gt;0),'Activity Planner'!$F425+ROW()/100000,"")</f>
        <v>0</v>
      </c>
    </row>
    <row r="426" spans="17:18">
      <c r="Q426">
        <f>IF(INDEX('Activity Planner'!$O426:$Z426,SelMonthNum)=1,'Activity Planner'!$F426+ROW()/100000,"")</f>
        <v>0</v>
      </c>
      <c r="R426">
        <f>IF(AND('Activity Planner'!$N426=1,'Activity Planner'!$C426=SelPractice,'Activity Planner'!$AA426&gt;0),'Activity Planner'!$F426+ROW()/100000,"")</f>
        <v>0</v>
      </c>
    </row>
    <row r="427" spans="17:18">
      <c r="Q427">
        <f>IF(INDEX('Activity Planner'!$O427:$Z427,SelMonthNum)=1,'Activity Planner'!$F427+ROW()/100000,"")</f>
        <v>0</v>
      </c>
      <c r="R427">
        <f>IF(AND('Activity Planner'!$N427=1,'Activity Planner'!$C427=SelPractice,'Activity Planner'!$AA427&gt;0),'Activity Planner'!$F427+ROW()/100000,"")</f>
        <v>0</v>
      </c>
    </row>
    <row r="428" spans="17:18">
      <c r="Q428">
        <f>IF(INDEX('Activity Planner'!$O428:$Z428,SelMonthNum)=1,'Activity Planner'!$F428+ROW()/100000,"")</f>
        <v>0</v>
      </c>
      <c r="R428">
        <f>IF(AND('Activity Planner'!$N428=1,'Activity Planner'!$C428=SelPractice,'Activity Planner'!$AA428&gt;0),'Activity Planner'!$F428+ROW()/100000,"")</f>
        <v>0</v>
      </c>
    </row>
    <row r="429" spans="17:18">
      <c r="Q429">
        <f>IF(INDEX('Activity Planner'!$O429:$Z429,SelMonthNum)=1,'Activity Planner'!$F429+ROW()/100000,"")</f>
        <v>0</v>
      </c>
      <c r="R429">
        <f>IF(AND('Activity Planner'!$N429=1,'Activity Planner'!$C429=SelPractice,'Activity Planner'!$AA429&gt;0),'Activity Planner'!$F429+ROW()/100000,"")</f>
        <v>0</v>
      </c>
    </row>
    <row r="430" spans="17:18">
      <c r="Q430">
        <f>IF(INDEX('Activity Planner'!$O430:$Z430,SelMonthNum)=1,'Activity Planner'!$F430+ROW()/100000,"")</f>
        <v>0</v>
      </c>
      <c r="R430">
        <f>IF(AND('Activity Planner'!$N430=1,'Activity Planner'!$C430=SelPractice,'Activity Planner'!$AA430&gt;0),'Activity Planner'!$F430+ROW()/100000,"")</f>
        <v>0</v>
      </c>
    </row>
    <row r="431" spans="17:18">
      <c r="Q431">
        <f>IF(INDEX('Activity Planner'!$O431:$Z431,SelMonthNum)=1,'Activity Planner'!$F431+ROW()/100000,"")</f>
        <v>0</v>
      </c>
      <c r="R431">
        <f>IF(AND('Activity Planner'!$N431=1,'Activity Planner'!$C431=SelPractice,'Activity Planner'!$AA431&gt;0),'Activity Planner'!$F431+ROW()/100000,"")</f>
        <v>0</v>
      </c>
    </row>
    <row r="432" spans="17:18">
      <c r="Q432">
        <f>IF(INDEX('Activity Planner'!$O432:$Z432,SelMonthNum)=1,'Activity Planner'!$F432+ROW()/100000,"")</f>
        <v>0</v>
      </c>
      <c r="R432">
        <f>IF(AND('Activity Planner'!$N432=1,'Activity Planner'!$C432=SelPractice,'Activity Planner'!$AA432&gt;0),'Activity Planner'!$F432+ROW()/100000,"")</f>
        <v>0</v>
      </c>
    </row>
    <row r="433" spans="17:18">
      <c r="Q433">
        <f>IF(INDEX('Activity Planner'!$O433:$Z433,SelMonthNum)=1,'Activity Planner'!$F433+ROW()/100000,"")</f>
        <v>0</v>
      </c>
      <c r="R433">
        <f>IF(AND('Activity Planner'!$N433=1,'Activity Planner'!$C433=SelPractice,'Activity Planner'!$AA433&gt;0),'Activity Planner'!$F433+ROW()/100000,"")</f>
        <v>0</v>
      </c>
    </row>
    <row r="434" spans="17:18">
      <c r="Q434">
        <f>IF(INDEX('Activity Planner'!$O434:$Z434,SelMonthNum)=1,'Activity Planner'!$F434+ROW()/100000,"")</f>
        <v>0</v>
      </c>
      <c r="R434">
        <f>IF(AND('Activity Planner'!$N434=1,'Activity Planner'!$C434=SelPractice,'Activity Planner'!$AA434&gt;0),'Activity Planner'!$F434+ROW()/100000,"")</f>
        <v>0</v>
      </c>
    </row>
    <row r="435" spans="17:18">
      <c r="Q435">
        <f>IF(INDEX('Activity Planner'!$O435:$Z435,SelMonthNum)=1,'Activity Planner'!$F435+ROW()/100000,"")</f>
        <v>0</v>
      </c>
      <c r="R435">
        <f>IF(AND('Activity Planner'!$N435=1,'Activity Planner'!$C435=SelPractice,'Activity Planner'!$AA435&gt;0),'Activity Planner'!$F435+ROW()/100000,"")</f>
        <v>0</v>
      </c>
    </row>
    <row r="436" spans="17:18">
      <c r="Q436">
        <f>IF(INDEX('Activity Planner'!$O436:$Z436,SelMonthNum)=1,'Activity Planner'!$F436+ROW()/100000,"")</f>
        <v>0</v>
      </c>
      <c r="R436">
        <f>IF(AND('Activity Planner'!$N436=1,'Activity Planner'!$C436=SelPractice,'Activity Planner'!$AA436&gt;0),'Activity Planner'!$F436+ROW()/100000,"")</f>
        <v>0</v>
      </c>
    </row>
    <row r="437" spans="17:18">
      <c r="Q437">
        <f>IF(INDEX('Activity Planner'!$O437:$Z437,SelMonthNum)=1,'Activity Planner'!$F437+ROW()/100000,"")</f>
        <v>0</v>
      </c>
      <c r="R437">
        <f>IF(AND('Activity Planner'!$N437=1,'Activity Planner'!$C437=SelPractice,'Activity Planner'!$AA437&gt;0),'Activity Planner'!$F437+ROW()/100000,"")</f>
        <v>0</v>
      </c>
    </row>
    <row r="438" spans="17:18">
      <c r="Q438">
        <f>IF(INDEX('Activity Planner'!$O438:$Z438,SelMonthNum)=1,'Activity Planner'!$F438+ROW()/100000,"")</f>
        <v>0</v>
      </c>
      <c r="R438">
        <f>IF(AND('Activity Planner'!$N438=1,'Activity Planner'!$C438=SelPractice,'Activity Planner'!$AA438&gt;0),'Activity Planner'!$F438+ROW()/100000,"")</f>
        <v>0</v>
      </c>
    </row>
    <row r="439" spans="17:18">
      <c r="Q439">
        <f>IF(INDEX('Activity Planner'!$O439:$Z439,SelMonthNum)=1,'Activity Planner'!$F439+ROW()/100000,"")</f>
        <v>0</v>
      </c>
      <c r="R439">
        <f>IF(AND('Activity Planner'!$N439=1,'Activity Planner'!$C439=SelPractice,'Activity Planner'!$AA439&gt;0),'Activity Planner'!$F439+ROW()/100000,"")</f>
        <v>0</v>
      </c>
    </row>
    <row r="440" spans="17:18">
      <c r="Q440">
        <f>IF(INDEX('Activity Planner'!$O440:$Z440,SelMonthNum)=1,'Activity Planner'!$F440+ROW()/100000,"")</f>
        <v>0</v>
      </c>
      <c r="R440">
        <f>IF(AND('Activity Planner'!$N440=1,'Activity Planner'!$C440=SelPractice,'Activity Planner'!$AA440&gt;0),'Activity Planner'!$F440+ROW()/100000,"")</f>
        <v>0</v>
      </c>
    </row>
    <row r="441" spans="17:18">
      <c r="Q441">
        <f>IF(INDEX('Activity Planner'!$O441:$Z441,SelMonthNum)=1,'Activity Planner'!$F441+ROW()/100000,"")</f>
        <v>0</v>
      </c>
      <c r="R441">
        <f>IF(AND('Activity Planner'!$N441=1,'Activity Planner'!$C441=SelPractice,'Activity Planner'!$AA441&gt;0),'Activity Planner'!$F441+ROW()/100000,"")</f>
        <v>0</v>
      </c>
    </row>
    <row r="442" spans="17:18">
      <c r="Q442">
        <f>IF(INDEX('Activity Planner'!$O442:$Z442,SelMonthNum)=1,'Activity Planner'!$F442+ROW()/100000,"")</f>
        <v>0</v>
      </c>
      <c r="R442">
        <f>IF(AND('Activity Planner'!$N442=1,'Activity Planner'!$C442=SelPractice,'Activity Planner'!$AA442&gt;0),'Activity Planner'!$F442+ROW()/100000,"")</f>
        <v>0</v>
      </c>
    </row>
    <row r="443" spans="17:18">
      <c r="Q443">
        <f>IF(INDEX('Activity Planner'!$O443:$Z443,SelMonthNum)=1,'Activity Planner'!$F443+ROW()/100000,"")</f>
        <v>0</v>
      </c>
      <c r="R443">
        <f>IF(AND('Activity Planner'!$N443=1,'Activity Planner'!$C443=SelPractice,'Activity Planner'!$AA443&gt;0),'Activity Planner'!$F443+ROW()/100000,"")</f>
        <v>0</v>
      </c>
    </row>
    <row r="444" spans="17:18">
      <c r="Q444">
        <f>IF(INDEX('Activity Planner'!$O444:$Z444,SelMonthNum)=1,'Activity Planner'!$F444+ROW()/100000,"")</f>
        <v>0</v>
      </c>
      <c r="R444">
        <f>IF(AND('Activity Planner'!$N444=1,'Activity Planner'!$C444=SelPractice,'Activity Planner'!$AA444&gt;0),'Activity Planner'!$F444+ROW()/100000,"")</f>
        <v>0</v>
      </c>
    </row>
    <row r="445" spans="17:18">
      <c r="Q445">
        <f>IF(INDEX('Activity Planner'!$O445:$Z445,SelMonthNum)=1,'Activity Planner'!$F445+ROW()/100000,"")</f>
        <v>0</v>
      </c>
      <c r="R445">
        <f>IF(AND('Activity Planner'!$N445=1,'Activity Planner'!$C445=SelPractice,'Activity Planner'!$AA445&gt;0),'Activity Planner'!$F445+ROW()/100000,"")</f>
        <v>0</v>
      </c>
    </row>
    <row r="446" spans="17:18">
      <c r="Q446">
        <f>IF(INDEX('Activity Planner'!$O446:$Z446,SelMonthNum)=1,'Activity Planner'!$F446+ROW()/100000,"")</f>
        <v>0</v>
      </c>
      <c r="R446">
        <f>IF(AND('Activity Planner'!$N446=1,'Activity Planner'!$C446=SelPractice,'Activity Planner'!$AA446&gt;0),'Activity Planner'!$F446+ROW()/100000,"")</f>
        <v>0</v>
      </c>
    </row>
    <row r="447" spans="17:18">
      <c r="Q447">
        <f>IF(INDEX('Activity Planner'!$O447:$Z447,SelMonthNum)=1,'Activity Planner'!$F447+ROW()/100000,"")</f>
        <v>0</v>
      </c>
      <c r="R447">
        <f>IF(AND('Activity Planner'!$N447=1,'Activity Planner'!$C447=SelPractice,'Activity Planner'!$AA447&gt;0),'Activity Planner'!$F447+ROW()/100000,"")</f>
        <v>0</v>
      </c>
    </row>
    <row r="448" spans="17:18">
      <c r="Q448">
        <f>IF(INDEX('Activity Planner'!$O448:$Z448,SelMonthNum)=1,'Activity Planner'!$F448+ROW()/100000,"")</f>
        <v>0</v>
      </c>
      <c r="R448">
        <f>IF(AND('Activity Planner'!$N448=1,'Activity Planner'!$C448=SelPractice,'Activity Planner'!$AA448&gt;0),'Activity Planner'!$F448+ROW()/100000,"")</f>
        <v>0</v>
      </c>
    </row>
    <row r="449" spans="17:18">
      <c r="Q449">
        <f>IF(INDEX('Activity Planner'!$O449:$Z449,SelMonthNum)=1,'Activity Planner'!$F449+ROW()/100000,"")</f>
        <v>0</v>
      </c>
      <c r="R449">
        <f>IF(AND('Activity Planner'!$N449=1,'Activity Planner'!$C449=SelPractice,'Activity Planner'!$AA449&gt;0),'Activity Planner'!$F449+ROW()/100000,"")</f>
        <v>0</v>
      </c>
    </row>
    <row r="450" spans="17:18">
      <c r="Q450">
        <f>IF(INDEX('Activity Planner'!$O450:$Z450,SelMonthNum)=1,'Activity Planner'!$F450+ROW()/100000,"")</f>
        <v>0</v>
      </c>
      <c r="R450">
        <f>IF(AND('Activity Planner'!$N450=1,'Activity Planner'!$C450=SelPractice,'Activity Planner'!$AA450&gt;0),'Activity Planner'!$F450+ROW()/100000,"")</f>
        <v>0</v>
      </c>
    </row>
    <row r="451" spans="17:18">
      <c r="Q451">
        <f>IF(INDEX('Activity Planner'!$O451:$Z451,SelMonthNum)=1,'Activity Planner'!$F451+ROW()/100000,"")</f>
        <v>0</v>
      </c>
      <c r="R451">
        <f>IF(AND('Activity Planner'!$N451=1,'Activity Planner'!$C451=SelPractice,'Activity Planner'!$AA451&gt;0),'Activity Planner'!$F451+ROW()/100000,"")</f>
        <v>0</v>
      </c>
    </row>
    <row r="452" spans="17:18">
      <c r="Q452">
        <f>IF(INDEX('Activity Planner'!$O452:$Z452,SelMonthNum)=1,'Activity Planner'!$F452+ROW()/100000,"")</f>
        <v>0</v>
      </c>
      <c r="R452">
        <f>IF(AND('Activity Planner'!$N452=1,'Activity Planner'!$C452=SelPractice,'Activity Planner'!$AA452&gt;0),'Activity Planner'!$F452+ROW()/100000,"")</f>
        <v>0</v>
      </c>
    </row>
    <row r="453" spans="17:18">
      <c r="Q453">
        <f>IF(INDEX('Activity Planner'!$O453:$Z453,SelMonthNum)=1,'Activity Planner'!$F453+ROW()/100000,"")</f>
        <v>0</v>
      </c>
      <c r="R453">
        <f>IF(AND('Activity Planner'!$N453=1,'Activity Planner'!$C453=SelPractice,'Activity Planner'!$AA453&gt;0),'Activity Planner'!$F453+ROW()/100000,"")</f>
        <v>0</v>
      </c>
    </row>
    <row r="454" spans="17:18">
      <c r="Q454">
        <f>IF(INDEX('Activity Planner'!$O454:$Z454,SelMonthNum)=1,'Activity Planner'!$F454+ROW()/100000,"")</f>
        <v>0</v>
      </c>
      <c r="R454">
        <f>IF(AND('Activity Planner'!$N454=1,'Activity Planner'!$C454=SelPractice,'Activity Planner'!$AA454&gt;0),'Activity Planner'!$F454+ROW()/100000,"")</f>
        <v>0</v>
      </c>
    </row>
    <row r="455" spans="17:18">
      <c r="Q455">
        <f>IF(INDEX('Activity Planner'!$O455:$Z455,SelMonthNum)=1,'Activity Planner'!$F455+ROW()/100000,"")</f>
        <v>0</v>
      </c>
      <c r="R455">
        <f>IF(AND('Activity Planner'!$N455=1,'Activity Planner'!$C455=SelPractice,'Activity Planner'!$AA455&gt;0),'Activity Planner'!$F455+ROW()/100000,"")</f>
        <v>0</v>
      </c>
    </row>
    <row r="456" spans="17:18">
      <c r="Q456">
        <f>IF(INDEX('Activity Planner'!$O456:$Z456,SelMonthNum)=1,'Activity Planner'!$F456+ROW()/100000,"")</f>
        <v>0</v>
      </c>
      <c r="R456">
        <f>IF(AND('Activity Planner'!$N456=1,'Activity Planner'!$C456=SelPractice,'Activity Planner'!$AA456&gt;0),'Activity Planner'!$F456+ROW()/100000,"")</f>
        <v>0</v>
      </c>
    </row>
    <row r="457" spans="17:18">
      <c r="Q457">
        <f>IF(INDEX('Activity Planner'!$O457:$Z457,SelMonthNum)=1,'Activity Planner'!$F457+ROW()/100000,"")</f>
        <v>0</v>
      </c>
      <c r="R457">
        <f>IF(AND('Activity Planner'!$N457=1,'Activity Planner'!$C457=SelPractice,'Activity Planner'!$AA457&gt;0),'Activity Planner'!$F457+ROW()/100000,"")</f>
        <v>0</v>
      </c>
    </row>
    <row r="458" spans="17:18">
      <c r="Q458">
        <f>IF(INDEX('Activity Planner'!$O458:$Z458,SelMonthNum)=1,'Activity Planner'!$F458+ROW()/100000,"")</f>
        <v>0</v>
      </c>
      <c r="R458">
        <f>IF(AND('Activity Planner'!$N458=1,'Activity Planner'!$C458=SelPractice,'Activity Planner'!$AA458&gt;0),'Activity Planner'!$F458+ROW()/100000,"")</f>
        <v>0</v>
      </c>
    </row>
    <row r="459" spans="17:18">
      <c r="Q459">
        <f>IF(INDEX('Activity Planner'!$O459:$Z459,SelMonthNum)=1,'Activity Planner'!$F459+ROW()/100000,"")</f>
        <v>0</v>
      </c>
      <c r="R459">
        <f>IF(AND('Activity Planner'!$N459=1,'Activity Planner'!$C459=SelPractice,'Activity Planner'!$AA459&gt;0),'Activity Planner'!$F459+ROW()/100000,"")</f>
        <v>0</v>
      </c>
    </row>
    <row r="460" spans="17:18">
      <c r="Q460">
        <f>IF(INDEX('Activity Planner'!$O460:$Z460,SelMonthNum)=1,'Activity Planner'!$F460+ROW()/100000,"")</f>
        <v>0</v>
      </c>
      <c r="R460">
        <f>IF(AND('Activity Planner'!$N460=1,'Activity Planner'!$C460=SelPractice,'Activity Planner'!$AA460&gt;0),'Activity Planner'!$F460+ROW()/100000,"")</f>
        <v>0</v>
      </c>
    </row>
    <row r="461" spans="17:18">
      <c r="Q461">
        <f>IF(INDEX('Activity Planner'!$O461:$Z461,SelMonthNum)=1,'Activity Planner'!$F461+ROW()/100000,"")</f>
        <v>0</v>
      </c>
      <c r="R461">
        <f>IF(AND('Activity Planner'!$N461=1,'Activity Planner'!$C461=SelPractice,'Activity Planner'!$AA461&gt;0),'Activity Planner'!$F461+ROW()/100000,"")</f>
        <v>0</v>
      </c>
    </row>
    <row r="462" spans="17:18">
      <c r="Q462">
        <f>IF(INDEX('Activity Planner'!$O462:$Z462,SelMonthNum)=1,'Activity Planner'!$F462+ROW()/100000,"")</f>
        <v>0</v>
      </c>
      <c r="R462">
        <f>IF(AND('Activity Planner'!$N462=1,'Activity Planner'!$C462=SelPractice,'Activity Planner'!$AA462&gt;0),'Activity Planner'!$F462+ROW()/100000,"")</f>
        <v>0</v>
      </c>
    </row>
    <row r="463" spans="17:18">
      <c r="Q463">
        <f>IF(INDEX('Activity Planner'!$O463:$Z463,SelMonthNum)=1,'Activity Planner'!$F463+ROW()/100000,"")</f>
        <v>0</v>
      </c>
      <c r="R463">
        <f>IF(AND('Activity Planner'!$N463=1,'Activity Planner'!$C463=SelPractice,'Activity Planner'!$AA463&gt;0),'Activity Planner'!$F463+ROW()/100000,"")</f>
        <v>0</v>
      </c>
    </row>
    <row r="464" spans="17:18">
      <c r="Q464">
        <f>IF(INDEX('Activity Planner'!$O464:$Z464,SelMonthNum)=1,'Activity Planner'!$F464+ROW()/100000,"")</f>
        <v>0</v>
      </c>
      <c r="R464">
        <f>IF(AND('Activity Planner'!$N464=1,'Activity Planner'!$C464=SelPractice,'Activity Planner'!$AA464&gt;0),'Activity Planner'!$F464+ROW()/100000,"")</f>
        <v>0</v>
      </c>
    </row>
    <row r="465" spans="17:18">
      <c r="Q465">
        <f>IF(INDEX('Activity Planner'!$O465:$Z465,SelMonthNum)=1,'Activity Planner'!$F465+ROW()/100000,"")</f>
        <v>0</v>
      </c>
      <c r="R465">
        <f>IF(AND('Activity Planner'!$N465=1,'Activity Planner'!$C465=SelPractice,'Activity Planner'!$AA465&gt;0),'Activity Planner'!$F465+ROW()/100000,"")</f>
        <v>0</v>
      </c>
    </row>
    <row r="466" spans="17:18">
      <c r="Q466">
        <f>IF(INDEX('Activity Planner'!$O466:$Z466,SelMonthNum)=1,'Activity Planner'!$F466+ROW()/100000,"")</f>
        <v>0</v>
      </c>
      <c r="R466">
        <f>IF(AND('Activity Planner'!$N466=1,'Activity Planner'!$C466=SelPractice,'Activity Planner'!$AA466&gt;0),'Activity Planner'!$F466+ROW()/100000,"")</f>
        <v>0</v>
      </c>
    </row>
    <row r="467" spans="17:18">
      <c r="Q467">
        <f>IF(INDEX('Activity Planner'!$O467:$Z467,SelMonthNum)=1,'Activity Planner'!$F467+ROW()/100000,"")</f>
        <v>0</v>
      </c>
      <c r="R467">
        <f>IF(AND('Activity Planner'!$N467=1,'Activity Planner'!$C467=SelPractice,'Activity Planner'!$AA467&gt;0),'Activity Planner'!$F467+ROW()/100000,"")</f>
        <v>0</v>
      </c>
    </row>
    <row r="468" spans="17:18">
      <c r="Q468">
        <f>IF(INDEX('Activity Planner'!$O468:$Z468,SelMonthNum)=1,'Activity Planner'!$F468+ROW()/100000,"")</f>
        <v>0</v>
      </c>
      <c r="R468">
        <f>IF(AND('Activity Planner'!$N468=1,'Activity Planner'!$C468=SelPractice,'Activity Planner'!$AA468&gt;0),'Activity Planner'!$F468+ROW()/100000,"")</f>
        <v>0</v>
      </c>
    </row>
    <row r="469" spans="17:18">
      <c r="Q469">
        <f>IF(INDEX('Activity Planner'!$O469:$Z469,SelMonthNum)=1,'Activity Planner'!$F469+ROW()/100000,"")</f>
        <v>0</v>
      </c>
      <c r="R469">
        <f>IF(AND('Activity Planner'!$N469=1,'Activity Planner'!$C469=SelPractice,'Activity Planner'!$AA469&gt;0),'Activity Planner'!$F469+ROW()/100000,"")</f>
        <v>0</v>
      </c>
    </row>
    <row r="470" spans="17:18">
      <c r="Q470">
        <f>IF(INDEX('Activity Planner'!$O470:$Z470,SelMonthNum)=1,'Activity Planner'!$F470+ROW()/100000,"")</f>
        <v>0</v>
      </c>
      <c r="R470">
        <f>IF(AND('Activity Planner'!$N470=1,'Activity Planner'!$C470=SelPractice,'Activity Planner'!$AA470&gt;0),'Activity Planner'!$F470+ROW()/100000,"")</f>
        <v>0</v>
      </c>
    </row>
    <row r="471" spans="17:18">
      <c r="Q471">
        <f>IF(INDEX('Activity Planner'!$O471:$Z471,SelMonthNum)=1,'Activity Planner'!$F471+ROW()/100000,"")</f>
        <v>0</v>
      </c>
      <c r="R471">
        <f>IF(AND('Activity Planner'!$N471=1,'Activity Planner'!$C471=SelPractice,'Activity Planner'!$AA471&gt;0),'Activity Planner'!$F471+ROW()/100000,"")</f>
        <v>0</v>
      </c>
    </row>
    <row r="472" spans="17:18">
      <c r="Q472">
        <f>IF(INDEX('Activity Planner'!$O472:$Z472,SelMonthNum)=1,'Activity Planner'!$F472+ROW()/100000,"")</f>
        <v>0</v>
      </c>
      <c r="R472">
        <f>IF(AND('Activity Planner'!$N472=1,'Activity Planner'!$C472=SelPractice,'Activity Planner'!$AA472&gt;0),'Activity Planner'!$F472+ROW()/100000,"")</f>
        <v>0</v>
      </c>
    </row>
    <row r="473" spans="17:18">
      <c r="Q473">
        <f>IF(INDEX('Activity Planner'!$O473:$Z473,SelMonthNum)=1,'Activity Planner'!$F473+ROW()/100000,"")</f>
        <v>0</v>
      </c>
      <c r="R473">
        <f>IF(AND('Activity Planner'!$N473=1,'Activity Planner'!$C473=SelPractice,'Activity Planner'!$AA473&gt;0),'Activity Planner'!$F473+ROW()/100000,"")</f>
        <v>0</v>
      </c>
    </row>
    <row r="474" spans="17:18">
      <c r="Q474">
        <f>IF(INDEX('Activity Planner'!$O474:$Z474,SelMonthNum)=1,'Activity Planner'!$F474+ROW()/100000,"")</f>
        <v>0</v>
      </c>
      <c r="R474">
        <f>IF(AND('Activity Planner'!$N474=1,'Activity Planner'!$C474=SelPractice,'Activity Planner'!$AA474&gt;0),'Activity Planner'!$F474+ROW()/100000,"")</f>
        <v>0</v>
      </c>
    </row>
    <row r="475" spans="17:18">
      <c r="Q475">
        <f>IF(INDEX('Activity Planner'!$O475:$Z475,SelMonthNum)=1,'Activity Planner'!$F475+ROW()/100000,"")</f>
        <v>0</v>
      </c>
      <c r="R475">
        <f>IF(AND('Activity Planner'!$N475=1,'Activity Planner'!$C475=SelPractice,'Activity Planner'!$AA475&gt;0),'Activity Planner'!$F475+ROW()/100000,"")</f>
        <v>0</v>
      </c>
    </row>
    <row r="476" spans="17:18">
      <c r="Q476">
        <f>IF(INDEX('Activity Planner'!$O476:$Z476,SelMonthNum)=1,'Activity Planner'!$F476+ROW()/100000,"")</f>
        <v>0</v>
      </c>
      <c r="R476">
        <f>IF(AND('Activity Planner'!$N476=1,'Activity Planner'!$C476=SelPractice,'Activity Planner'!$AA476&gt;0),'Activity Planner'!$F476+ROW()/100000,"")</f>
        <v>0</v>
      </c>
    </row>
    <row r="477" spans="17:18">
      <c r="Q477">
        <f>IF(INDEX('Activity Planner'!$O477:$Z477,SelMonthNum)=1,'Activity Planner'!$F477+ROW()/100000,"")</f>
        <v>0</v>
      </c>
      <c r="R477">
        <f>IF(AND('Activity Planner'!$N477=1,'Activity Planner'!$C477=SelPractice,'Activity Planner'!$AA477&gt;0),'Activity Planner'!$F477+ROW()/100000,"")</f>
        <v>0</v>
      </c>
    </row>
    <row r="478" spans="17:18">
      <c r="Q478">
        <f>IF(INDEX('Activity Planner'!$O478:$Z478,SelMonthNum)=1,'Activity Planner'!$F478+ROW()/100000,"")</f>
        <v>0</v>
      </c>
      <c r="R478">
        <f>IF(AND('Activity Planner'!$N478=1,'Activity Planner'!$C478=SelPractice,'Activity Planner'!$AA478&gt;0),'Activity Planner'!$F478+ROW()/100000,"")</f>
        <v>0</v>
      </c>
    </row>
    <row r="479" spans="17:18">
      <c r="Q479">
        <f>IF(INDEX('Activity Planner'!$O479:$Z479,SelMonthNum)=1,'Activity Planner'!$F479+ROW()/100000,"")</f>
        <v>0</v>
      </c>
      <c r="R479">
        <f>IF(AND('Activity Planner'!$N479=1,'Activity Planner'!$C479=SelPractice,'Activity Planner'!$AA479&gt;0),'Activity Planner'!$F479+ROW()/100000,"")</f>
        <v>0</v>
      </c>
    </row>
    <row r="480" spans="17:18">
      <c r="Q480">
        <f>IF(INDEX('Activity Planner'!$O480:$Z480,SelMonthNum)=1,'Activity Planner'!$F480+ROW()/100000,"")</f>
        <v>0</v>
      </c>
      <c r="R480">
        <f>IF(AND('Activity Planner'!$N480=1,'Activity Planner'!$C480=SelPractice,'Activity Planner'!$AA480&gt;0),'Activity Planner'!$F480+ROW()/100000,"")</f>
        <v>0</v>
      </c>
    </row>
    <row r="481" spans="17:18">
      <c r="Q481">
        <f>IF(INDEX('Activity Planner'!$O481:$Z481,SelMonthNum)=1,'Activity Planner'!$F481+ROW()/100000,"")</f>
        <v>0</v>
      </c>
      <c r="R481">
        <f>IF(AND('Activity Planner'!$N481=1,'Activity Planner'!$C481=SelPractice,'Activity Planner'!$AA481&gt;0),'Activity Planner'!$F481+ROW()/100000,"")</f>
        <v>0</v>
      </c>
    </row>
    <row r="482" spans="17:18">
      <c r="Q482">
        <f>IF(INDEX('Activity Planner'!$O482:$Z482,SelMonthNum)=1,'Activity Planner'!$F482+ROW()/100000,"")</f>
        <v>0</v>
      </c>
      <c r="R482">
        <f>IF(AND('Activity Planner'!$N482=1,'Activity Planner'!$C482=SelPractice,'Activity Planner'!$AA482&gt;0),'Activity Planner'!$F482+ROW()/100000,"")</f>
        <v>0</v>
      </c>
    </row>
    <row r="483" spans="17:18">
      <c r="Q483">
        <f>IF(INDEX('Activity Planner'!$O483:$Z483,SelMonthNum)=1,'Activity Planner'!$F483+ROW()/100000,"")</f>
        <v>0</v>
      </c>
      <c r="R483">
        <f>IF(AND('Activity Planner'!$N483=1,'Activity Planner'!$C483=SelPractice,'Activity Planner'!$AA483&gt;0),'Activity Planner'!$F483+ROW()/100000,"")</f>
        <v>0</v>
      </c>
    </row>
    <row r="484" spans="17:18">
      <c r="Q484">
        <f>IF(INDEX('Activity Planner'!$O484:$Z484,SelMonthNum)=1,'Activity Planner'!$F484+ROW()/100000,"")</f>
        <v>0</v>
      </c>
      <c r="R484">
        <f>IF(AND('Activity Planner'!$N484=1,'Activity Planner'!$C484=SelPractice,'Activity Planner'!$AA484&gt;0),'Activity Planner'!$F484+ROW()/100000,"")</f>
        <v>0</v>
      </c>
    </row>
    <row r="485" spans="17:18">
      <c r="Q485">
        <f>IF(INDEX('Activity Planner'!$O485:$Z485,SelMonthNum)=1,'Activity Planner'!$F485+ROW()/100000,"")</f>
        <v>0</v>
      </c>
      <c r="R485">
        <f>IF(AND('Activity Planner'!$N485=1,'Activity Planner'!$C485=SelPractice,'Activity Planner'!$AA485&gt;0),'Activity Planner'!$F485+ROW()/100000,"")</f>
        <v>0</v>
      </c>
    </row>
    <row r="486" spans="17:18">
      <c r="Q486">
        <f>IF(INDEX('Activity Planner'!$O486:$Z486,SelMonthNum)=1,'Activity Planner'!$F486+ROW()/100000,"")</f>
        <v>0</v>
      </c>
      <c r="R486">
        <f>IF(AND('Activity Planner'!$N486=1,'Activity Planner'!$C486=SelPractice,'Activity Planner'!$AA486&gt;0),'Activity Planner'!$F486+ROW()/100000,"")</f>
        <v>0</v>
      </c>
    </row>
    <row r="487" spans="17:18">
      <c r="Q487">
        <f>IF(INDEX('Activity Planner'!$O487:$Z487,SelMonthNum)=1,'Activity Planner'!$F487+ROW()/100000,"")</f>
        <v>0</v>
      </c>
      <c r="R487">
        <f>IF(AND('Activity Planner'!$N487=1,'Activity Planner'!$C487=SelPractice,'Activity Planner'!$AA487&gt;0),'Activity Planner'!$F487+ROW()/100000,"")</f>
        <v>0</v>
      </c>
    </row>
    <row r="488" spans="17:18">
      <c r="Q488">
        <f>IF(INDEX('Activity Planner'!$O488:$Z488,SelMonthNum)=1,'Activity Planner'!$F488+ROW()/100000,"")</f>
        <v>0</v>
      </c>
      <c r="R488">
        <f>IF(AND('Activity Planner'!$N488=1,'Activity Planner'!$C488=SelPractice,'Activity Planner'!$AA488&gt;0),'Activity Planner'!$F488+ROW()/100000,"")</f>
        <v>0</v>
      </c>
    </row>
    <row r="489" spans="17:18">
      <c r="Q489">
        <f>IF(INDEX('Activity Planner'!$O489:$Z489,SelMonthNum)=1,'Activity Planner'!$F489+ROW()/100000,"")</f>
        <v>0</v>
      </c>
      <c r="R489">
        <f>IF(AND('Activity Planner'!$N489=1,'Activity Planner'!$C489=SelPractice,'Activity Planner'!$AA489&gt;0),'Activity Planner'!$F489+ROW()/100000,"")</f>
        <v>0</v>
      </c>
    </row>
    <row r="490" spans="17:18">
      <c r="Q490">
        <f>IF(INDEX('Activity Planner'!$O490:$Z490,SelMonthNum)=1,'Activity Planner'!$F490+ROW()/100000,"")</f>
        <v>0</v>
      </c>
      <c r="R490">
        <f>IF(AND('Activity Planner'!$N490=1,'Activity Planner'!$C490=SelPractice,'Activity Planner'!$AA490&gt;0),'Activity Planner'!$F490+ROW()/100000,"")</f>
        <v>0</v>
      </c>
    </row>
    <row r="491" spans="17:18">
      <c r="Q491">
        <f>IF(INDEX('Activity Planner'!$O491:$Z491,SelMonthNum)=1,'Activity Planner'!$F491+ROW()/100000,"")</f>
        <v>0</v>
      </c>
      <c r="R491">
        <f>IF(AND('Activity Planner'!$N491=1,'Activity Planner'!$C491=SelPractice,'Activity Planner'!$AA491&gt;0),'Activity Planner'!$F491+ROW()/100000,"")</f>
        <v>0</v>
      </c>
    </row>
    <row r="492" spans="17:18">
      <c r="Q492">
        <f>IF(INDEX('Activity Planner'!$O492:$Z492,SelMonthNum)=1,'Activity Planner'!$F492+ROW()/100000,"")</f>
        <v>0</v>
      </c>
      <c r="R492">
        <f>IF(AND('Activity Planner'!$N492=1,'Activity Planner'!$C492=SelPractice,'Activity Planner'!$AA492&gt;0),'Activity Planner'!$F492+ROW()/100000,"")</f>
        <v>0</v>
      </c>
    </row>
    <row r="493" spans="17:18">
      <c r="Q493">
        <f>IF(INDEX('Activity Planner'!$O493:$Z493,SelMonthNum)=1,'Activity Planner'!$F493+ROW()/100000,"")</f>
        <v>0</v>
      </c>
      <c r="R493">
        <f>IF(AND('Activity Planner'!$N493=1,'Activity Planner'!$C493=SelPractice,'Activity Planner'!$AA493&gt;0),'Activity Planner'!$F493+ROW()/100000,"")</f>
        <v>0</v>
      </c>
    </row>
    <row r="494" spans="17:18">
      <c r="Q494">
        <f>IF(INDEX('Activity Planner'!$O494:$Z494,SelMonthNum)=1,'Activity Planner'!$F494+ROW()/100000,"")</f>
        <v>0</v>
      </c>
      <c r="R494">
        <f>IF(AND('Activity Planner'!$N494=1,'Activity Planner'!$C494=SelPractice,'Activity Planner'!$AA494&gt;0),'Activity Planner'!$F494+ROW()/100000,"")</f>
        <v>0</v>
      </c>
    </row>
    <row r="495" spans="17:18">
      <c r="Q495">
        <f>IF(INDEX('Activity Planner'!$O495:$Z495,SelMonthNum)=1,'Activity Planner'!$F495+ROW()/100000,"")</f>
        <v>0</v>
      </c>
      <c r="R495">
        <f>IF(AND('Activity Planner'!$N495=1,'Activity Planner'!$C495=SelPractice,'Activity Planner'!$AA495&gt;0),'Activity Planner'!$F495+ROW()/100000,"")</f>
        <v>0</v>
      </c>
    </row>
    <row r="496" spans="17:18">
      <c r="Q496">
        <f>IF(INDEX('Activity Planner'!$O496:$Z496,SelMonthNum)=1,'Activity Planner'!$F496+ROW()/100000,"")</f>
        <v>0</v>
      </c>
      <c r="R496">
        <f>IF(AND('Activity Planner'!$N496=1,'Activity Planner'!$C496=SelPractice,'Activity Planner'!$AA496&gt;0),'Activity Planner'!$F496+ROW()/100000,"")</f>
        <v>0</v>
      </c>
    </row>
    <row r="497" spans="17:18">
      <c r="Q497">
        <f>IF(INDEX('Activity Planner'!$O497:$Z497,SelMonthNum)=1,'Activity Planner'!$F497+ROW()/100000,"")</f>
        <v>0</v>
      </c>
      <c r="R497">
        <f>IF(AND('Activity Planner'!$N497=1,'Activity Planner'!$C497=SelPractice,'Activity Planner'!$AA497&gt;0),'Activity Planner'!$F497+ROW()/100000,"")</f>
        <v>0</v>
      </c>
    </row>
    <row r="498" spans="17:18">
      <c r="Q498">
        <f>IF(INDEX('Activity Planner'!$O498:$Z498,SelMonthNum)=1,'Activity Planner'!$F498+ROW()/100000,"")</f>
        <v>0</v>
      </c>
      <c r="R498">
        <f>IF(AND('Activity Planner'!$N498=1,'Activity Planner'!$C498=SelPractice,'Activity Planner'!$AA498&gt;0),'Activity Planner'!$F498+ROW()/100000,"")</f>
        <v>0</v>
      </c>
    </row>
    <row r="499" spans="17:18">
      <c r="Q499">
        <f>IF(INDEX('Activity Planner'!$O499:$Z499,SelMonthNum)=1,'Activity Planner'!$F499+ROW()/100000,"")</f>
        <v>0</v>
      </c>
      <c r="R499">
        <f>IF(AND('Activity Planner'!$N499=1,'Activity Planner'!$C499=SelPractice,'Activity Planner'!$AA499&gt;0),'Activity Planner'!$F499+ROW()/100000,"")</f>
        <v>0</v>
      </c>
    </row>
    <row r="500" spans="17:18">
      <c r="Q500">
        <f>IF(INDEX('Activity Planner'!$O500:$Z500,SelMonthNum)=1,'Activity Planner'!$F500+ROW()/100000,"")</f>
        <v>0</v>
      </c>
      <c r="R500">
        <f>IF(AND('Activity Planner'!$N500=1,'Activity Planner'!$C500=SelPractice,'Activity Planner'!$AA500&gt;0),'Activity Planner'!$F500+ROW()/100000,"")</f>
        <v>0</v>
      </c>
    </row>
    <row r="501" spans="17:18">
      <c r="Q501">
        <f>IF(INDEX('Activity Planner'!$O501:$Z501,SelMonthNum)=1,'Activity Planner'!$F501+ROW()/100000,"")</f>
        <v>0</v>
      </c>
      <c r="R501">
        <f>IF(AND('Activity Planner'!$N501=1,'Activity Planner'!$C501=SelPractice,'Activity Planner'!$AA501&gt;0),'Activity Planner'!$F501+ROW()/100000,"")</f>
        <v>0</v>
      </c>
    </row>
    <row r="502" spans="17:18">
      <c r="Q502">
        <f>IF(INDEX('Activity Planner'!$O502:$Z502,SelMonthNum)=1,'Activity Planner'!$F502+ROW()/100000,"")</f>
        <v>0</v>
      </c>
      <c r="R502">
        <f>IF(AND('Activity Planner'!$N502=1,'Activity Planner'!$C502=SelPractice,'Activity Planner'!$AA502&gt;0),'Activity Planner'!$F502+ROW()/100000,"")</f>
        <v>0</v>
      </c>
    </row>
    <row r="503" spans="17:18">
      <c r="Q503">
        <f>IF(INDEX('Activity Planner'!$O503:$Z503,SelMonthNum)=1,'Activity Planner'!$F503+ROW()/100000,"")</f>
        <v>0</v>
      </c>
      <c r="R503">
        <f>IF(AND('Activity Planner'!$N503=1,'Activity Planner'!$C503=SelPractice,'Activity Planner'!$AA503&gt;0),'Activity Planner'!$F503+ROW()/100000,"")</f>
        <v>0</v>
      </c>
    </row>
    <row r="504" spans="17:18">
      <c r="Q504">
        <f>IF(INDEX('Activity Planner'!$O504:$Z504,SelMonthNum)=1,'Activity Planner'!$F504+ROW()/100000,"")</f>
        <v>0</v>
      </c>
      <c r="R504">
        <f>IF(AND('Activity Planner'!$N504=1,'Activity Planner'!$C504=SelPractice,'Activity Planner'!$AA504&gt;0),'Activity Planner'!$F504+ROW()/100000,"")</f>
        <v>0</v>
      </c>
    </row>
    <row r="505" spans="17:18">
      <c r="Q505">
        <f>IF(INDEX('Activity Planner'!$O505:$Z505,SelMonthNum)=1,'Activity Planner'!$F505+ROW()/100000,"")</f>
        <v>0</v>
      </c>
      <c r="R505">
        <f>IF(AND('Activity Planner'!$N505=1,'Activity Planner'!$C505=SelPractice,'Activity Planner'!$AA505&gt;0),'Activity Planner'!$F505+ROW()/100000,"")</f>
        <v>0</v>
      </c>
    </row>
    <row r="506" spans="17:18">
      <c r="Q506">
        <f>IF(INDEX('Activity Planner'!$O506:$Z506,SelMonthNum)=1,'Activity Planner'!$F506+ROW()/100000,"")</f>
        <v>0</v>
      </c>
      <c r="R506">
        <f>IF(AND('Activity Planner'!$N506=1,'Activity Planner'!$C506=SelPractice,'Activity Planner'!$AA506&gt;0),'Activity Planner'!$F506+ROW()/100000,"")</f>
        <v>0</v>
      </c>
    </row>
    <row r="507" spans="17:18">
      <c r="Q507">
        <f>IF(INDEX('Activity Planner'!$O507:$Z507,SelMonthNum)=1,'Activity Planner'!$F507+ROW()/100000,"")</f>
        <v>0</v>
      </c>
      <c r="R507">
        <f>IF(AND('Activity Planner'!$N507=1,'Activity Planner'!$C507=SelPractice,'Activity Planner'!$AA507&gt;0),'Activity Planner'!$F507+ROW()/100000,"")</f>
        <v>0</v>
      </c>
    </row>
    <row r="508" spans="17:18">
      <c r="Q508">
        <f>IF(INDEX('Activity Planner'!$O508:$Z508,SelMonthNum)=1,'Activity Planner'!$F508+ROW()/100000,"")</f>
        <v>0</v>
      </c>
      <c r="R508">
        <f>IF(AND('Activity Planner'!$N508=1,'Activity Planner'!$C508=SelPractice,'Activity Planner'!$AA508&gt;0),'Activity Planner'!$F508+ROW()/100000,"")</f>
        <v>0</v>
      </c>
    </row>
    <row r="509" spans="17:18">
      <c r="Q509">
        <f>IF(INDEX('Activity Planner'!$O509:$Z509,SelMonthNum)=1,'Activity Planner'!$F509+ROW()/100000,"")</f>
        <v>0</v>
      </c>
      <c r="R509">
        <f>IF(AND('Activity Planner'!$N509=1,'Activity Planner'!$C509=SelPractice,'Activity Planner'!$AA509&gt;0),'Activity Planner'!$F509+ROW()/100000,"")</f>
        <v>0</v>
      </c>
    </row>
    <row r="510" spans="17:18">
      <c r="Q510">
        <f>IF(INDEX('Activity Planner'!$O510:$Z510,SelMonthNum)=1,'Activity Planner'!$F510+ROW()/100000,"")</f>
        <v>0</v>
      </c>
      <c r="R510">
        <f>IF(AND('Activity Planner'!$N510=1,'Activity Planner'!$C510=SelPractice,'Activity Planner'!$AA510&gt;0),'Activity Planner'!$F510+ROW()/100000,"")</f>
        <v>0</v>
      </c>
    </row>
    <row r="511" spans="17:18">
      <c r="Q511">
        <f>IF(INDEX('Activity Planner'!$O511:$Z511,SelMonthNum)=1,'Activity Planner'!$F511+ROW()/100000,"")</f>
        <v>0</v>
      </c>
      <c r="R511">
        <f>IF(AND('Activity Planner'!$N511=1,'Activity Planner'!$C511=SelPractice,'Activity Planner'!$AA511&gt;0),'Activity Planner'!$F511+ROW()/100000,"")</f>
        <v>0</v>
      </c>
    </row>
    <row r="512" spans="17:18">
      <c r="Q512">
        <f>IF(INDEX('Activity Planner'!$O512:$Z512,SelMonthNum)=1,'Activity Planner'!$F512+ROW()/100000,"")</f>
        <v>0</v>
      </c>
      <c r="R512">
        <f>IF(AND('Activity Planner'!$N512=1,'Activity Planner'!$C512=SelPractice,'Activity Planner'!$AA512&gt;0),'Activity Planner'!$F512+ROW()/100000,"")</f>
        <v>0</v>
      </c>
    </row>
    <row r="513" spans="17:18">
      <c r="Q513">
        <f>IF(INDEX('Activity Planner'!$O513:$Z513,SelMonthNum)=1,'Activity Planner'!$F513+ROW()/100000,"")</f>
        <v>0</v>
      </c>
      <c r="R513">
        <f>IF(AND('Activity Planner'!$N513=1,'Activity Planner'!$C513=SelPractice,'Activity Planner'!$AA513&gt;0),'Activity Planner'!$F513+ROW()/100000,"")</f>
        <v>0</v>
      </c>
    </row>
    <row r="514" spans="17:18">
      <c r="Q514">
        <f>IF(INDEX('Activity Planner'!$O514:$Z514,SelMonthNum)=1,'Activity Planner'!$F514+ROW()/100000,"")</f>
        <v>0</v>
      </c>
      <c r="R514">
        <f>IF(AND('Activity Planner'!$N514=1,'Activity Planner'!$C514=SelPractice,'Activity Planner'!$AA514&gt;0),'Activity Planner'!$F514+ROW()/100000,"")</f>
        <v>0</v>
      </c>
    </row>
    <row r="515" spans="17:18">
      <c r="Q515">
        <f>IF(INDEX('Activity Planner'!$O515:$Z515,SelMonthNum)=1,'Activity Planner'!$F515+ROW()/100000,"")</f>
        <v>0</v>
      </c>
      <c r="R515">
        <f>IF(AND('Activity Planner'!$N515=1,'Activity Planner'!$C515=SelPractice,'Activity Planner'!$AA515&gt;0),'Activity Planner'!$F515+ROW()/100000,"")</f>
        <v>0</v>
      </c>
    </row>
    <row r="516" spans="17:18">
      <c r="Q516">
        <f>IF(INDEX('Activity Planner'!$O516:$Z516,SelMonthNum)=1,'Activity Planner'!$F516+ROW()/100000,"")</f>
        <v>0</v>
      </c>
      <c r="R516">
        <f>IF(AND('Activity Planner'!$N516=1,'Activity Planner'!$C516=SelPractice,'Activity Planner'!$AA516&gt;0),'Activity Planner'!$F516+ROW()/100000,"")</f>
        <v>0</v>
      </c>
    </row>
    <row r="517" spans="17:18">
      <c r="Q517">
        <f>IF(INDEX('Activity Planner'!$O517:$Z517,SelMonthNum)=1,'Activity Planner'!$F517+ROW()/100000,"")</f>
        <v>0</v>
      </c>
      <c r="R517">
        <f>IF(AND('Activity Planner'!$N517=1,'Activity Planner'!$C517=SelPractice,'Activity Planner'!$AA517&gt;0),'Activity Planner'!$F517+ROW()/100000,"")</f>
        <v>0</v>
      </c>
    </row>
    <row r="518" spans="17:18">
      <c r="Q518">
        <f>IF(INDEX('Activity Planner'!$O518:$Z518,SelMonthNum)=1,'Activity Planner'!$F518+ROW()/100000,"")</f>
        <v>0</v>
      </c>
      <c r="R518">
        <f>IF(AND('Activity Planner'!$N518=1,'Activity Planner'!$C518=SelPractice,'Activity Planner'!$AA518&gt;0),'Activity Planner'!$F518+ROW()/100000,"")</f>
        <v>0</v>
      </c>
    </row>
    <row r="519" spans="17:18">
      <c r="Q519">
        <f>IF(INDEX('Activity Planner'!$O519:$Z519,SelMonthNum)=1,'Activity Planner'!$F519+ROW()/100000,"")</f>
        <v>0</v>
      </c>
      <c r="R519">
        <f>IF(AND('Activity Planner'!$N519=1,'Activity Planner'!$C519=SelPractice,'Activity Planner'!$AA519&gt;0),'Activity Planner'!$F519+ROW()/100000,"")</f>
        <v>0</v>
      </c>
    </row>
    <row r="520" spans="17:18">
      <c r="Q520">
        <f>IF(INDEX('Activity Planner'!$O520:$Z520,SelMonthNum)=1,'Activity Planner'!$F520+ROW()/100000,"")</f>
        <v>0</v>
      </c>
      <c r="R520">
        <f>IF(AND('Activity Planner'!$N520=1,'Activity Planner'!$C520=SelPractice,'Activity Planner'!$AA520&gt;0),'Activity Planner'!$F520+ROW()/100000,"")</f>
        <v>0</v>
      </c>
    </row>
    <row r="521" spans="17:18">
      <c r="Q521">
        <f>IF(INDEX('Activity Planner'!$O521:$Z521,SelMonthNum)=1,'Activity Planner'!$F521+ROW()/100000,"")</f>
        <v>0</v>
      </c>
      <c r="R521">
        <f>IF(AND('Activity Planner'!$N521=1,'Activity Planner'!$C521=SelPractice,'Activity Planner'!$AA521&gt;0),'Activity Planner'!$F521+ROW()/100000,"")</f>
        <v>0</v>
      </c>
    </row>
    <row r="522" spans="17:18">
      <c r="Q522">
        <f>IF(INDEX('Activity Planner'!$O522:$Z522,SelMonthNum)=1,'Activity Planner'!$F522+ROW()/100000,"")</f>
        <v>0</v>
      </c>
      <c r="R522">
        <f>IF(AND('Activity Planner'!$N522=1,'Activity Planner'!$C522=SelPractice,'Activity Planner'!$AA522&gt;0),'Activity Planner'!$F522+ROW()/100000,"")</f>
        <v>0</v>
      </c>
    </row>
    <row r="523" spans="17:18">
      <c r="Q523">
        <f>IF(INDEX('Activity Planner'!$O523:$Z523,SelMonthNum)=1,'Activity Planner'!$F523+ROW()/100000,"")</f>
        <v>0</v>
      </c>
      <c r="R523">
        <f>IF(AND('Activity Planner'!$N523=1,'Activity Planner'!$C523=SelPractice,'Activity Planner'!$AA523&gt;0),'Activity Planner'!$F523+ROW()/100000,"")</f>
        <v>0</v>
      </c>
    </row>
    <row r="524" spans="17:18">
      <c r="Q524">
        <f>IF(INDEX('Activity Planner'!$O524:$Z524,SelMonthNum)=1,'Activity Planner'!$F524+ROW()/100000,"")</f>
        <v>0</v>
      </c>
      <c r="R524">
        <f>IF(AND('Activity Planner'!$N524=1,'Activity Planner'!$C524=SelPractice,'Activity Planner'!$AA524&gt;0),'Activity Planner'!$F524+ROW()/100000,"")</f>
        <v>0</v>
      </c>
    </row>
    <row r="525" spans="17:18">
      <c r="Q525">
        <f>IF(INDEX('Activity Planner'!$O525:$Z525,SelMonthNum)=1,'Activity Planner'!$F525+ROW()/100000,"")</f>
        <v>0</v>
      </c>
      <c r="R525">
        <f>IF(AND('Activity Planner'!$N525=1,'Activity Planner'!$C525=SelPractice,'Activity Planner'!$AA525&gt;0),'Activity Planner'!$F525+ROW()/100000,"")</f>
        <v>0</v>
      </c>
    </row>
    <row r="526" spans="17:18">
      <c r="Q526">
        <f>IF(INDEX('Activity Planner'!$O526:$Z526,SelMonthNum)=1,'Activity Planner'!$F526+ROW()/100000,"")</f>
        <v>0</v>
      </c>
      <c r="R526">
        <f>IF(AND('Activity Planner'!$N526=1,'Activity Planner'!$C526=SelPractice,'Activity Planner'!$AA526&gt;0),'Activity Planner'!$F526+ROW()/100000,"")</f>
        <v>0</v>
      </c>
    </row>
    <row r="527" spans="17:18">
      <c r="Q527">
        <f>IF(INDEX('Activity Planner'!$O527:$Z527,SelMonthNum)=1,'Activity Planner'!$F527+ROW()/100000,"")</f>
        <v>0</v>
      </c>
      <c r="R527">
        <f>IF(AND('Activity Planner'!$N527=1,'Activity Planner'!$C527=SelPractice,'Activity Planner'!$AA527&gt;0),'Activity Planner'!$F527+ROW()/100000,"")</f>
        <v>0</v>
      </c>
    </row>
    <row r="528" spans="17:18">
      <c r="Q528">
        <f>IF(INDEX('Activity Planner'!$O528:$Z528,SelMonthNum)=1,'Activity Planner'!$F528+ROW()/100000,"")</f>
        <v>0</v>
      </c>
      <c r="R528">
        <f>IF(AND('Activity Planner'!$N528=1,'Activity Planner'!$C528=SelPractice,'Activity Planner'!$AA528&gt;0),'Activity Planner'!$F528+ROW()/100000,"")</f>
        <v>0</v>
      </c>
    </row>
    <row r="529" spans="17:18">
      <c r="Q529">
        <f>IF(INDEX('Activity Planner'!$O529:$Z529,SelMonthNum)=1,'Activity Planner'!$F529+ROW()/100000,"")</f>
        <v>0</v>
      </c>
      <c r="R529">
        <f>IF(AND('Activity Planner'!$N529=1,'Activity Planner'!$C529=SelPractice,'Activity Planner'!$AA529&gt;0),'Activity Planner'!$F529+ROW()/100000,"")</f>
        <v>0</v>
      </c>
    </row>
    <row r="530" spans="17:18">
      <c r="Q530">
        <f>IF(INDEX('Activity Planner'!$O530:$Z530,SelMonthNum)=1,'Activity Planner'!$F530+ROW()/100000,"")</f>
        <v>0</v>
      </c>
      <c r="R530">
        <f>IF(AND('Activity Planner'!$N530=1,'Activity Planner'!$C530=SelPractice,'Activity Planner'!$AA530&gt;0),'Activity Planner'!$F530+ROW()/100000,"")</f>
        <v>0</v>
      </c>
    </row>
    <row r="531" spans="17:18">
      <c r="Q531">
        <f>IF(INDEX('Activity Planner'!$O531:$Z531,SelMonthNum)=1,'Activity Planner'!$F531+ROW()/100000,"")</f>
        <v>0</v>
      </c>
      <c r="R531">
        <f>IF(AND('Activity Planner'!$N531=1,'Activity Planner'!$C531=SelPractice,'Activity Planner'!$AA531&gt;0),'Activity Planner'!$F531+ROW()/100000,"")</f>
        <v>0</v>
      </c>
    </row>
    <row r="532" spans="17:18">
      <c r="Q532">
        <f>IF(INDEX('Activity Planner'!$O532:$Z532,SelMonthNum)=1,'Activity Planner'!$F532+ROW()/100000,"")</f>
        <v>0</v>
      </c>
      <c r="R532">
        <f>IF(AND('Activity Planner'!$N532=1,'Activity Planner'!$C532=SelPractice,'Activity Planner'!$AA532&gt;0),'Activity Planner'!$F532+ROW()/100000,"")</f>
        <v>0</v>
      </c>
    </row>
    <row r="533" spans="17:18">
      <c r="Q533">
        <f>IF(INDEX('Activity Planner'!$O533:$Z533,SelMonthNum)=1,'Activity Planner'!$F533+ROW()/100000,"")</f>
        <v>0</v>
      </c>
      <c r="R533">
        <f>IF(AND('Activity Planner'!$N533=1,'Activity Planner'!$C533=SelPractice,'Activity Planner'!$AA533&gt;0),'Activity Planner'!$F533+ROW()/100000,"")</f>
        <v>0</v>
      </c>
    </row>
    <row r="534" spans="17:18">
      <c r="Q534">
        <f>IF(INDEX('Activity Planner'!$O534:$Z534,SelMonthNum)=1,'Activity Planner'!$F534+ROW()/100000,"")</f>
        <v>0</v>
      </c>
      <c r="R534">
        <f>IF(AND('Activity Planner'!$N534=1,'Activity Planner'!$C534=SelPractice,'Activity Planner'!$AA534&gt;0),'Activity Planner'!$F534+ROW()/100000,"")</f>
        <v>0</v>
      </c>
    </row>
    <row r="535" spans="17:18">
      <c r="Q535">
        <f>IF(INDEX('Activity Planner'!$O535:$Z535,SelMonthNum)=1,'Activity Planner'!$F535+ROW()/100000,"")</f>
        <v>0</v>
      </c>
      <c r="R535">
        <f>IF(AND('Activity Planner'!$N535=1,'Activity Planner'!$C535=SelPractice,'Activity Planner'!$AA535&gt;0),'Activity Planner'!$F535+ROW()/100000,"")</f>
        <v>0</v>
      </c>
    </row>
    <row r="536" spans="17:18">
      <c r="Q536">
        <f>IF(INDEX('Activity Planner'!$O536:$Z536,SelMonthNum)=1,'Activity Planner'!$F536+ROW()/100000,"")</f>
        <v>0</v>
      </c>
      <c r="R536">
        <f>IF(AND('Activity Planner'!$N536=1,'Activity Planner'!$C536=SelPractice,'Activity Planner'!$AA536&gt;0),'Activity Planner'!$F536+ROW()/100000,"")</f>
        <v>0</v>
      </c>
    </row>
    <row r="537" spans="17:18">
      <c r="Q537">
        <f>IF(INDEX('Activity Planner'!$O537:$Z537,SelMonthNum)=1,'Activity Planner'!$F537+ROW()/100000,"")</f>
        <v>0</v>
      </c>
      <c r="R537">
        <f>IF(AND('Activity Planner'!$N537=1,'Activity Planner'!$C537=SelPractice,'Activity Planner'!$AA537&gt;0),'Activity Planner'!$F537+ROW()/100000,"")</f>
        <v>0</v>
      </c>
    </row>
    <row r="538" spans="17:18">
      <c r="Q538">
        <f>IF(INDEX('Activity Planner'!$O538:$Z538,SelMonthNum)=1,'Activity Planner'!$F538+ROW()/100000,"")</f>
        <v>0</v>
      </c>
      <c r="R538">
        <f>IF(AND('Activity Planner'!$N538=1,'Activity Planner'!$C538=SelPractice,'Activity Planner'!$AA538&gt;0),'Activity Planner'!$F538+ROW()/100000,"")</f>
        <v>0</v>
      </c>
    </row>
    <row r="539" spans="17:18">
      <c r="Q539">
        <f>IF(INDEX('Activity Planner'!$O539:$Z539,SelMonthNum)=1,'Activity Planner'!$F539+ROW()/100000,"")</f>
        <v>0</v>
      </c>
      <c r="R539">
        <f>IF(AND('Activity Planner'!$N539=1,'Activity Planner'!$C539=SelPractice,'Activity Planner'!$AA539&gt;0),'Activity Planner'!$F539+ROW()/100000,"")</f>
        <v>0</v>
      </c>
    </row>
    <row r="540" spans="17:18">
      <c r="Q540">
        <f>IF(INDEX('Activity Planner'!$O540:$Z540,SelMonthNum)=1,'Activity Planner'!$F540+ROW()/100000,"")</f>
        <v>0</v>
      </c>
      <c r="R540">
        <f>IF(AND('Activity Planner'!$N540=1,'Activity Planner'!$C540=SelPractice,'Activity Planner'!$AA540&gt;0),'Activity Planner'!$F540+ROW()/100000,"")</f>
        <v>0</v>
      </c>
    </row>
    <row r="541" spans="17:18">
      <c r="Q541">
        <f>IF(INDEX('Activity Planner'!$O541:$Z541,SelMonthNum)=1,'Activity Planner'!$F541+ROW()/100000,"")</f>
        <v>0</v>
      </c>
      <c r="R541">
        <f>IF(AND('Activity Planner'!$N541=1,'Activity Planner'!$C541=SelPractice,'Activity Planner'!$AA541&gt;0),'Activity Planner'!$F541+ROW()/100000,"")</f>
        <v>0</v>
      </c>
    </row>
    <row r="542" spans="17:18">
      <c r="Q542">
        <f>IF(INDEX('Activity Planner'!$O542:$Z542,SelMonthNum)=1,'Activity Planner'!$F542+ROW()/100000,"")</f>
        <v>0</v>
      </c>
      <c r="R542">
        <f>IF(AND('Activity Planner'!$N542=1,'Activity Planner'!$C542=SelPractice,'Activity Planner'!$AA542&gt;0),'Activity Planner'!$F542+ROW()/100000,"")</f>
        <v>0</v>
      </c>
    </row>
    <row r="543" spans="17:18">
      <c r="Q543">
        <f>IF(INDEX('Activity Planner'!$O543:$Z543,SelMonthNum)=1,'Activity Planner'!$F543+ROW()/100000,"")</f>
        <v>0</v>
      </c>
      <c r="R543">
        <f>IF(AND('Activity Planner'!$N543=1,'Activity Planner'!$C543=SelPractice,'Activity Planner'!$AA543&gt;0),'Activity Planner'!$F543+ROW()/100000,"")</f>
        <v>0</v>
      </c>
    </row>
    <row r="544" spans="17:18">
      <c r="Q544">
        <f>IF(INDEX('Activity Planner'!$O544:$Z544,SelMonthNum)=1,'Activity Planner'!$F544+ROW()/100000,"")</f>
        <v>0</v>
      </c>
      <c r="R544">
        <f>IF(AND('Activity Planner'!$N544=1,'Activity Planner'!$C544=SelPractice,'Activity Planner'!$AA544&gt;0),'Activity Planner'!$F544+ROW()/100000,"")</f>
        <v>0</v>
      </c>
    </row>
    <row r="545" spans="17:18">
      <c r="Q545">
        <f>IF(INDEX('Activity Planner'!$O545:$Z545,SelMonthNum)=1,'Activity Planner'!$F545+ROW()/100000,"")</f>
        <v>0</v>
      </c>
      <c r="R545">
        <f>IF(AND('Activity Planner'!$N545=1,'Activity Planner'!$C545=SelPractice,'Activity Planner'!$AA545&gt;0),'Activity Planner'!$F545+ROW()/100000,"")</f>
        <v>0</v>
      </c>
    </row>
    <row r="546" spans="17:18">
      <c r="Q546">
        <f>IF(INDEX('Activity Planner'!$O546:$Z546,SelMonthNum)=1,'Activity Planner'!$F546+ROW()/100000,"")</f>
        <v>0</v>
      </c>
      <c r="R546">
        <f>IF(AND('Activity Planner'!$N546=1,'Activity Planner'!$C546=SelPractice,'Activity Planner'!$AA546&gt;0),'Activity Planner'!$F546+ROW()/100000,"")</f>
        <v>0</v>
      </c>
    </row>
    <row r="547" spans="17:18">
      <c r="Q547">
        <f>IF(INDEX('Activity Planner'!$O547:$Z547,SelMonthNum)=1,'Activity Planner'!$F547+ROW()/100000,"")</f>
        <v>0</v>
      </c>
      <c r="R547">
        <f>IF(AND('Activity Planner'!$N547=1,'Activity Planner'!$C547=SelPractice,'Activity Planner'!$AA547&gt;0),'Activity Planner'!$F547+ROW()/100000,"")</f>
        <v>0</v>
      </c>
    </row>
    <row r="548" spans="17:18">
      <c r="Q548">
        <f>IF(INDEX('Activity Planner'!$O548:$Z548,SelMonthNum)=1,'Activity Planner'!$F548+ROW()/100000,"")</f>
        <v>0</v>
      </c>
      <c r="R548">
        <f>IF(AND('Activity Planner'!$N548=1,'Activity Planner'!$C548=SelPractice,'Activity Planner'!$AA548&gt;0),'Activity Planner'!$F548+ROW()/100000,"")</f>
        <v>0</v>
      </c>
    </row>
    <row r="549" spans="17:18">
      <c r="Q549">
        <f>IF(INDEX('Activity Planner'!$O549:$Z549,SelMonthNum)=1,'Activity Planner'!$F549+ROW()/100000,"")</f>
        <v>0</v>
      </c>
      <c r="R549">
        <f>IF(AND('Activity Planner'!$N549=1,'Activity Planner'!$C549=SelPractice,'Activity Planner'!$AA549&gt;0),'Activity Planner'!$F549+ROW()/100000,"")</f>
        <v>0</v>
      </c>
    </row>
    <row r="550" spans="17:18">
      <c r="Q550">
        <f>IF(INDEX('Activity Planner'!$O550:$Z550,SelMonthNum)=1,'Activity Planner'!$F550+ROW()/100000,"")</f>
        <v>0</v>
      </c>
      <c r="R550">
        <f>IF(AND('Activity Planner'!$N550=1,'Activity Planner'!$C550=SelPractice,'Activity Planner'!$AA550&gt;0),'Activity Planner'!$F550+ROW()/100000,"")</f>
        <v>0</v>
      </c>
    </row>
    <row r="551" spans="17:18">
      <c r="Q551">
        <f>IF(INDEX('Activity Planner'!$O551:$Z551,SelMonthNum)=1,'Activity Planner'!$F551+ROW()/100000,"")</f>
        <v>0</v>
      </c>
      <c r="R551">
        <f>IF(AND('Activity Planner'!$N551=1,'Activity Planner'!$C551=SelPractice,'Activity Planner'!$AA551&gt;0),'Activity Planner'!$F551+ROW()/100000,"")</f>
        <v>0</v>
      </c>
    </row>
    <row r="552" spans="17:18">
      <c r="Q552">
        <f>IF(INDEX('Activity Planner'!$O552:$Z552,SelMonthNum)=1,'Activity Planner'!$F552+ROW()/100000,"")</f>
        <v>0</v>
      </c>
      <c r="R552">
        <f>IF(AND('Activity Planner'!$N552=1,'Activity Planner'!$C552=SelPractice,'Activity Planner'!$AA552&gt;0),'Activity Planner'!$F552+ROW()/100000,"")</f>
        <v>0</v>
      </c>
    </row>
    <row r="553" spans="17:18">
      <c r="Q553">
        <f>IF(INDEX('Activity Planner'!$O553:$Z553,SelMonthNum)=1,'Activity Planner'!$F553+ROW()/100000,"")</f>
        <v>0</v>
      </c>
      <c r="R553">
        <f>IF(AND('Activity Planner'!$N553=1,'Activity Planner'!$C553=SelPractice,'Activity Planner'!$AA553&gt;0),'Activity Planner'!$F553+ROW()/100000,"")</f>
        <v>0</v>
      </c>
    </row>
    <row r="554" spans="17:18">
      <c r="Q554">
        <f>IF(INDEX('Activity Planner'!$O554:$Z554,SelMonthNum)=1,'Activity Planner'!$F554+ROW()/100000,"")</f>
        <v>0</v>
      </c>
      <c r="R554">
        <f>IF(AND('Activity Planner'!$N554=1,'Activity Planner'!$C554=SelPractice,'Activity Planner'!$AA554&gt;0),'Activity Planner'!$F554+ROW()/100000,"")</f>
        <v>0</v>
      </c>
    </row>
    <row r="555" spans="17:18">
      <c r="Q555">
        <f>IF(INDEX('Activity Planner'!$O555:$Z555,SelMonthNum)=1,'Activity Planner'!$F555+ROW()/100000,"")</f>
        <v>0</v>
      </c>
      <c r="R555">
        <f>IF(AND('Activity Planner'!$N555=1,'Activity Planner'!$C555=SelPractice,'Activity Planner'!$AA555&gt;0),'Activity Planner'!$F555+ROW()/100000,"")</f>
        <v>0</v>
      </c>
    </row>
    <row r="556" spans="17:18">
      <c r="Q556">
        <f>IF(INDEX('Activity Planner'!$O556:$Z556,SelMonthNum)=1,'Activity Planner'!$F556+ROW()/100000,"")</f>
        <v>0</v>
      </c>
      <c r="R556">
        <f>IF(AND('Activity Planner'!$N556=1,'Activity Planner'!$C556=SelPractice,'Activity Planner'!$AA556&gt;0),'Activity Planner'!$F556+ROW()/100000,"")</f>
        <v>0</v>
      </c>
    </row>
    <row r="557" spans="17:18">
      <c r="Q557">
        <f>IF(INDEX('Activity Planner'!$O557:$Z557,SelMonthNum)=1,'Activity Planner'!$F557+ROW()/100000,"")</f>
        <v>0</v>
      </c>
      <c r="R557">
        <f>IF(AND('Activity Planner'!$N557=1,'Activity Planner'!$C557=SelPractice,'Activity Planner'!$AA557&gt;0),'Activity Planner'!$F557+ROW()/100000,"")</f>
        <v>0</v>
      </c>
    </row>
    <row r="558" spans="17:18">
      <c r="Q558">
        <f>IF(INDEX('Activity Planner'!$O558:$Z558,SelMonthNum)=1,'Activity Planner'!$F558+ROW()/100000,"")</f>
        <v>0</v>
      </c>
      <c r="R558">
        <f>IF(AND('Activity Planner'!$N558=1,'Activity Planner'!$C558=SelPractice,'Activity Planner'!$AA558&gt;0),'Activity Planner'!$F558+ROW()/100000,"")</f>
        <v>0</v>
      </c>
    </row>
    <row r="559" spans="17:18">
      <c r="Q559">
        <f>IF(INDEX('Activity Planner'!$O559:$Z559,SelMonthNum)=1,'Activity Planner'!$F559+ROW()/100000,"")</f>
        <v>0</v>
      </c>
      <c r="R559">
        <f>IF(AND('Activity Planner'!$N559=1,'Activity Planner'!$C559=SelPractice,'Activity Planner'!$AA559&gt;0),'Activity Planner'!$F559+ROW()/100000,"")</f>
        <v>0</v>
      </c>
    </row>
    <row r="560" spans="17:18">
      <c r="Q560">
        <f>IF(INDEX('Activity Planner'!$O560:$Z560,SelMonthNum)=1,'Activity Planner'!$F560+ROW()/100000,"")</f>
        <v>0</v>
      </c>
      <c r="R560">
        <f>IF(AND('Activity Planner'!$N560=1,'Activity Planner'!$C560=SelPractice,'Activity Planner'!$AA560&gt;0),'Activity Planner'!$F560+ROW()/100000,"")</f>
        <v>0</v>
      </c>
    </row>
    <row r="561" spans="17:18">
      <c r="Q561">
        <f>IF(INDEX('Activity Planner'!$O561:$Z561,SelMonthNum)=1,'Activity Planner'!$F561+ROW()/100000,"")</f>
        <v>0</v>
      </c>
      <c r="R561">
        <f>IF(AND('Activity Planner'!$N561=1,'Activity Planner'!$C561=SelPractice,'Activity Planner'!$AA561&gt;0),'Activity Planner'!$F561+ROW()/100000,"")</f>
        <v>0</v>
      </c>
    </row>
    <row r="562" spans="17:18">
      <c r="Q562">
        <f>IF(INDEX('Activity Planner'!$O562:$Z562,SelMonthNum)=1,'Activity Planner'!$F562+ROW()/100000,"")</f>
        <v>0</v>
      </c>
      <c r="R562">
        <f>IF(AND('Activity Planner'!$N562=1,'Activity Planner'!$C562=SelPractice,'Activity Planner'!$AA562&gt;0),'Activity Planner'!$F562+ROW()/100000,"")</f>
        <v>0</v>
      </c>
    </row>
    <row r="563" spans="17:18">
      <c r="Q563">
        <f>IF(INDEX('Activity Planner'!$O563:$Z563,SelMonthNum)=1,'Activity Planner'!$F563+ROW()/100000,"")</f>
        <v>0</v>
      </c>
      <c r="R563">
        <f>IF(AND('Activity Planner'!$N563=1,'Activity Planner'!$C563=SelPractice,'Activity Planner'!$AA563&gt;0),'Activity Planner'!$F563+ROW()/100000,"")</f>
        <v>0</v>
      </c>
    </row>
    <row r="564" spans="17:18">
      <c r="Q564">
        <f>IF(INDEX('Activity Planner'!$O564:$Z564,SelMonthNum)=1,'Activity Planner'!$F564+ROW()/100000,"")</f>
        <v>0</v>
      </c>
      <c r="R564">
        <f>IF(AND('Activity Planner'!$N564=1,'Activity Planner'!$C564=SelPractice,'Activity Planner'!$AA564&gt;0),'Activity Planner'!$F564+ROW()/100000,"")</f>
        <v>0</v>
      </c>
    </row>
    <row r="565" spans="17:18">
      <c r="Q565">
        <f>IF(INDEX('Activity Planner'!$O565:$Z565,SelMonthNum)=1,'Activity Planner'!$F565+ROW()/100000,"")</f>
        <v>0</v>
      </c>
      <c r="R565">
        <f>IF(AND('Activity Planner'!$N565=1,'Activity Planner'!$C565=SelPractice,'Activity Planner'!$AA565&gt;0),'Activity Planner'!$F565+ROW()/100000,"")</f>
        <v>0</v>
      </c>
    </row>
    <row r="566" spans="17:18">
      <c r="Q566">
        <f>IF(INDEX('Activity Planner'!$O566:$Z566,SelMonthNum)=1,'Activity Planner'!$F566+ROW()/100000,"")</f>
        <v>0</v>
      </c>
      <c r="R566">
        <f>IF(AND('Activity Planner'!$N566=1,'Activity Planner'!$C566=SelPractice,'Activity Planner'!$AA566&gt;0),'Activity Planner'!$F566+ROW()/100000,"")</f>
        <v>0</v>
      </c>
    </row>
    <row r="567" spans="17:18">
      <c r="Q567">
        <f>IF(INDEX('Activity Planner'!$O567:$Z567,SelMonthNum)=1,'Activity Planner'!$F567+ROW()/100000,"")</f>
        <v>0</v>
      </c>
      <c r="R567">
        <f>IF(AND('Activity Planner'!$N567=1,'Activity Planner'!$C567=SelPractice,'Activity Planner'!$AA567&gt;0),'Activity Planner'!$F567+ROW()/100000,"")</f>
        <v>0</v>
      </c>
    </row>
    <row r="568" spans="17:18">
      <c r="Q568">
        <f>IF(INDEX('Activity Planner'!$O568:$Z568,SelMonthNum)=1,'Activity Planner'!$F568+ROW()/100000,"")</f>
        <v>0</v>
      </c>
      <c r="R568">
        <f>IF(AND('Activity Planner'!$N568=1,'Activity Planner'!$C568=SelPractice,'Activity Planner'!$AA568&gt;0),'Activity Planner'!$F568+ROW()/100000,"")</f>
        <v>0</v>
      </c>
    </row>
    <row r="569" spans="17:18">
      <c r="Q569">
        <f>IF(INDEX('Activity Planner'!$O569:$Z569,SelMonthNum)=1,'Activity Planner'!$F569+ROW()/100000,"")</f>
        <v>0</v>
      </c>
      <c r="R569">
        <f>IF(AND('Activity Planner'!$N569=1,'Activity Planner'!$C569=SelPractice,'Activity Planner'!$AA569&gt;0),'Activity Planner'!$F569+ROW()/100000,"")</f>
        <v>0</v>
      </c>
    </row>
    <row r="570" spans="17:18">
      <c r="Q570">
        <f>IF(INDEX('Activity Planner'!$O570:$Z570,SelMonthNum)=1,'Activity Planner'!$F570+ROW()/100000,"")</f>
        <v>0</v>
      </c>
      <c r="R570">
        <f>IF(AND('Activity Planner'!$N570=1,'Activity Planner'!$C570=SelPractice,'Activity Planner'!$AA570&gt;0),'Activity Planner'!$F570+ROW()/100000,"")</f>
        <v>0</v>
      </c>
    </row>
    <row r="571" spans="17:18">
      <c r="Q571">
        <f>IF(INDEX('Activity Planner'!$O571:$Z571,SelMonthNum)=1,'Activity Planner'!$F571+ROW()/100000,"")</f>
        <v>0</v>
      </c>
      <c r="R571">
        <f>IF(AND('Activity Planner'!$N571=1,'Activity Planner'!$C571=SelPractice,'Activity Planner'!$AA571&gt;0),'Activity Planner'!$F571+ROW()/100000,"")</f>
        <v>0</v>
      </c>
    </row>
    <row r="572" spans="17:18">
      <c r="Q572">
        <f>IF(INDEX('Activity Planner'!$O572:$Z572,SelMonthNum)=1,'Activity Planner'!$F572+ROW()/100000,"")</f>
        <v>0</v>
      </c>
      <c r="R572">
        <f>IF(AND('Activity Planner'!$N572=1,'Activity Planner'!$C572=SelPractice,'Activity Planner'!$AA572&gt;0),'Activity Planner'!$F572+ROW()/100000,"")</f>
        <v>0</v>
      </c>
    </row>
    <row r="573" spans="17:18">
      <c r="Q573">
        <f>IF(INDEX('Activity Planner'!$O573:$Z573,SelMonthNum)=1,'Activity Planner'!$F573+ROW()/100000,"")</f>
        <v>0</v>
      </c>
      <c r="R573">
        <f>IF(AND('Activity Planner'!$N573=1,'Activity Planner'!$C573=SelPractice,'Activity Planner'!$AA573&gt;0),'Activity Planner'!$F573+ROW()/100000,"")</f>
        <v>0</v>
      </c>
    </row>
    <row r="574" spans="17:18">
      <c r="Q574">
        <f>IF(INDEX('Activity Planner'!$O574:$Z574,SelMonthNum)=1,'Activity Planner'!$F574+ROW()/100000,"")</f>
        <v>0</v>
      </c>
      <c r="R574">
        <f>IF(AND('Activity Planner'!$N574=1,'Activity Planner'!$C574=SelPractice,'Activity Planner'!$AA574&gt;0),'Activity Planner'!$F574+ROW()/100000,"")</f>
        <v>0</v>
      </c>
    </row>
    <row r="575" spans="17:18">
      <c r="Q575">
        <f>IF(INDEX('Activity Planner'!$O575:$Z575,SelMonthNum)=1,'Activity Planner'!$F575+ROW()/100000,"")</f>
        <v>0</v>
      </c>
      <c r="R575">
        <f>IF(AND('Activity Planner'!$N575=1,'Activity Planner'!$C575=SelPractice,'Activity Planner'!$AA575&gt;0),'Activity Planner'!$F575+ROW()/100000,"")</f>
        <v>0</v>
      </c>
    </row>
    <row r="576" spans="17:18">
      <c r="Q576">
        <f>IF(INDEX('Activity Planner'!$O576:$Z576,SelMonthNum)=1,'Activity Planner'!$F576+ROW()/100000,"")</f>
        <v>0</v>
      </c>
      <c r="R576">
        <f>IF(AND('Activity Planner'!$N576=1,'Activity Planner'!$C576=SelPractice,'Activity Planner'!$AA576&gt;0),'Activity Planner'!$F576+ROW()/100000,"")</f>
        <v>0</v>
      </c>
    </row>
    <row r="577" spans="17:18">
      <c r="Q577">
        <f>IF(INDEX('Activity Planner'!$O577:$Z577,SelMonthNum)=1,'Activity Planner'!$F577+ROW()/100000,"")</f>
        <v>0</v>
      </c>
      <c r="R577">
        <f>IF(AND('Activity Planner'!$N577=1,'Activity Planner'!$C577=SelPractice,'Activity Planner'!$AA577&gt;0),'Activity Planner'!$F577+ROW()/100000,"")</f>
        <v>0</v>
      </c>
    </row>
    <row r="578" spans="17:18">
      <c r="Q578">
        <f>IF(INDEX('Activity Planner'!$O578:$Z578,SelMonthNum)=1,'Activity Planner'!$F578+ROW()/100000,"")</f>
        <v>0</v>
      </c>
      <c r="R578">
        <f>IF(AND('Activity Planner'!$N578=1,'Activity Planner'!$C578=SelPractice,'Activity Planner'!$AA578&gt;0),'Activity Planner'!$F578+ROW()/100000,"")</f>
        <v>0</v>
      </c>
    </row>
    <row r="579" spans="17:18">
      <c r="Q579">
        <f>IF(INDEX('Activity Planner'!$O579:$Z579,SelMonthNum)=1,'Activity Planner'!$F579+ROW()/100000,"")</f>
        <v>0</v>
      </c>
      <c r="R579">
        <f>IF(AND('Activity Planner'!$N579=1,'Activity Planner'!$C579=SelPractice,'Activity Planner'!$AA579&gt;0),'Activity Planner'!$F579+ROW()/100000,"")</f>
        <v>0</v>
      </c>
    </row>
    <row r="580" spans="17:18">
      <c r="Q580">
        <f>IF(INDEX('Activity Planner'!$O580:$Z580,SelMonthNum)=1,'Activity Planner'!$F580+ROW()/100000,"")</f>
        <v>0</v>
      </c>
      <c r="R580">
        <f>IF(AND('Activity Planner'!$N580=1,'Activity Planner'!$C580=SelPractice,'Activity Planner'!$AA580&gt;0),'Activity Planner'!$F580+ROW()/100000,"")</f>
        <v>0</v>
      </c>
    </row>
    <row r="581" spans="17:18">
      <c r="Q581">
        <f>IF(INDEX('Activity Planner'!$O581:$Z581,SelMonthNum)=1,'Activity Planner'!$F581+ROW()/100000,"")</f>
        <v>0</v>
      </c>
      <c r="R581">
        <f>IF(AND('Activity Planner'!$N581=1,'Activity Planner'!$C581=SelPractice,'Activity Planner'!$AA581&gt;0),'Activity Planner'!$F581+ROW()/100000,"")</f>
        <v>0</v>
      </c>
    </row>
    <row r="582" spans="17:18">
      <c r="Q582">
        <f>IF(INDEX('Activity Planner'!$O582:$Z582,SelMonthNum)=1,'Activity Planner'!$F582+ROW()/100000,"")</f>
        <v>0</v>
      </c>
      <c r="R582">
        <f>IF(AND('Activity Planner'!$N582=1,'Activity Planner'!$C582=SelPractice,'Activity Planner'!$AA582&gt;0),'Activity Planner'!$F582+ROW()/100000,"")</f>
        <v>0</v>
      </c>
    </row>
    <row r="583" spans="17:18">
      <c r="Q583">
        <f>IF(INDEX('Activity Planner'!$O583:$Z583,SelMonthNum)=1,'Activity Planner'!$F583+ROW()/100000,"")</f>
        <v>0</v>
      </c>
      <c r="R583">
        <f>IF(AND('Activity Planner'!$N583=1,'Activity Planner'!$C583=SelPractice,'Activity Planner'!$AA583&gt;0),'Activity Planner'!$F583+ROW()/100000,"")</f>
        <v>0</v>
      </c>
    </row>
    <row r="584" spans="17:18">
      <c r="Q584">
        <f>IF(INDEX('Activity Planner'!$O584:$Z584,SelMonthNum)=1,'Activity Planner'!$F584+ROW()/100000,"")</f>
        <v>0</v>
      </c>
      <c r="R584">
        <f>IF(AND('Activity Planner'!$N584=1,'Activity Planner'!$C584=SelPractice,'Activity Planner'!$AA584&gt;0),'Activity Planner'!$F584+ROW()/100000,"")</f>
        <v>0</v>
      </c>
    </row>
    <row r="585" spans="17:18">
      <c r="Q585">
        <f>IF(INDEX('Activity Planner'!$O585:$Z585,SelMonthNum)=1,'Activity Planner'!$F585+ROW()/100000,"")</f>
        <v>0</v>
      </c>
      <c r="R585">
        <f>IF(AND('Activity Planner'!$N585=1,'Activity Planner'!$C585=SelPractice,'Activity Planner'!$AA585&gt;0),'Activity Planner'!$F585+ROW()/100000,"")</f>
        <v>0</v>
      </c>
    </row>
    <row r="586" spans="17:18">
      <c r="Q586">
        <f>IF(INDEX('Activity Planner'!$O586:$Z586,SelMonthNum)=1,'Activity Planner'!$F586+ROW()/100000,"")</f>
        <v>0</v>
      </c>
      <c r="R586">
        <f>IF(AND('Activity Planner'!$N586=1,'Activity Planner'!$C586=SelPractice,'Activity Planner'!$AA586&gt;0),'Activity Planner'!$F586+ROW()/100000,"")</f>
        <v>0</v>
      </c>
    </row>
    <row r="587" spans="17:18">
      <c r="Q587">
        <f>IF(INDEX('Activity Planner'!$O587:$Z587,SelMonthNum)=1,'Activity Planner'!$F587+ROW()/100000,"")</f>
        <v>0</v>
      </c>
      <c r="R587">
        <f>IF(AND('Activity Planner'!$N587=1,'Activity Planner'!$C587=SelPractice,'Activity Planner'!$AA587&gt;0),'Activity Planner'!$F587+ROW()/100000,"")</f>
        <v>0</v>
      </c>
    </row>
    <row r="588" spans="17:18">
      <c r="Q588">
        <f>IF(INDEX('Activity Planner'!$O588:$Z588,SelMonthNum)=1,'Activity Planner'!$F588+ROW()/100000,"")</f>
        <v>0</v>
      </c>
      <c r="R588">
        <f>IF(AND('Activity Planner'!$N588=1,'Activity Planner'!$C588=SelPractice,'Activity Planner'!$AA588&gt;0),'Activity Planner'!$F588+ROW()/100000,"")</f>
        <v>0</v>
      </c>
    </row>
    <row r="589" spans="17:18">
      <c r="Q589">
        <f>IF(INDEX('Activity Planner'!$O589:$Z589,SelMonthNum)=1,'Activity Planner'!$F589+ROW()/100000,"")</f>
        <v>0</v>
      </c>
      <c r="R589">
        <f>IF(AND('Activity Planner'!$N589=1,'Activity Planner'!$C589=SelPractice,'Activity Planner'!$AA589&gt;0),'Activity Planner'!$F589+ROW()/100000,"")</f>
        <v>0</v>
      </c>
    </row>
    <row r="590" spans="17:18">
      <c r="Q590">
        <f>IF(INDEX('Activity Planner'!$O590:$Z590,SelMonthNum)=1,'Activity Planner'!$F590+ROW()/100000,"")</f>
        <v>0</v>
      </c>
      <c r="R590">
        <f>IF(AND('Activity Planner'!$N590=1,'Activity Planner'!$C590=SelPractice,'Activity Planner'!$AA590&gt;0),'Activity Planner'!$F590+ROW()/100000,"")</f>
        <v>0</v>
      </c>
    </row>
    <row r="591" spans="17:18">
      <c r="Q591">
        <f>IF(INDEX('Activity Planner'!$O591:$Z591,SelMonthNum)=1,'Activity Planner'!$F591+ROW()/100000,"")</f>
        <v>0</v>
      </c>
      <c r="R591">
        <f>IF(AND('Activity Planner'!$N591=1,'Activity Planner'!$C591=SelPractice,'Activity Planner'!$AA591&gt;0),'Activity Planner'!$F591+ROW()/100000,"")</f>
        <v>0</v>
      </c>
    </row>
    <row r="592" spans="17:18">
      <c r="Q592">
        <f>IF(INDEX('Activity Planner'!$O592:$Z592,SelMonthNum)=1,'Activity Planner'!$F592+ROW()/100000,"")</f>
        <v>0</v>
      </c>
      <c r="R592">
        <f>IF(AND('Activity Planner'!$N592=1,'Activity Planner'!$C592=SelPractice,'Activity Planner'!$AA592&gt;0),'Activity Planner'!$F592+ROW()/100000,"")</f>
        <v>0</v>
      </c>
    </row>
    <row r="593" spans="17:18">
      <c r="Q593">
        <f>IF(INDEX('Activity Planner'!$O593:$Z593,SelMonthNum)=1,'Activity Planner'!$F593+ROW()/100000,"")</f>
        <v>0</v>
      </c>
      <c r="R593">
        <f>IF(AND('Activity Planner'!$N593=1,'Activity Planner'!$C593=SelPractice,'Activity Planner'!$AA593&gt;0),'Activity Planner'!$F593+ROW()/100000,"")</f>
        <v>0</v>
      </c>
    </row>
    <row r="594" spans="17:18">
      <c r="Q594">
        <f>IF(INDEX('Activity Planner'!$O594:$Z594,SelMonthNum)=1,'Activity Planner'!$F594+ROW()/100000,"")</f>
        <v>0</v>
      </c>
      <c r="R594">
        <f>IF(AND('Activity Planner'!$N594=1,'Activity Planner'!$C594=SelPractice,'Activity Planner'!$AA594&gt;0),'Activity Planner'!$F594+ROW()/100000,"")</f>
        <v>0</v>
      </c>
    </row>
    <row r="595" spans="17:18">
      <c r="Q595">
        <f>IF(INDEX('Activity Planner'!$O595:$Z595,SelMonthNum)=1,'Activity Planner'!$F595+ROW()/100000,"")</f>
        <v>0</v>
      </c>
      <c r="R595">
        <f>IF(AND('Activity Planner'!$N595=1,'Activity Planner'!$C595=SelPractice,'Activity Planner'!$AA595&gt;0),'Activity Planner'!$F595+ROW()/100000,"")</f>
        <v>0</v>
      </c>
    </row>
    <row r="596" spans="17:18">
      <c r="Q596">
        <f>IF(INDEX('Activity Planner'!$O596:$Z596,SelMonthNum)=1,'Activity Planner'!$F596+ROW()/100000,"")</f>
        <v>0</v>
      </c>
      <c r="R596">
        <f>IF(AND('Activity Planner'!$N596=1,'Activity Planner'!$C596=SelPractice,'Activity Planner'!$AA596&gt;0),'Activity Planner'!$F596+ROW()/100000,"")</f>
        <v>0</v>
      </c>
    </row>
    <row r="597" spans="17:18">
      <c r="Q597">
        <f>IF(INDEX('Activity Planner'!$O597:$Z597,SelMonthNum)=1,'Activity Planner'!$F597+ROW()/100000,"")</f>
        <v>0</v>
      </c>
      <c r="R597">
        <f>IF(AND('Activity Planner'!$N597=1,'Activity Planner'!$C597=SelPractice,'Activity Planner'!$AA597&gt;0),'Activity Planner'!$F597+ROW()/100000,"")</f>
        <v>0</v>
      </c>
    </row>
    <row r="598" spans="17:18">
      <c r="Q598">
        <f>IF(INDEX('Activity Planner'!$O598:$Z598,SelMonthNum)=1,'Activity Planner'!$F598+ROW()/100000,"")</f>
        <v>0</v>
      </c>
      <c r="R598">
        <f>IF(AND('Activity Planner'!$N598=1,'Activity Planner'!$C598=SelPractice,'Activity Planner'!$AA598&gt;0),'Activity Planner'!$F598+ROW()/100000,"")</f>
        <v>0</v>
      </c>
    </row>
    <row r="599" spans="17:18">
      <c r="Q599">
        <f>IF(INDEX('Activity Planner'!$O599:$Z599,SelMonthNum)=1,'Activity Planner'!$F599+ROW()/100000,"")</f>
        <v>0</v>
      </c>
      <c r="R599">
        <f>IF(AND('Activity Planner'!$N599=1,'Activity Planner'!$C599=SelPractice,'Activity Planner'!$AA599&gt;0),'Activity Planner'!$F599+ROW()/100000,"")</f>
        <v>0</v>
      </c>
    </row>
    <row r="600" spans="17:18">
      <c r="Q600">
        <f>IF(INDEX('Activity Planner'!$O600:$Z600,SelMonthNum)=1,'Activity Planner'!$F600+ROW()/100000,"")</f>
        <v>0</v>
      </c>
      <c r="R600">
        <f>IF(AND('Activity Planner'!$N600=1,'Activity Planner'!$C600=SelPractice,'Activity Planner'!$AA600&gt;0),'Activity Planner'!$F600+ROW()/100000,"")</f>
        <v>0</v>
      </c>
    </row>
    <row r="601" spans="17:18">
      <c r="Q601">
        <f>IF(INDEX('Activity Planner'!$O601:$Z601,SelMonthNum)=1,'Activity Planner'!$F601+ROW()/100000,"")</f>
        <v>0</v>
      </c>
      <c r="R601">
        <f>IF(AND('Activity Planner'!$N601=1,'Activity Planner'!$C601=SelPractice,'Activity Planner'!$AA601&gt;0),'Activity Planner'!$F601+ROW()/100000,"")</f>
        <v>0</v>
      </c>
    </row>
    <row r="602" spans="17:18">
      <c r="Q602">
        <f>IF(INDEX('Activity Planner'!$O602:$Z602,SelMonthNum)=1,'Activity Planner'!$F602+ROW()/100000,"")</f>
        <v>0</v>
      </c>
      <c r="R602">
        <f>IF(AND('Activity Planner'!$N602=1,'Activity Planner'!$C602=SelPractice,'Activity Planner'!$AA602&gt;0),'Activity Planner'!$F602+ROW()/100000,"")</f>
        <v>0</v>
      </c>
    </row>
    <row r="603" spans="17:18">
      <c r="Q603">
        <f>IF(INDEX('Activity Planner'!$O603:$Z603,SelMonthNum)=1,'Activity Planner'!$F603+ROW()/100000,"")</f>
        <v>0</v>
      </c>
      <c r="R603">
        <f>IF(AND('Activity Planner'!$N603=1,'Activity Planner'!$C603=SelPractice,'Activity Planner'!$AA603&gt;0),'Activity Planner'!$F603+ROW()/100000,"")</f>
        <v>0</v>
      </c>
    </row>
    <row r="604" spans="17:18">
      <c r="Q604">
        <f>IF(INDEX('Activity Planner'!$O604:$Z604,SelMonthNum)=1,'Activity Planner'!$F604+ROW()/100000,"")</f>
        <v>0</v>
      </c>
      <c r="R604">
        <f>IF(AND('Activity Planner'!$N604=1,'Activity Planner'!$C604=SelPractice,'Activity Planner'!$AA604&gt;0),'Activity Planner'!$F604+ROW()/100000,"")</f>
        <v>0</v>
      </c>
    </row>
    <row r="605" spans="17:18">
      <c r="Q605">
        <f>IF(INDEX('Activity Planner'!$O605:$Z605,SelMonthNum)=1,'Activity Planner'!$F605+ROW()/100000,"")</f>
        <v>0</v>
      </c>
      <c r="R605">
        <f>IF(AND('Activity Planner'!$N605=1,'Activity Planner'!$C605=SelPractice,'Activity Planner'!$AA605&gt;0),'Activity Planner'!$F605+ROW()/100000,"")</f>
        <v>0</v>
      </c>
    </row>
    <row r="606" spans="17:18">
      <c r="Q606">
        <f>IF(INDEX('Activity Planner'!$O606:$Z606,SelMonthNum)=1,'Activity Planner'!$F606+ROW()/100000,"")</f>
        <v>0</v>
      </c>
      <c r="R606">
        <f>IF(AND('Activity Planner'!$N606=1,'Activity Planner'!$C606=SelPractice,'Activity Planner'!$AA606&gt;0),'Activity Planner'!$F606+ROW()/100000,"")</f>
        <v>0</v>
      </c>
    </row>
    <row r="607" spans="17:18">
      <c r="Q607">
        <f>IF(INDEX('Activity Planner'!$O607:$Z607,SelMonthNum)=1,'Activity Planner'!$F607+ROW()/100000,"")</f>
        <v>0</v>
      </c>
      <c r="R607">
        <f>IF(AND('Activity Planner'!$N607=1,'Activity Planner'!$C607=SelPractice,'Activity Planner'!$AA607&gt;0),'Activity Planner'!$F607+ROW()/100000,"")</f>
        <v>0</v>
      </c>
    </row>
    <row r="608" spans="17:18">
      <c r="Q608">
        <f>IF(INDEX('Activity Planner'!$O608:$Z608,SelMonthNum)=1,'Activity Planner'!$F608+ROW()/100000,"")</f>
        <v>0</v>
      </c>
      <c r="R608">
        <f>IF(AND('Activity Planner'!$N608=1,'Activity Planner'!$C608=SelPractice,'Activity Planner'!$AA608&gt;0),'Activity Planner'!$F608+ROW()/100000,"")</f>
        <v>0</v>
      </c>
    </row>
    <row r="609" spans="17:18">
      <c r="Q609">
        <f>IF(INDEX('Activity Planner'!$O609:$Z609,SelMonthNum)=1,'Activity Planner'!$F609+ROW()/100000,"")</f>
        <v>0</v>
      </c>
      <c r="R609">
        <f>IF(AND('Activity Planner'!$N609=1,'Activity Planner'!$C609=SelPractice,'Activity Planner'!$AA609&gt;0),'Activity Planner'!$F609+ROW()/100000,"")</f>
        <v>0</v>
      </c>
    </row>
    <row r="610" spans="17:18">
      <c r="Q610">
        <f>IF(INDEX('Activity Planner'!$O610:$Z610,SelMonthNum)=1,'Activity Planner'!$F610+ROW()/100000,"")</f>
        <v>0</v>
      </c>
      <c r="R610">
        <f>IF(AND('Activity Planner'!$N610=1,'Activity Planner'!$C610=SelPractice,'Activity Planner'!$AA610&gt;0),'Activity Planner'!$F610+ROW()/100000,"")</f>
        <v>0</v>
      </c>
    </row>
    <row r="611" spans="17:18">
      <c r="Q611">
        <f>IF(INDEX('Activity Planner'!$O611:$Z611,SelMonthNum)=1,'Activity Planner'!$F611+ROW()/100000,"")</f>
        <v>0</v>
      </c>
      <c r="R611">
        <f>IF(AND('Activity Planner'!$N611=1,'Activity Planner'!$C611=SelPractice,'Activity Planner'!$AA611&gt;0),'Activity Planner'!$F611+ROW()/100000,"")</f>
        <v>0</v>
      </c>
    </row>
    <row r="612" spans="17:18">
      <c r="Q612">
        <f>IF(INDEX('Activity Planner'!$O612:$Z612,SelMonthNum)=1,'Activity Planner'!$F612+ROW()/100000,"")</f>
        <v>0</v>
      </c>
      <c r="R612">
        <f>IF(AND('Activity Planner'!$N612=1,'Activity Planner'!$C612=SelPractice,'Activity Planner'!$AA612&gt;0),'Activity Planner'!$F612+ROW()/100000,"")</f>
        <v>0</v>
      </c>
    </row>
    <row r="613" spans="17:18">
      <c r="Q613">
        <f>IF(INDEX('Activity Planner'!$O613:$Z613,SelMonthNum)=1,'Activity Planner'!$F613+ROW()/100000,"")</f>
        <v>0</v>
      </c>
      <c r="R613">
        <f>IF(AND('Activity Planner'!$N613=1,'Activity Planner'!$C613=SelPractice,'Activity Planner'!$AA613&gt;0),'Activity Planner'!$F613+ROW()/100000,"")</f>
        <v>0</v>
      </c>
    </row>
    <row r="614" spans="17:18">
      <c r="Q614">
        <f>IF(INDEX('Activity Planner'!$O614:$Z614,SelMonthNum)=1,'Activity Planner'!$F614+ROW()/100000,"")</f>
        <v>0</v>
      </c>
      <c r="R614">
        <f>IF(AND('Activity Planner'!$N614=1,'Activity Planner'!$C614=SelPractice,'Activity Planner'!$AA614&gt;0),'Activity Planner'!$F614+ROW()/100000,"")</f>
        <v>0</v>
      </c>
    </row>
    <row r="615" spans="17:18">
      <c r="Q615">
        <f>IF(INDEX('Activity Planner'!$O615:$Z615,SelMonthNum)=1,'Activity Planner'!$F615+ROW()/100000,"")</f>
        <v>0</v>
      </c>
      <c r="R615">
        <f>IF(AND('Activity Planner'!$N615=1,'Activity Planner'!$C615=SelPractice,'Activity Planner'!$AA615&gt;0),'Activity Planner'!$F615+ROW()/100000,"")</f>
        <v>0</v>
      </c>
    </row>
    <row r="616" spans="17:18">
      <c r="Q616">
        <f>IF(INDEX('Activity Planner'!$O616:$Z616,SelMonthNum)=1,'Activity Planner'!$F616+ROW()/100000,"")</f>
        <v>0</v>
      </c>
      <c r="R616">
        <f>IF(AND('Activity Planner'!$N616=1,'Activity Planner'!$C616=SelPractice,'Activity Planner'!$AA616&gt;0),'Activity Planner'!$F616+ROW()/100000,"")</f>
        <v>0</v>
      </c>
    </row>
    <row r="617" spans="17:18">
      <c r="Q617">
        <f>IF(INDEX('Activity Planner'!$O617:$Z617,SelMonthNum)=1,'Activity Planner'!$F617+ROW()/100000,"")</f>
        <v>0</v>
      </c>
      <c r="R617">
        <f>IF(AND('Activity Planner'!$N617=1,'Activity Planner'!$C617=SelPractice,'Activity Planner'!$AA617&gt;0),'Activity Planner'!$F617+ROW()/100000,"")</f>
        <v>0</v>
      </c>
    </row>
    <row r="618" spans="17:18">
      <c r="Q618">
        <f>IF(INDEX('Activity Planner'!$O618:$Z618,SelMonthNum)=1,'Activity Planner'!$F618+ROW()/100000,"")</f>
        <v>0</v>
      </c>
      <c r="R618">
        <f>IF(AND('Activity Planner'!$N618=1,'Activity Planner'!$C618=SelPractice,'Activity Planner'!$AA618&gt;0),'Activity Planner'!$F618+ROW()/100000,"")</f>
        <v>0</v>
      </c>
    </row>
    <row r="619" spans="17:18">
      <c r="Q619">
        <f>IF(INDEX('Activity Planner'!$O619:$Z619,SelMonthNum)=1,'Activity Planner'!$F619+ROW()/100000,"")</f>
        <v>0</v>
      </c>
      <c r="R619">
        <f>IF(AND('Activity Planner'!$N619=1,'Activity Planner'!$C619=SelPractice,'Activity Planner'!$AA619&gt;0),'Activity Planner'!$F619+ROW()/100000,"")</f>
        <v>0</v>
      </c>
    </row>
    <row r="620" spans="17:18">
      <c r="Q620">
        <f>IF(INDEX('Activity Planner'!$O620:$Z620,SelMonthNum)=1,'Activity Planner'!$F620+ROW()/100000,"")</f>
        <v>0</v>
      </c>
      <c r="R620">
        <f>IF(AND('Activity Planner'!$N620=1,'Activity Planner'!$C620=SelPractice,'Activity Planner'!$AA620&gt;0),'Activity Planner'!$F620+ROW()/100000,"")</f>
        <v>0</v>
      </c>
    </row>
    <row r="621" spans="17:18">
      <c r="Q621">
        <f>IF(INDEX('Activity Planner'!$O621:$Z621,SelMonthNum)=1,'Activity Planner'!$F621+ROW()/100000,"")</f>
        <v>0</v>
      </c>
      <c r="R621">
        <f>IF(AND('Activity Planner'!$N621=1,'Activity Planner'!$C621=SelPractice,'Activity Planner'!$AA621&gt;0),'Activity Planner'!$F621+ROW()/100000,"")</f>
        <v>0</v>
      </c>
    </row>
    <row r="622" spans="17:18">
      <c r="Q622">
        <f>IF(INDEX('Activity Planner'!$O622:$Z622,SelMonthNum)=1,'Activity Planner'!$F622+ROW()/100000,"")</f>
        <v>0</v>
      </c>
      <c r="R622">
        <f>IF(AND('Activity Planner'!$N622=1,'Activity Planner'!$C622=SelPractice,'Activity Planner'!$AA622&gt;0),'Activity Planner'!$F622+ROW()/100000,"")</f>
        <v>0</v>
      </c>
    </row>
    <row r="623" spans="17:18">
      <c r="Q623">
        <f>IF(INDEX('Activity Planner'!$O623:$Z623,SelMonthNum)=1,'Activity Planner'!$F623+ROW()/100000,"")</f>
        <v>0</v>
      </c>
      <c r="R623">
        <f>IF(AND('Activity Planner'!$N623=1,'Activity Planner'!$C623=SelPractice,'Activity Planner'!$AA623&gt;0),'Activity Planner'!$F623+ROW()/100000,"")</f>
        <v>0</v>
      </c>
    </row>
    <row r="624" spans="17:18">
      <c r="Q624">
        <f>IF(INDEX('Activity Planner'!$O624:$Z624,SelMonthNum)=1,'Activity Planner'!$F624+ROW()/100000,"")</f>
        <v>0</v>
      </c>
      <c r="R624">
        <f>IF(AND('Activity Planner'!$N624=1,'Activity Planner'!$C624=SelPractice,'Activity Planner'!$AA624&gt;0),'Activity Planner'!$F624+ROW()/100000,"")</f>
        <v>0</v>
      </c>
    </row>
    <row r="625" spans="17:18">
      <c r="Q625">
        <f>IF(INDEX('Activity Planner'!$O625:$Z625,SelMonthNum)=1,'Activity Planner'!$F625+ROW()/100000,"")</f>
        <v>0</v>
      </c>
      <c r="R625">
        <f>IF(AND('Activity Planner'!$N625=1,'Activity Planner'!$C625=SelPractice,'Activity Planner'!$AA625&gt;0),'Activity Planner'!$F625+ROW()/100000,"")</f>
        <v>0</v>
      </c>
    </row>
    <row r="626" spans="17:18">
      <c r="Q626">
        <f>IF(INDEX('Activity Planner'!$O626:$Z626,SelMonthNum)=1,'Activity Planner'!$F626+ROW()/100000,"")</f>
        <v>0</v>
      </c>
      <c r="R626">
        <f>IF(AND('Activity Planner'!$N626=1,'Activity Planner'!$C626=SelPractice,'Activity Planner'!$AA626&gt;0),'Activity Planner'!$F626+ROW()/100000,"")</f>
        <v>0</v>
      </c>
    </row>
    <row r="627" spans="17:18">
      <c r="Q627">
        <f>IF(INDEX('Activity Planner'!$O627:$Z627,SelMonthNum)=1,'Activity Planner'!$F627+ROW()/100000,"")</f>
        <v>0</v>
      </c>
      <c r="R627">
        <f>IF(AND('Activity Planner'!$N627=1,'Activity Planner'!$C627=SelPractice,'Activity Planner'!$AA627&gt;0),'Activity Planner'!$F627+ROW()/100000,"")</f>
        <v>0</v>
      </c>
    </row>
    <row r="628" spans="17:18">
      <c r="Q628">
        <f>IF(INDEX('Activity Planner'!$O628:$Z628,SelMonthNum)=1,'Activity Planner'!$F628+ROW()/100000,"")</f>
        <v>0</v>
      </c>
      <c r="R628">
        <f>IF(AND('Activity Planner'!$N628=1,'Activity Planner'!$C628=SelPractice,'Activity Planner'!$AA628&gt;0),'Activity Planner'!$F628+ROW()/100000,"")</f>
        <v>0</v>
      </c>
    </row>
    <row r="629" spans="17:18">
      <c r="Q629">
        <f>IF(INDEX('Activity Planner'!$O629:$Z629,SelMonthNum)=1,'Activity Planner'!$F629+ROW()/100000,"")</f>
        <v>0</v>
      </c>
      <c r="R629">
        <f>IF(AND('Activity Planner'!$N629=1,'Activity Planner'!$C629=SelPractice,'Activity Planner'!$AA629&gt;0),'Activity Planner'!$F629+ROW()/100000,"")</f>
        <v>0</v>
      </c>
    </row>
    <row r="630" spans="17:18">
      <c r="Q630">
        <f>IF(INDEX('Activity Planner'!$O630:$Z630,SelMonthNum)=1,'Activity Planner'!$F630+ROW()/100000,"")</f>
        <v>0</v>
      </c>
      <c r="R630">
        <f>IF(AND('Activity Planner'!$N630=1,'Activity Planner'!$C630=SelPractice,'Activity Planner'!$AA630&gt;0),'Activity Planner'!$F630+ROW()/100000,"")</f>
        <v>0</v>
      </c>
    </row>
    <row r="631" spans="17:18">
      <c r="Q631">
        <f>IF(INDEX('Activity Planner'!$O631:$Z631,SelMonthNum)=1,'Activity Planner'!$F631+ROW()/100000,"")</f>
        <v>0</v>
      </c>
      <c r="R631">
        <f>IF(AND('Activity Planner'!$N631=1,'Activity Planner'!$C631=SelPractice,'Activity Planner'!$AA631&gt;0),'Activity Planner'!$F631+ROW()/100000,"")</f>
        <v>0</v>
      </c>
    </row>
    <row r="632" spans="17:18">
      <c r="Q632">
        <f>IF(INDEX('Activity Planner'!$O632:$Z632,SelMonthNum)=1,'Activity Planner'!$F632+ROW()/100000,"")</f>
        <v>0</v>
      </c>
      <c r="R632">
        <f>IF(AND('Activity Planner'!$N632=1,'Activity Planner'!$C632=SelPractice,'Activity Planner'!$AA632&gt;0),'Activity Planner'!$F632+ROW()/100000,"")</f>
        <v>0</v>
      </c>
    </row>
    <row r="633" spans="17:18">
      <c r="Q633">
        <f>IF(INDEX('Activity Planner'!$O633:$Z633,SelMonthNum)=1,'Activity Planner'!$F633+ROW()/100000,"")</f>
        <v>0</v>
      </c>
      <c r="R633">
        <f>IF(AND('Activity Planner'!$N633=1,'Activity Planner'!$C633=SelPractice,'Activity Planner'!$AA633&gt;0),'Activity Planner'!$F633+ROW()/100000,"")</f>
        <v>0</v>
      </c>
    </row>
    <row r="634" spans="17:18">
      <c r="Q634">
        <f>IF(INDEX('Activity Planner'!$O634:$Z634,SelMonthNum)=1,'Activity Planner'!$F634+ROW()/100000,"")</f>
        <v>0</v>
      </c>
      <c r="R634">
        <f>IF(AND('Activity Planner'!$N634=1,'Activity Planner'!$C634=SelPractice,'Activity Planner'!$AA634&gt;0),'Activity Planner'!$F634+ROW()/100000,"")</f>
        <v>0</v>
      </c>
    </row>
    <row r="635" spans="17:18">
      <c r="Q635">
        <f>IF(INDEX('Activity Planner'!$O635:$Z635,SelMonthNum)=1,'Activity Planner'!$F635+ROW()/100000,"")</f>
        <v>0</v>
      </c>
      <c r="R635">
        <f>IF(AND('Activity Planner'!$N635=1,'Activity Planner'!$C635=SelPractice,'Activity Planner'!$AA635&gt;0),'Activity Planner'!$F635+ROW()/100000,"")</f>
        <v>0</v>
      </c>
    </row>
    <row r="636" spans="17:18">
      <c r="Q636">
        <f>IF(INDEX('Activity Planner'!$O636:$Z636,SelMonthNum)=1,'Activity Planner'!$F636+ROW()/100000,"")</f>
        <v>0</v>
      </c>
      <c r="R636">
        <f>IF(AND('Activity Planner'!$N636=1,'Activity Planner'!$C636=SelPractice,'Activity Planner'!$AA636&gt;0),'Activity Planner'!$F636+ROW()/100000,"")</f>
        <v>0</v>
      </c>
    </row>
    <row r="637" spans="17:18">
      <c r="Q637">
        <f>IF(INDEX('Activity Planner'!$O637:$Z637,SelMonthNum)=1,'Activity Planner'!$F637+ROW()/100000,"")</f>
        <v>0</v>
      </c>
      <c r="R637">
        <f>IF(AND('Activity Planner'!$N637=1,'Activity Planner'!$C637=SelPractice,'Activity Planner'!$AA637&gt;0),'Activity Planner'!$F637+ROW()/100000,"")</f>
        <v>0</v>
      </c>
    </row>
    <row r="638" spans="17:18">
      <c r="Q638">
        <f>IF(INDEX('Activity Planner'!$O638:$Z638,SelMonthNum)=1,'Activity Planner'!$F638+ROW()/100000,"")</f>
        <v>0</v>
      </c>
      <c r="R638">
        <f>IF(AND('Activity Planner'!$N638=1,'Activity Planner'!$C638=SelPractice,'Activity Planner'!$AA638&gt;0),'Activity Planner'!$F638+ROW()/100000,"")</f>
        <v>0</v>
      </c>
    </row>
    <row r="639" spans="17:18">
      <c r="Q639">
        <f>IF(INDEX('Activity Planner'!$O639:$Z639,SelMonthNum)=1,'Activity Planner'!$F639+ROW()/100000,"")</f>
        <v>0</v>
      </c>
      <c r="R639">
        <f>IF(AND('Activity Planner'!$N639=1,'Activity Planner'!$C639=SelPractice,'Activity Planner'!$AA639&gt;0),'Activity Planner'!$F639+ROW()/100000,"")</f>
        <v>0</v>
      </c>
    </row>
    <row r="640" spans="17:18">
      <c r="Q640">
        <f>IF(INDEX('Activity Planner'!$O640:$Z640,SelMonthNum)=1,'Activity Planner'!$F640+ROW()/100000,"")</f>
        <v>0</v>
      </c>
      <c r="R640">
        <f>IF(AND('Activity Planner'!$N640=1,'Activity Planner'!$C640=SelPractice,'Activity Planner'!$AA640&gt;0),'Activity Planner'!$F640+ROW()/100000,"")</f>
        <v>0</v>
      </c>
    </row>
    <row r="641" spans="17:18">
      <c r="Q641">
        <f>IF(INDEX('Activity Planner'!$O641:$Z641,SelMonthNum)=1,'Activity Planner'!$F641+ROW()/100000,"")</f>
        <v>0</v>
      </c>
      <c r="R641">
        <f>IF(AND('Activity Planner'!$N641=1,'Activity Planner'!$C641=SelPractice,'Activity Planner'!$AA641&gt;0),'Activity Planner'!$F641+ROW()/100000,"")</f>
        <v>0</v>
      </c>
    </row>
    <row r="642" spans="17:18">
      <c r="Q642">
        <f>IF(INDEX('Activity Planner'!$O642:$Z642,SelMonthNum)=1,'Activity Planner'!$F642+ROW()/100000,"")</f>
        <v>0</v>
      </c>
      <c r="R642">
        <f>IF(AND('Activity Planner'!$N642=1,'Activity Planner'!$C642=SelPractice,'Activity Planner'!$AA642&gt;0),'Activity Planner'!$F642+ROW()/100000,"")</f>
        <v>0</v>
      </c>
    </row>
    <row r="643" spans="17:18">
      <c r="Q643">
        <f>IF(INDEX('Activity Planner'!$O643:$Z643,SelMonthNum)=1,'Activity Planner'!$F643+ROW()/100000,"")</f>
        <v>0</v>
      </c>
      <c r="R643">
        <f>IF(AND('Activity Planner'!$N643=1,'Activity Planner'!$C643=SelPractice,'Activity Planner'!$AA643&gt;0),'Activity Planner'!$F643+ROW()/100000,"")</f>
        <v>0</v>
      </c>
    </row>
    <row r="644" spans="17:18">
      <c r="Q644">
        <f>IF(INDEX('Activity Planner'!$O644:$Z644,SelMonthNum)=1,'Activity Planner'!$F644+ROW()/100000,"")</f>
        <v>0</v>
      </c>
      <c r="R644">
        <f>IF(AND('Activity Planner'!$N644=1,'Activity Planner'!$C644=SelPractice,'Activity Planner'!$AA644&gt;0),'Activity Planner'!$F644+ROW()/100000,"")</f>
        <v>0</v>
      </c>
    </row>
    <row r="645" spans="17:18">
      <c r="Q645">
        <f>IF(INDEX('Activity Planner'!$O645:$Z645,SelMonthNum)=1,'Activity Planner'!$F645+ROW()/100000,"")</f>
        <v>0</v>
      </c>
      <c r="R645">
        <f>IF(AND('Activity Planner'!$N645=1,'Activity Planner'!$C645=SelPractice,'Activity Planner'!$AA645&gt;0),'Activity Planner'!$F645+ROW()/100000,"")</f>
        <v>0</v>
      </c>
    </row>
    <row r="646" spans="17:18">
      <c r="Q646">
        <f>IF(INDEX('Activity Planner'!$O646:$Z646,SelMonthNum)=1,'Activity Planner'!$F646+ROW()/100000,"")</f>
        <v>0</v>
      </c>
      <c r="R646">
        <f>IF(AND('Activity Planner'!$N646=1,'Activity Planner'!$C646=SelPractice,'Activity Planner'!$AA646&gt;0),'Activity Planner'!$F646+ROW()/100000,"")</f>
        <v>0</v>
      </c>
    </row>
    <row r="647" spans="17:18">
      <c r="Q647">
        <f>IF(INDEX('Activity Planner'!$O647:$Z647,SelMonthNum)=1,'Activity Planner'!$F647+ROW()/100000,"")</f>
        <v>0</v>
      </c>
      <c r="R647">
        <f>IF(AND('Activity Planner'!$N647=1,'Activity Planner'!$C647=SelPractice,'Activity Planner'!$AA647&gt;0),'Activity Planner'!$F647+ROW()/100000,"")</f>
        <v>0</v>
      </c>
    </row>
    <row r="648" spans="17:18">
      <c r="Q648">
        <f>IF(INDEX('Activity Planner'!$O648:$Z648,SelMonthNum)=1,'Activity Planner'!$F648+ROW()/100000,"")</f>
        <v>0</v>
      </c>
      <c r="R648">
        <f>IF(AND('Activity Planner'!$N648=1,'Activity Planner'!$C648=SelPractice,'Activity Planner'!$AA648&gt;0),'Activity Planner'!$F648+ROW()/100000,"")</f>
        <v>0</v>
      </c>
    </row>
    <row r="649" spans="17:18">
      <c r="Q649">
        <f>IF(INDEX('Activity Planner'!$O649:$Z649,SelMonthNum)=1,'Activity Planner'!$F649+ROW()/100000,"")</f>
        <v>0</v>
      </c>
      <c r="R649">
        <f>IF(AND('Activity Planner'!$N649=1,'Activity Planner'!$C649=SelPractice,'Activity Planner'!$AA649&gt;0),'Activity Planner'!$F649+ROW()/100000,"")</f>
        <v>0</v>
      </c>
    </row>
    <row r="650" spans="17:18">
      <c r="Q650">
        <f>IF(INDEX('Activity Planner'!$O650:$Z650,SelMonthNum)=1,'Activity Planner'!$F650+ROW()/100000,"")</f>
        <v>0</v>
      </c>
      <c r="R650">
        <f>IF(AND('Activity Planner'!$N650=1,'Activity Planner'!$C650=SelPractice,'Activity Planner'!$AA650&gt;0),'Activity Planner'!$F650+ROW()/100000,"")</f>
        <v>0</v>
      </c>
    </row>
    <row r="651" spans="17:18">
      <c r="Q651">
        <f>IF(INDEX('Activity Planner'!$O651:$Z651,SelMonthNum)=1,'Activity Planner'!$F651+ROW()/100000,"")</f>
        <v>0</v>
      </c>
      <c r="R651">
        <f>IF(AND('Activity Planner'!$N651=1,'Activity Planner'!$C651=SelPractice,'Activity Planner'!$AA651&gt;0),'Activity Planner'!$F651+ROW()/100000,"")</f>
        <v>0</v>
      </c>
    </row>
    <row r="652" spans="17:18">
      <c r="Q652">
        <f>IF(INDEX('Activity Planner'!$O652:$Z652,SelMonthNum)=1,'Activity Planner'!$F652+ROW()/100000,"")</f>
        <v>0</v>
      </c>
      <c r="R652">
        <f>IF(AND('Activity Planner'!$N652=1,'Activity Planner'!$C652=SelPractice,'Activity Planner'!$AA652&gt;0),'Activity Planner'!$F652+ROW()/100000,"")</f>
        <v>0</v>
      </c>
    </row>
    <row r="653" spans="17:18">
      <c r="Q653">
        <f>IF(INDEX('Activity Planner'!$O653:$Z653,SelMonthNum)=1,'Activity Planner'!$F653+ROW()/100000,"")</f>
        <v>0</v>
      </c>
      <c r="R653">
        <f>IF(AND('Activity Planner'!$N653=1,'Activity Planner'!$C653=SelPractice,'Activity Planner'!$AA653&gt;0),'Activity Planner'!$F653+ROW()/100000,"")</f>
        <v>0</v>
      </c>
    </row>
    <row r="654" spans="17:18">
      <c r="Q654">
        <f>IF(INDEX('Activity Planner'!$O654:$Z654,SelMonthNum)=1,'Activity Planner'!$F654+ROW()/100000,"")</f>
        <v>0</v>
      </c>
      <c r="R654">
        <f>IF(AND('Activity Planner'!$N654=1,'Activity Planner'!$C654=SelPractice,'Activity Planner'!$AA654&gt;0),'Activity Planner'!$F654+ROW()/100000,"")</f>
        <v>0</v>
      </c>
    </row>
    <row r="655" spans="17:18">
      <c r="Q655">
        <f>IF(INDEX('Activity Planner'!$O655:$Z655,SelMonthNum)=1,'Activity Planner'!$F655+ROW()/100000,"")</f>
        <v>0</v>
      </c>
      <c r="R655">
        <f>IF(AND('Activity Planner'!$N655=1,'Activity Planner'!$C655=SelPractice,'Activity Planner'!$AA655&gt;0),'Activity Planner'!$F655+ROW()/100000,"")</f>
        <v>0</v>
      </c>
    </row>
    <row r="656" spans="17:18">
      <c r="Q656">
        <f>IF(INDEX('Activity Planner'!$O656:$Z656,SelMonthNum)=1,'Activity Planner'!$F656+ROW()/100000,"")</f>
        <v>0</v>
      </c>
      <c r="R656">
        <f>IF(AND('Activity Planner'!$N656=1,'Activity Planner'!$C656=SelPractice,'Activity Planner'!$AA656&gt;0),'Activity Planner'!$F656+ROW()/100000,"")</f>
        <v>0</v>
      </c>
    </row>
    <row r="657" spans="17:18">
      <c r="Q657">
        <f>IF(INDEX('Activity Planner'!$O657:$Z657,SelMonthNum)=1,'Activity Planner'!$F657+ROW()/100000,"")</f>
        <v>0</v>
      </c>
      <c r="R657">
        <f>IF(AND('Activity Planner'!$N657=1,'Activity Planner'!$C657=SelPractice,'Activity Planner'!$AA657&gt;0),'Activity Planner'!$F657+ROW()/100000,"")</f>
        <v>0</v>
      </c>
    </row>
    <row r="658" spans="17:18">
      <c r="Q658">
        <f>IF(INDEX('Activity Planner'!$O658:$Z658,SelMonthNum)=1,'Activity Planner'!$F658+ROW()/100000,"")</f>
        <v>0</v>
      </c>
      <c r="R658">
        <f>IF(AND('Activity Planner'!$N658=1,'Activity Planner'!$C658=SelPractice,'Activity Planner'!$AA658&gt;0),'Activity Planner'!$F658+ROW()/100000,"")</f>
        <v>0</v>
      </c>
    </row>
    <row r="659" spans="17:18">
      <c r="Q659">
        <f>IF(INDEX('Activity Planner'!$O659:$Z659,SelMonthNum)=1,'Activity Planner'!$F659+ROW()/100000,"")</f>
        <v>0</v>
      </c>
      <c r="R659">
        <f>IF(AND('Activity Planner'!$N659=1,'Activity Planner'!$C659=SelPractice,'Activity Planner'!$AA659&gt;0),'Activity Planner'!$F659+ROW()/100000,"")</f>
        <v>0</v>
      </c>
    </row>
    <row r="660" spans="17:18">
      <c r="Q660">
        <f>IF(INDEX('Activity Planner'!$O660:$Z660,SelMonthNum)=1,'Activity Planner'!$F660+ROW()/100000,"")</f>
        <v>0</v>
      </c>
      <c r="R660">
        <f>IF(AND('Activity Planner'!$N660=1,'Activity Planner'!$C660=SelPractice,'Activity Planner'!$AA660&gt;0),'Activity Planner'!$F660+ROW()/100000,"")</f>
        <v>0</v>
      </c>
    </row>
    <row r="661" spans="17:18">
      <c r="Q661">
        <f>IF(INDEX('Activity Planner'!$O661:$Z661,SelMonthNum)=1,'Activity Planner'!$F661+ROW()/100000,"")</f>
        <v>0</v>
      </c>
      <c r="R661">
        <f>IF(AND('Activity Planner'!$N661=1,'Activity Planner'!$C661=SelPractice,'Activity Planner'!$AA661&gt;0),'Activity Planner'!$F661+ROW()/100000,"")</f>
        <v>0</v>
      </c>
    </row>
    <row r="662" spans="17:18">
      <c r="Q662">
        <f>IF(INDEX('Activity Planner'!$O662:$Z662,SelMonthNum)=1,'Activity Planner'!$F662+ROW()/100000,"")</f>
        <v>0</v>
      </c>
      <c r="R662">
        <f>IF(AND('Activity Planner'!$N662=1,'Activity Planner'!$C662=SelPractice,'Activity Planner'!$AA662&gt;0),'Activity Planner'!$F662+ROW()/100000,"")</f>
        <v>0</v>
      </c>
    </row>
    <row r="663" spans="17:18">
      <c r="Q663">
        <f>IF(INDEX('Activity Planner'!$O663:$Z663,SelMonthNum)=1,'Activity Planner'!$F663+ROW()/100000,"")</f>
        <v>0</v>
      </c>
      <c r="R663">
        <f>IF(AND('Activity Planner'!$N663=1,'Activity Planner'!$C663=SelPractice,'Activity Planner'!$AA663&gt;0),'Activity Planner'!$F663+ROW()/100000,"")</f>
        <v>0</v>
      </c>
    </row>
    <row r="664" spans="17:18">
      <c r="Q664">
        <f>IF(INDEX('Activity Planner'!$O664:$Z664,SelMonthNum)=1,'Activity Planner'!$F664+ROW()/100000,"")</f>
        <v>0</v>
      </c>
      <c r="R664">
        <f>IF(AND('Activity Planner'!$N664=1,'Activity Planner'!$C664=SelPractice,'Activity Planner'!$AA664&gt;0),'Activity Planner'!$F664+ROW()/100000,"")</f>
        <v>0</v>
      </c>
    </row>
    <row r="665" spans="17:18">
      <c r="Q665">
        <f>IF(INDEX('Activity Planner'!$O665:$Z665,SelMonthNum)=1,'Activity Planner'!$F665+ROW()/100000,"")</f>
        <v>0</v>
      </c>
      <c r="R665">
        <f>IF(AND('Activity Planner'!$N665=1,'Activity Planner'!$C665=SelPractice,'Activity Planner'!$AA665&gt;0),'Activity Planner'!$F665+ROW()/100000,"")</f>
        <v>0</v>
      </c>
    </row>
    <row r="666" spans="17:18">
      <c r="Q666">
        <f>IF(INDEX('Activity Planner'!$O666:$Z666,SelMonthNum)=1,'Activity Planner'!$F666+ROW()/100000,"")</f>
        <v>0</v>
      </c>
      <c r="R666">
        <f>IF(AND('Activity Planner'!$N666=1,'Activity Planner'!$C666=SelPractice,'Activity Planner'!$AA666&gt;0),'Activity Planner'!$F666+ROW()/100000,"")</f>
        <v>0</v>
      </c>
    </row>
    <row r="667" spans="17:18">
      <c r="Q667">
        <f>IF(INDEX('Activity Planner'!$O667:$Z667,SelMonthNum)=1,'Activity Planner'!$F667+ROW()/100000,"")</f>
        <v>0</v>
      </c>
      <c r="R667">
        <f>IF(AND('Activity Planner'!$N667=1,'Activity Planner'!$C667=SelPractice,'Activity Planner'!$AA667&gt;0),'Activity Planner'!$F667+ROW()/100000,"")</f>
        <v>0</v>
      </c>
    </row>
    <row r="668" spans="17:18">
      <c r="Q668">
        <f>IF(INDEX('Activity Planner'!$O668:$Z668,SelMonthNum)=1,'Activity Planner'!$F668+ROW()/100000,"")</f>
        <v>0</v>
      </c>
      <c r="R668">
        <f>IF(AND('Activity Planner'!$N668=1,'Activity Planner'!$C668=SelPractice,'Activity Planner'!$AA668&gt;0),'Activity Planner'!$F668+ROW()/100000,"")</f>
        <v>0</v>
      </c>
    </row>
    <row r="669" spans="17:18">
      <c r="Q669">
        <f>IF(INDEX('Activity Planner'!$O669:$Z669,SelMonthNum)=1,'Activity Planner'!$F669+ROW()/100000,"")</f>
        <v>0</v>
      </c>
      <c r="R669">
        <f>IF(AND('Activity Planner'!$N669=1,'Activity Planner'!$C669=SelPractice,'Activity Planner'!$AA669&gt;0),'Activity Planner'!$F669+ROW()/100000,"")</f>
        <v>0</v>
      </c>
    </row>
    <row r="670" spans="17:18">
      <c r="Q670">
        <f>IF(INDEX('Activity Planner'!$O670:$Z670,SelMonthNum)=1,'Activity Planner'!$F670+ROW()/100000,"")</f>
        <v>0</v>
      </c>
      <c r="R670">
        <f>IF(AND('Activity Planner'!$N670=1,'Activity Planner'!$C670=SelPractice,'Activity Planner'!$AA670&gt;0),'Activity Planner'!$F670+ROW()/100000,"")</f>
        <v>0</v>
      </c>
    </row>
    <row r="671" spans="17:18">
      <c r="Q671">
        <f>IF(INDEX('Activity Planner'!$O671:$Z671,SelMonthNum)=1,'Activity Planner'!$F671+ROW()/100000,"")</f>
        <v>0</v>
      </c>
      <c r="R671">
        <f>IF(AND('Activity Planner'!$N671=1,'Activity Planner'!$C671=SelPractice,'Activity Planner'!$AA671&gt;0),'Activity Planner'!$F671+ROW()/100000,"")</f>
        <v>0</v>
      </c>
    </row>
    <row r="672" spans="17:18">
      <c r="Q672">
        <f>IF(INDEX('Activity Planner'!$O672:$Z672,SelMonthNum)=1,'Activity Planner'!$F672+ROW()/100000,"")</f>
        <v>0</v>
      </c>
      <c r="R672">
        <f>IF(AND('Activity Planner'!$N672=1,'Activity Planner'!$C672=SelPractice,'Activity Planner'!$AA672&gt;0),'Activity Planner'!$F672+ROW()/100000,"")</f>
        <v>0</v>
      </c>
    </row>
    <row r="673" spans="17:18">
      <c r="Q673">
        <f>IF(INDEX('Activity Planner'!$O673:$Z673,SelMonthNum)=1,'Activity Planner'!$F673+ROW()/100000,"")</f>
        <v>0</v>
      </c>
      <c r="R673">
        <f>IF(AND('Activity Planner'!$N673=1,'Activity Planner'!$C673=SelPractice,'Activity Planner'!$AA673&gt;0),'Activity Planner'!$F673+ROW()/100000,"")</f>
        <v>0</v>
      </c>
    </row>
    <row r="674" spans="17:18">
      <c r="Q674">
        <f>IF(INDEX('Activity Planner'!$O674:$Z674,SelMonthNum)=1,'Activity Planner'!$F674+ROW()/100000,"")</f>
        <v>0</v>
      </c>
      <c r="R674">
        <f>IF(AND('Activity Planner'!$N674=1,'Activity Planner'!$C674=SelPractice,'Activity Planner'!$AA674&gt;0),'Activity Planner'!$F674+ROW()/100000,"")</f>
        <v>0</v>
      </c>
    </row>
    <row r="675" spans="17:18">
      <c r="Q675">
        <f>IF(INDEX('Activity Planner'!$O675:$Z675,SelMonthNum)=1,'Activity Planner'!$F675+ROW()/100000,"")</f>
        <v>0</v>
      </c>
      <c r="R675">
        <f>IF(AND('Activity Planner'!$N675=1,'Activity Planner'!$C675=SelPractice,'Activity Planner'!$AA675&gt;0),'Activity Planner'!$F675+ROW()/100000,"")</f>
        <v>0</v>
      </c>
    </row>
    <row r="676" spans="17:18">
      <c r="Q676">
        <f>IF(INDEX('Activity Planner'!$O676:$Z676,SelMonthNum)=1,'Activity Planner'!$F676+ROW()/100000,"")</f>
        <v>0</v>
      </c>
      <c r="R676">
        <f>IF(AND('Activity Planner'!$N676=1,'Activity Planner'!$C676=SelPractice,'Activity Planner'!$AA676&gt;0),'Activity Planner'!$F676+ROW()/100000,"")</f>
        <v>0</v>
      </c>
    </row>
    <row r="677" spans="17:18">
      <c r="Q677">
        <f>IF(INDEX('Activity Planner'!$O677:$Z677,SelMonthNum)=1,'Activity Planner'!$F677+ROW()/100000,"")</f>
        <v>0</v>
      </c>
      <c r="R677">
        <f>IF(AND('Activity Planner'!$N677=1,'Activity Planner'!$C677=SelPractice,'Activity Planner'!$AA677&gt;0),'Activity Planner'!$F677+ROW()/100000,"")</f>
        <v>0</v>
      </c>
    </row>
    <row r="678" spans="17:18">
      <c r="Q678">
        <f>IF(INDEX('Activity Planner'!$O678:$Z678,SelMonthNum)=1,'Activity Planner'!$F678+ROW()/100000,"")</f>
        <v>0</v>
      </c>
      <c r="R678">
        <f>IF(AND('Activity Planner'!$N678=1,'Activity Planner'!$C678=SelPractice,'Activity Planner'!$AA678&gt;0),'Activity Planner'!$F678+ROW()/100000,"")</f>
        <v>0</v>
      </c>
    </row>
    <row r="679" spans="17:18">
      <c r="Q679">
        <f>IF(INDEX('Activity Planner'!$O679:$Z679,SelMonthNum)=1,'Activity Planner'!$F679+ROW()/100000,"")</f>
        <v>0</v>
      </c>
      <c r="R679">
        <f>IF(AND('Activity Planner'!$N679=1,'Activity Planner'!$C679=SelPractice,'Activity Planner'!$AA679&gt;0),'Activity Planner'!$F679+ROW()/100000,"")</f>
        <v>0</v>
      </c>
    </row>
    <row r="680" spans="17:18">
      <c r="Q680">
        <f>IF(INDEX('Activity Planner'!$O680:$Z680,SelMonthNum)=1,'Activity Planner'!$F680+ROW()/100000,"")</f>
        <v>0</v>
      </c>
      <c r="R680">
        <f>IF(AND('Activity Planner'!$N680=1,'Activity Planner'!$C680=SelPractice,'Activity Planner'!$AA680&gt;0),'Activity Planner'!$F680+ROW()/100000,"")</f>
        <v>0</v>
      </c>
    </row>
    <row r="681" spans="17:18">
      <c r="Q681">
        <f>IF(INDEX('Activity Planner'!$O681:$Z681,SelMonthNum)=1,'Activity Planner'!$F681+ROW()/100000,"")</f>
        <v>0</v>
      </c>
      <c r="R681">
        <f>IF(AND('Activity Planner'!$N681=1,'Activity Planner'!$C681=SelPractice,'Activity Planner'!$AA681&gt;0),'Activity Planner'!$F681+ROW()/100000,"")</f>
        <v>0</v>
      </c>
    </row>
    <row r="682" spans="17:18">
      <c r="Q682">
        <f>IF(INDEX('Activity Planner'!$O682:$Z682,SelMonthNum)=1,'Activity Planner'!$F682+ROW()/100000,"")</f>
        <v>0</v>
      </c>
      <c r="R682">
        <f>IF(AND('Activity Planner'!$N682=1,'Activity Planner'!$C682=SelPractice,'Activity Planner'!$AA682&gt;0),'Activity Planner'!$F682+ROW()/100000,"")</f>
        <v>0</v>
      </c>
    </row>
    <row r="683" spans="17:18">
      <c r="Q683">
        <f>IF(INDEX('Activity Planner'!$O683:$Z683,SelMonthNum)=1,'Activity Planner'!$F683+ROW()/100000,"")</f>
        <v>0</v>
      </c>
      <c r="R683">
        <f>IF(AND('Activity Planner'!$N683=1,'Activity Planner'!$C683=SelPractice,'Activity Planner'!$AA683&gt;0),'Activity Planner'!$F683+ROW()/100000,"")</f>
        <v>0</v>
      </c>
    </row>
    <row r="684" spans="17:18">
      <c r="Q684">
        <f>IF(INDEX('Activity Planner'!$O684:$Z684,SelMonthNum)=1,'Activity Planner'!$F684+ROW()/100000,"")</f>
        <v>0</v>
      </c>
      <c r="R684">
        <f>IF(AND('Activity Planner'!$N684=1,'Activity Planner'!$C684=SelPractice,'Activity Planner'!$AA684&gt;0),'Activity Planner'!$F684+ROW()/100000,"")</f>
        <v>0</v>
      </c>
    </row>
    <row r="685" spans="17:18">
      <c r="Q685">
        <f>IF(INDEX('Activity Planner'!$O685:$Z685,SelMonthNum)=1,'Activity Planner'!$F685+ROW()/100000,"")</f>
        <v>0</v>
      </c>
      <c r="R685">
        <f>IF(AND('Activity Planner'!$N685=1,'Activity Planner'!$C685=SelPractice,'Activity Planner'!$AA685&gt;0),'Activity Planner'!$F685+ROW()/100000,"")</f>
        <v>0</v>
      </c>
    </row>
    <row r="686" spans="17:18">
      <c r="Q686">
        <f>IF(INDEX('Activity Planner'!$O686:$Z686,SelMonthNum)=1,'Activity Planner'!$F686+ROW()/100000,"")</f>
        <v>0</v>
      </c>
      <c r="R686">
        <f>IF(AND('Activity Planner'!$N686=1,'Activity Planner'!$C686=SelPractice,'Activity Planner'!$AA686&gt;0),'Activity Planner'!$F686+ROW()/100000,"")</f>
        <v>0</v>
      </c>
    </row>
    <row r="687" spans="17:18">
      <c r="Q687">
        <f>IF(INDEX('Activity Planner'!$O687:$Z687,SelMonthNum)=1,'Activity Planner'!$F687+ROW()/100000,"")</f>
        <v>0</v>
      </c>
      <c r="R687">
        <f>IF(AND('Activity Planner'!$N687=1,'Activity Planner'!$C687=SelPractice,'Activity Planner'!$AA687&gt;0),'Activity Planner'!$F687+ROW()/100000,"")</f>
        <v>0</v>
      </c>
    </row>
    <row r="688" spans="17:18">
      <c r="Q688">
        <f>IF(INDEX('Activity Planner'!$O688:$Z688,SelMonthNum)=1,'Activity Planner'!$F688+ROW()/100000,"")</f>
        <v>0</v>
      </c>
      <c r="R688">
        <f>IF(AND('Activity Planner'!$N688=1,'Activity Planner'!$C688=SelPractice,'Activity Planner'!$AA688&gt;0),'Activity Planner'!$F688+ROW()/100000,"")</f>
        <v>0</v>
      </c>
    </row>
    <row r="689" spans="17:18">
      <c r="Q689">
        <f>IF(INDEX('Activity Planner'!$O689:$Z689,SelMonthNum)=1,'Activity Planner'!$F689+ROW()/100000,"")</f>
        <v>0</v>
      </c>
      <c r="R689">
        <f>IF(AND('Activity Planner'!$N689=1,'Activity Planner'!$C689=SelPractice,'Activity Planner'!$AA689&gt;0),'Activity Planner'!$F689+ROW()/100000,"")</f>
        <v>0</v>
      </c>
    </row>
    <row r="690" spans="17:18">
      <c r="Q690">
        <f>IF(INDEX('Activity Planner'!$O690:$Z690,SelMonthNum)=1,'Activity Planner'!$F690+ROW()/100000,"")</f>
        <v>0</v>
      </c>
      <c r="R690">
        <f>IF(AND('Activity Planner'!$N690=1,'Activity Planner'!$C690=SelPractice,'Activity Planner'!$AA690&gt;0),'Activity Planner'!$F690+ROW()/100000,"")</f>
        <v>0</v>
      </c>
    </row>
    <row r="691" spans="17:18">
      <c r="Q691">
        <f>IF(INDEX('Activity Planner'!$O691:$Z691,SelMonthNum)=1,'Activity Planner'!$F691+ROW()/100000,"")</f>
        <v>0</v>
      </c>
      <c r="R691">
        <f>IF(AND('Activity Planner'!$N691=1,'Activity Planner'!$C691=SelPractice,'Activity Planner'!$AA691&gt;0),'Activity Planner'!$F691+ROW()/100000,"")</f>
        <v>0</v>
      </c>
    </row>
    <row r="692" spans="17:18">
      <c r="Q692">
        <f>IF(INDEX('Activity Planner'!$O692:$Z692,SelMonthNum)=1,'Activity Planner'!$F692+ROW()/100000,"")</f>
        <v>0</v>
      </c>
      <c r="R692">
        <f>IF(AND('Activity Planner'!$N692=1,'Activity Planner'!$C692=SelPractice,'Activity Planner'!$AA692&gt;0),'Activity Planner'!$F692+ROW()/100000,"")</f>
        <v>0</v>
      </c>
    </row>
    <row r="693" spans="17:18">
      <c r="Q693">
        <f>IF(INDEX('Activity Planner'!$O693:$Z693,SelMonthNum)=1,'Activity Planner'!$F693+ROW()/100000,"")</f>
        <v>0</v>
      </c>
      <c r="R693">
        <f>IF(AND('Activity Planner'!$N693=1,'Activity Planner'!$C693=SelPractice,'Activity Planner'!$AA693&gt;0),'Activity Planner'!$F693+ROW()/100000,"")</f>
        <v>0</v>
      </c>
    </row>
    <row r="694" spans="17:18">
      <c r="Q694">
        <f>IF(INDEX('Activity Planner'!$O694:$Z694,SelMonthNum)=1,'Activity Planner'!$F694+ROW()/100000,"")</f>
        <v>0</v>
      </c>
      <c r="R694">
        <f>IF(AND('Activity Planner'!$N694=1,'Activity Planner'!$C694=SelPractice,'Activity Planner'!$AA694&gt;0),'Activity Planner'!$F694+ROW()/100000,"")</f>
        <v>0</v>
      </c>
    </row>
    <row r="695" spans="17:18">
      <c r="Q695">
        <f>IF(INDEX('Activity Planner'!$O695:$Z695,SelMonthNum)=1,'Activity Planner'!$F695+ROW()/100000,"")</f>
        <v>0</v>
      </c>
      <c r="R695">
        <f>IF(AND('Activity Planner'!$N695=1,'Activity Planner'!$C695=SelPractice,'Activity Planner'!$AA695&gt;0),'Activity Planner'!$F695+ROW()/100000,"")</f>
        <v>0</v>
      </c>
    </row>
    <row r="696" spans="17:18">
      <c r="Q696">
        <f>IF(INDEX('Activity Planner'!$O696:$Z696,SelMonthNum)=1,'Activity Planner'!$F696+ROW()/100000,"")</f>
        <v>0</v>
      </c>
      <c r="R696">
        <f>IF(AND('Activity Planner'!$N696=1,'Activity Planner'!$C696=SelPractice,'Activity Planner'!$AA696&gt;0),'Activity Planner'!$F696+ROW()/100000,"")</f>
        <v>0</v>
      </c>
    </row>
    <row r="697" spans="17:18">
      <c r="Q697">
        <f>IF(INDEX('Activity Planner'!$O697:$Z697,SelMonthNum)=1,'Activity Planner'!$F697+ROW()/100000,"")</f>
        <v>0</v>
      </c>
      <c r="R697">
        <f>IF(AND('Activity Planner'!$N697=1,'Activity Planner'!$C697=SelPractice,'Activity Planner'!$AA697&gt;0),'Activity Planner'!$F697+ROW()/100000,"")</f>
        <v>0</v>
      </c>
    </row>
    <row r="698" spans="17:18">
      <c r="Q698">
        <f>IF(INDEX('Activity Planner'!$O698:$Z698,SelMonthNum)=1,'Activity Planner'!$F698+ROW()/100000,"")</f>
        <v>0</v>
      </c>
      <c r="R698">
        <f>IF(AND('Activity Planner'!$N698=1,'Activity Planner'!$C698=SelPractice,'Activity Planner'!$AA698&gt;0),'Activity Planner'!$F698+ROW()/100000,"")</f>
        <v>0</v>
      </c>
    </row>
    <row r="699" spans="17:18">
      <c r="Q699">
        <f>IF(INDEX('Activity Planner'!$O699:$Z699,SelMonthNum)=1,'Activity Planner'!$F699+ROW()/100000,"")</f>
        <v>0</v>
      </c>
      <c r="R699">
        <f>IF(AND('Activity Planner'!$N699=1,'Activity Planner'!$C699=SelPractice,'Activity Planner'!$AA699&gt;0),'Activity Planner'!$F699+ROW()/100000,"")</f>
        <v>0</v>
      </c>
    </row>
    <row r="700" spans="17:18">
      <c r="Q700">
        <f>IF(INDEX('Activity Planner'!$O700:$Z700,SelMonthNum)=1,'Activity Planner'!$F700+ROW()/100000,"")</f>
        <v>0</v>
      </c>
      <c r="R700">
        <f>IF(AND('Activity Planner'!$N700=1,'Activity Planner'!$C700=SelPractice,'Activity Planner'!$AA700&gt;0),'Activity Planner'!$F700+ROW()/100000,"")</f>
        <v>0</v>
      </c>
    </row>
    <row r="701" spans="17:18">
      <c r="Q701">
        <f>IF(INDEX('Activity Planner'!$O701:$Z701,SelMonthNum)=1,'Activity Planner'!$F701+ROW()/100000,"")</f>
        <v>0</v>
      </c>
      <c r="R701">
        <f>IF(AND('Activity Planner'!$N701=1,'Activity Planner'!$C701=SelPractice,'Activity Planner'!$AA701&gt;0),'Activity Planner'!$F701+ROW()/100000,"")</f>
        <v>0</v>
      </c>
    </row>
    <row r="702" spans="17:18">
      <c r="Q702">
        <f>IF(INDEX('Activity Planner'!$O702:$Z702,SelMonthNum)=1,'Activity Planner'!$F702+ROW()/100000,"")</f>
        <v>0</v>
      </c>
      <c r="R702">
        <f>IF(AND('Activity Planner'!$N702=1,'Activity Planner'!$C702=SelPractice,'Activity Planner'!$AA702&gt;0),'Activity Planner'!$F702+ROW()/100000,"")</f>
        <v>0</v>
      </c>
    </row>
    <row r="703" spans="17:18">
      <c r="Q703">
        <f>IF(INDEX('Activity Planner'!$O703:$Z703,SelMonthNum)=1,'Activity Planner'!$F703+ROW()/100000,"")</f>
        <v>0</v>
      </c>
      <c r="R703">
        <f>IF(AND('Activity Planner'!$N703=1,'Activity Planner'!$C703=SelPractice,'Activity Planner'!$AA703&gt;0),'Activity Planner'!$F703+ROW()/100000,"")</f>
        <v>0</v>
      </c>
    </row>
    <row r="704" spans="17:18">
      <c r="Q704">
        <f>IF(INDEX('Activity Planner'!$O704:$Z704,SelMonthNum)=1,'Activity Planner'!$F704+ROW()/100000,"")</f>
        <v>0</v>
      </c>
      <c r="R704">
        <f>IF(AND('Activity Planner'!$N704=1,'Activity Planner'!$C704=SelPractice,'Activity Planner'!$AA704&gt;0),'Activity Planner'!$F704+ROW()/100000,"")</f>
        <v>0</v>
      </c>
    </row>
    <row r="705" spans="17:18">
      <c r="Q705">
        <f>IF(INDEX('Activity Planner'!$O705:$Z705,SelMonthNum)=1,'Activity Planner'!$F705+ROW()/100000,"")</f>
        <v>0</v>
      </c>
      <c r="R705">
        <f>IF(AND('Activity Planner'!$N705=1,'Activity Planner'!$C705=SelPractice,'Activity Planner'!$AA705&gt;0),'Activity Planner'!$F705+ROW()/100000,"")</f>
        <v>0</v>
      </c>
    </row>
    <row r="706" spans="17:18">
      <c r="Q706">
        <f>IF(INDEX('Activity Planner'!$O706:$Z706,SelMonthNum)=1,'Activity Planner'!$F706+ROW()/100000,"")</f>
        <v>0</v>
      </c>
      <c r="R706">
        <f>IF(AND('Activity Planner'!$N706=1,'Activity Planner'!$C706=SelPractice,'Activity Planner'!$AA706&gt;0),'Activity Planner'!$F706+ROW()/100000,"")</f>
        <v>0</v>
      </c>
    </row>
    <row r="707" spans="17:18">
      <c r="Q707">
        <f>IF(INDEX('Activity Planner'!$O707:$Z707,SelMonthNum)=1,'Activity Planner'!$F707+ROW()/100000,"")</f>
        <v>0</v>
      </c>
      <c r="R707">
        <f>IF(AND('Activity Planner'!$N707=1,'Activity Planner'!$C707=SelPractice,'Activity Planner'!$AA707&gt;0),'Activity Planner'!$F707+ROW()/100000,"")</f>
        <v>0</v>
      </c>
    </row>
    <row r="708" spans="17:18">
      <c r="Q708">
        <f>IF(INDEX('Activity Planner'!$O708:$Z708,SelMonthNum)=1,'Activity Planner'!$F708+ROW()/100000,"")</f>
        <v>0</v>
      </c>
      <c r="R708">
        <f>IF(AND('Activity Planner'!$N708=1,'Activity Planner'!$C708=SelPractice,'Activity Planner'!$AA708&gt;0),'Activity Planner'!$F708+ROW()/100000,"")</f>
        <v>0</v>
      </c>
    </row>
    <row r="709" spans="17:18">
      <c r="Q709">
        <f>IF(INDEX('Activity Planner'!$O709:$Z709,SelMonthNum)=1,'Activity Planner'!$F709+ROW()/100000,"")</f>
        <v>0</v>
      </c>
      <c r="R709">
        <f>IF(AND('Activity Planner'!$N709=1,'Activity Planner'!$C709=SelPractice,'Activity Planner'!$AA709&gt;0),'Activity Planner'!$F709+ROW()/100000,"")</f>
        <v>0</v>
      </c>
    </row>
    <row r="710" spans="17:18">
      <c r="Q710">
        <f>IF(INDEX('Activity Planner'!$O710:$Z710,SelMonthNum)=1,'Activity Planner'!$F710+ROW()/100000,"")</f>
        <v>0</v>
      </c>
      <c r="R710">
        <f>IF(AND('Activity Planner'!$N710=1,'Activity Planner'!$C710=SelPractice,'Activity Planner'!$AA710&gt;0),'Activity Planner'!$F710+ROW()/100000,"")</f>
        <v>0</v>
      </c>
    </row>
    <row r="711" spans="17:18">
      <c r="Q711">
        <f>IF(INDEX('Activity Planner'!$O711:$Z711,SelMonthNum)=1,'Activity Planner'!$F711+ROW()/100000,"")</f>
        <v>0</v>
      </c>
      <c r="R711">
        <f>IF(AND('Activity Planner'!$N711=1,'Activity Planner'!$C711=SelPractice,'Activity Planner'!$AA711&gt;0),'Activity Planner'!$F711+ROW()/100000,"")</f>
        <v>0</v>
      </c>
    </row>
    <row r="712" spans="17:18">
      <c r="Q712">
        <f>IF(INDEX('Activity Planner'!$O712:$Z712,SelMonthNum)=1,'Activity Planner'!$F712+ROW()/100000,"")</f>
        <v>0</v>
      </c>
      <c r="R712">
        <f>IF(AND('Activity Planner'!$N712=1,'Activity Planner'!$C712=SelPractice,'Activity Planner'!$AA712&gt;0),'Activity Planner'!$F712+ROW()/100000,"")</f>
        <v>0</v>
      </c>
    </row>
    <row r="713" spans="17:18">
      <c r="Q713">
        <f>IF(INDEX('Activity Planner'!$O713:$Z713,SelMonthNum)=1,'Activity Planner'!$F713+ROW()/100000,"")</f>
        <v>0</v>
      </c>
      <c r="R713">
        <f>IF(AND('Activity Planner'!$N713=1,'Activity Planner'!$C713=SelPractice,'Activity Planner'!$AA713&gt;0),'Activity Planner'!$F713+ROW()/100000,"")</f>
        <v>0</v>
      </c>
    </row>
    <row r="714" spans="17:18">
      <c r="Q714">
        <f>IF(INDEX('Activity Planner'!$O714:$Z714,SelMonthNum)=1,'Activity Planner'!$F714+ROW()/100000,"")</f>
        <v>0</v>
      </c>
      <c r="R714">
        <f>IF(AND('Activity Planner'!$N714=1,'Activity Planner'!$C714=SelPractice,'Activity Planner'!$AA714&gt;0),'Activity Planner'!$F714+ROW()/100000,"")</f>
        <v>0</v>
      </c>
    </row>
    <row r="715" spans="17:18">
      <c r="Q715">
        <f>IF(INDEX('Activity Planner'!$O715:$Z715,SelMonthNum)=1,'Activity Planner'!$F715+ROW()/100000,"")</f>
        <v>0</v>
      </c>
      <c r="R715">
        <f>IF(AND('Activity Planner'!$N715=1,'Activity Planner'!$C715=SelPractice,'Activity Planner'!$AA715&gt;0),'Activity Planner'!$F715+ROW()/100000,"")</f>
        <v>0</v>
      </c>
    </row>
    <row r="716" spans="17:18">
      <c r="Q716">
        <f>IF(INDEX('Activity Planner'!$O716:$Z716,SelMonthNum)=1,'Activity Planner'!$F716+ROW()/100000,"")</f>
        <v>0</v>
      </c>
      <c r="R716">
        <f>IF(AND('Activity Planner'!$N716=1,'Activity Planner'!$C716=SelPractice,'Activity Planner'!$AA716&gt;0),'Activity Planner'!$F716+ROW()/100000,"")</f>
        <v>0</v>
      </c>
    </row>
    <row r="717" spans="17:18">
      <c r="Q717">
        <f>IF(INDEX('Activity Planner'!$O717:$Z717,SelMonthNum)=1,'Activity Planner'!$F717+ROW()/100000,"")</f>
        <v>0</v>
      </c>
      <c r="R717">
        <f>IF(AND('Activity Planner'!$N717=1,'Activity Planner'!$C717=SelPractice,'Activity Planner'!$AA717&gt;0),'Activity Planner'!$F717+ROW()/100000,"")</f>
        <v>0</v>
      </c>
    </row>
    <row r="718" spans="17:18">
      <c r="Q718">
        <f>IF(INDEX('Activity Planner'!$O718:$Z718,SelMonthNum)=1,'Activity Planner'!$F718+ROW()/100000,"")</f>
        <v>0</v>
      </c>
      <c r="R718">
        <f>IF(AND('Activity Planner'!$N718=1,'Activity Planner'!$C718=SelPractice,'Activity Planner'!$AA718&gt;0),'Activity Planner'!$F718+ROW()/100000,"")</f>
        <v>0</v>
      </c>
    </row>
    <row r="719" spans="17:18">
      <c r="Q719">
        <f>IF(INDEX('Activity Planner'!$O719:$Z719,SelMonthNum)=1,'Activity Planner'!$F719+ROW()/100000,"")</f>
        <v>0</v>
      </c>
      <c r="R719">
        <f>IF(AND('Activity Planner'!$N719=1,'Activity Planner'!$C719=SelPractice,'Activity Planner'!$AA719&gt;0),'Activity Planner'!$F719+ROW()/100000,"")</f>
        <v>0</v>
      </c>
    </row>
    <row r="720" spans="17:18">
      <c r="Q720">
        <f>IF(INDEX('Activity Planner'!$O720:$Z720,SelMonthNum)=1,'Activity Planner'!$F720+ROW()/100000,"")</f>
        <v>0</v>
      </c>
      <c r="R720">
        <f>IF(AND('Activity Planner'!$N720=1,'Activity Planner'!$C720=SelPractice,'Activity Planner'!$AA720&gt;0),'Activity Planner'!$F720+ROW()/100000,"")</f>
        <v>0</v>
      </c>
    </row>
    <row r="721" spans="17:18">
      <c r="Q721">
        <f>IF(INDEX('Activity Planner'!$O721:$Z721,SelMonthNum)=1,'Activity Planner'!$F721+ROW()/100000,"")</f>
        <v>0</v>
      </c>
      <c r="R721">
        <f>IF(AND('Activity Planner'!$N721=1,'Activity Planner'!$C721=SelPractice,'Activity Planner'!$AA721&gt;0),'Activity Planner'!$F721+ROW()/100000,"")</f>
        <v>0</v>
      </c>
    </row>
    <row r="722" spans="17:18">
      <c r="Q722">
        <f>IF(INDEX('Activity Planner'!$O722:$Z722,SelMonthNum)=1,'Activity Planner'!$F722+ROW()/100000,"")</f>
        <v>0</v>
      </c>
      <c r="R722">
        <f>IF(AND('Activity Planner'!$N722=1,'Activity Planner'!$C722=SelPractice,'Activity Planner'!$AA722&gt;0),'Activity Planner'!$F722+ROW()/100000,"")</f>
        <v>0</v>
      </c>
    </row>
    <row r="723" spans="17:18">
      <c r="Q723">
        <f>IF(INDEX('Activity Planner'!$O723:$Z723,SelMonthNum)=1,'Activity Planner'!$F723+ROW()/100000,"")</f>
        <v>0</v>
      </c>
      <c r="R723">
        <f>IF(AND('Activity Planner'!$N723=1,'Activity Planner'!$C723=SelPractice,'Activity Planner'!$AA723&gt;0),'Activity Planner'!$F723+ROW()/100000,"")</f>
        <v>0</v>
      </c>
    </row>
    <row r="724" spans="17:18">
      <c r="Q724">
        <f>IF(INDEX('Activity Planner'!$O724:$Z724,SelMonthNum)=1,'Activity Planner'!$F724+ROW()/100000,"")</f>
        <v>0</v>
      </c>
      <c r="R724">
        <f>IF(AND('Activity Planner'!$N724=1,'Activity Planner'!$C724=SelPractice,'Activity Planner'!$AA724&gt;0),'Activity Planner'!$F724+ROW()/100000,"")</f>
        <v>0</v>
      </c>
    </row>
    <row r="725" spans="17:18">
      <c r="Q725">
        <f>IF(INDEX('Activity Planner'!$O725:$Z725,SelMonthNum)=1,'Activity Planner'!$F725+ROW()/100000,"")</f>
        <v>0</v>
      </c>
      <c r="R725">
        <f>IF(AND('Activity Planner'!$N725=1,'Activity Planner'!$C725=SelPractice,'Activity Planner'!$AA725&gt;0),'Activity Planner'!$F725+ROW()/100000,"")</f>
        <v>0</v>
      </c>
    </row>
    <row r="726" spans="17:18">
      <c r="Q726">
        <f>IF(INDEX('Activity Planner'!$O726:$Z726,SelMonthNum)=1,'Activity Planner'!$F726+ROW()/100000,"")</f>
        <v>0</v>
      </c>
      <c r="R726">
        <f>IF(AND('Activity Planner'!$N726=1,'Activity Planner'!$C726=SelPractice,'Activity Planner'!$AA726&gt;0),'Activity Planner'!$F726+ROW()/100000,"")</f>
        <v>0</v>
      </c>
    </row>
    <row r="727" spans="17:18">
      <c r="Q727">
        <f>IF(INDEX('Activity Planner'!$O727:$Z727,SelMonthNum)=1,'Activity Planner'!$F727+ROW()/100000,"")</f>
        <v>0</v>
      </c>
      <c r="R727">
        <f>IF(AND('Activity Planner'!$N727=1,'Activity Planner'!$C727=SelPractice,'Activity Planner'!$AA727&gt;0),'Activity Planner'!$F727+ROW()/100000,"")</f>
        <v>0</v>
      </c>
    </row>
    <row r="728" spans="17:18">
      <c r="Q728">
        <f>IF(INDEX('Activity Planner'!$O728:$Z728,SelMonthNum)=1,'Activity Planner'!$F728+ROW()/100000,"")</f>
        <v>0</v>
      </c>
      <c r="R728">
        <f>IF(AND('Activity Planner'!$N728=1,'Activity Planner'!$C728=SelPractice,'Activity Planner'!$AA728&gt;0),'Activity Planner'!$F728+ROW()/100000,"")</f>
        <v>0</v>
      </c>
    </row>
    <row r="729" spans="17:18">
      <c r="Q729">
        <f>IF(INDEX('Activity Planner'!$O729:$Z729,SelMonthNum)=1,'Activity Planner'!$F729+ROW()/100000,"")</f>
        <v>0</v>
      </c>
      <c r="R729">
        <f>IF(AND('Activity Planner'!$N729=1,'Activity Planner'!$C729=SelPractice,'Activity Planner'!$AA729&gt;0),'Activity Planner'!$F729+ROW()/100000,"")</f>
        <v>0</v>
      </c>
    </row>
    <row r="730" spans="17:18">
      <c r="Q730">
        <f>IF(INDEX('Activity Planner'!$O730:$Z730,SelMonthNum)=1,'Activity Planner'!$F730+ROW()/100000,"")</f>
        <v>0</v>
      </c>
      <c r="R730">
        <f>IF(AND('Activity Planner'!$N730=1,'Activity Planner'!$C730=SelPractice,'Activity Planner'!$AA730&gt;0),'Activity Planner'!$F730+ROW()/100000,"")</f>
        <v>0</v>
      </c>
    </row>
    <row r="731" spans="17:18">
      <c r="Q731">
        <f>IF(INDEX('Activity Planner'!$O731:$Z731,SelMonthNum)=1,'Activity Planner'!$F731+ROW()/100000,"")</f>
        <v>0</v>
      </c>
      <c r="R731">
        <f>IF(AND('Activity Planner'!$N731=1,'Activity Planner'!$C731=SelPractice,'Activity Planner'!$AA731&gt;0),'Activity Planner'!$F731+ROW()/100000,"")</f>
        <v>0</v>
      </c>
    </row>
    <row r="732" spans="17:18">
      <c r="Q732">
        <f>IF(INDEX('Activity Planner'!$O732:$Z732,SelMonthNum)=1,'Activity Planner'!$F732+ROW()/100000,"")</f>
        <v>0</v>
      </c>
      <c r="R732">
        <f>IF(AND('Activity Planner'!$N732=1,'Activity Planner'!$C732=SelPractice,'Activity Planner'!$AA732&gt;0),'Activity Planner'!$F732+ROW()/100000,"")</f>
        <v>0</v>
      </c>
    </row>
    <row r="733" spans="17:18">
      <c r="Q733">
        <f>IF(INDEX('Activity Planner'!$O733:$Z733,SelMonthNum)=1,'Activity Planner'!$F733+ROW()/100000,"")</f>
        <v>0</v>
      </c>
      <c r="R733">
        <f>IF(AND('Activity Planner'!$N733=1,'Activity Planner'!$C733=SelPractice,'Activity Planner'!$AA733&gt;0),'Activity Planner'!$F733+ROW()/100000,"")</f>
        <v>0</v>
      </c>
    </row>
    <row r="734" spans="17:18">
      <c r="Q734">
        <f>IF(INDEX('Activity Planner'!$O734:$Z734,SelMonthNum)=1,'Activity Planner'!$F734+ROW()/100000,"")</f>
        <v>0</v>
      </c>
      <c r="R734">
        <f>IF(AND('Activity Planner'!$N734=1,'Activity Planner'!$C734=SelPractice,'Activity Planner'!$AA734&gt;0),'Activity Planner'!$F734+ROW()/100000,"")</f>
        <v>0</v>
      </c>
    </row>
    <row r="735" spans="17:18">
      <c r="Q735">
        <f>IF(INDEX('Activity Planner'!$O735:$Z735,SelMonthNum)=1,'Activity Planner'!$F735+ROW()/100000,"")</f>
        <v>0</v>
      </c>
      <c r="R735">
        <f>IF(AND('Activity Planner'!$N735=1,'Activity Planner'!$C735=SelPractice,'Activity Planner'!$AA735&gt;0),'Activity Planner'!$F735+ROW()/100000,"")</f>
        <v>0</v>
      </c>
    </row>
    <row r="736" spans="17:18">
      <c r="Q736">
        <f>IF(INDEX('Activity Planner'!$O736:$Z736,SelMonthNum)=1,'Activity Planner'!$F736+ROW()/100000,"")</f>
        <v>0</v>
      </c>
      <c r="R736">
        <f>IF(AND('Activity Planner'!$N736=1,'Activity Planner'!$C736=SelPractice,'Activity Planner'!$AA736&gt;0),'Activity Planner'!$F736+ROW()/100000,"")</f>
        <v>0</v>
      </c>
    </row>
    <row r="737" spans="17:18">
      <c r="Q737">
        <f>IF(INDEX('Activity Planner'!$O737:$Z737,SelMonthNum)=1,'Activity Planner'!$F737+ROW()/100000,"")</f>
        <v>0</v>
      </c>
      <c r="R737">
        <f>IF(AND('Activity Planner'!$N737=1,'Activity Planner'!$C737=SelPractice,'Activity Planner'!$AA737&gt;0),'Activity Planner'!$F737+ROW()/100000,"")</f>
        <v>0</v>
      </c>
    </row>
    <row r="738" spans="17:18">
      <c r="Q738">
        <f>IF(INDEX('Activity Planner'!$O738:$Z738,SelMonthNum)=1,'Activity Planner'!$F738+ROW()/100000,"")</f>
        <v>0</v>
      </c>
      <c r="R738">
        <f>IF(AND('Activity Planner'!$N738=1,'Activity Planner'!$C738=SelPractice,'Activity Planner'!$AA738&gt;0),'Activity Planner'!$F738+ROW()/100000,"")</f>
        <v>0</v>
      </c>
    </row>
    <row r="739" spans="17:18">
      <c r="Q739">
        <f>IF(INDEX('Activity Planner'!$O739:$Z739,SelMonthNum)=1,'Activity Planner'!$F739+ROW()/100000,"")</f>
        <v>0</v>
      </c>
      <c r="R739">
        <f>IF(AND('Activity Planner'!$N739=1,'Activity Planner'!$C739=SelPractice,'Activity Planner'!$AA739&gt;0),'Activity Planner'!$F739+ROW()/100000,"")</f>
        <v>0</v>
      </c>
    </row>
    <row r="740" spans="17:18">
      <c r="Q740">
        <f>IF(INDEX('Activity Planner'!$O740:$Z740,SelMonthNum)=1,'Activity Planner'!$F740+ROW()/100000,"")</f>
        <v>0</v>
      </c>
      <c r="R740">
        <f>IF(AND('Activity Planner'!$N740=1,'Activity Planner'!$C740=SelPractice,'Activity Planner'!$AA740&gt;0),'Activity Planner'!$F740+ROW()/100000,"")</f>
        <v>0</v>
      </c>
    </row>
    <row r="741" spans="17:18">
      <c r="Q741">
        <f>IF(INDEX('Activity Planner'!$O741:$Z741,SelMonthNum)=1,'Activity Planner'!$F741+ROW()/100000,"")</f>
        <v>0</v>
      </c>
      <c r="R741">
        <f>IF(AND('Activity Planner'!$N741=1,'Activity Planner'!$C741=SelPractice,'Activity Planner'!$AA741&gt;0),'Activity Planner'!$F741+ROW()/100000,"")</f>
        <v>0</v>
      </c>
    </row>
    <row r="742" spans="17:18">
      <c r="Q742">
        <f>IF(INDEX('Activity Planner'!$O742:$Z742,SelMonthNum)=1,'Activity Planner'!$F742+ROW()/100000,"")</f>
        <v>0</v>
      </c>
      <c r="R742">
        <f>IF(AND('Activity Planner'!$N742=1,'Activity Planner'!$C742=SelPractice,'Activity Planner'!$AA742&gt;0),'Activity Planner'!$F742+ROW()/100000,"")</f>
        <v>0</v>
      </c>
    </row>
    <row r="743" spans="17:18">
      <c r="Q743">
        <f>IF(INDEX('Activity Planner'!$O743:$Z743,SelMonthNum)=1,'Activity Planner'!$F743+ROW()/100000,"")</f>
        <v>0</v>
      </c>
      <c r="R743">
        <f>IF(AND('Activity Planner'!$N743=1,'Activity Planner'!$C743=SelPractice,'Activity Planner'!$AA743&gt;0),'Activity Planner'!$F743+ROW()/100000,"")</f>
        <v>0</v>
      </c>
    </row>
    <row r="744" spans="17:18">
      <c r="Q744">
        <f>IF(INDEX('Activity Planner'!$O744:$Z744,SelMonthNum)=1,'Activity Planner'!$F744+ROW()/100000,"")</f>
        <v>0</v>
      </c>
      <c r="R744">
        <f>IF(AND('Activity Planner'!$N744=1,'Activity Planner'!$C744=SelPractice,'Activity Planner'!$AA744&gt;0),'Activity Planner'!$F744+ROW()/100000,"")</f>
        <v>0</v>
      </c>
    </row>
    <row r="745" spans="17:18">
      <c r="Q745">
        <f>IF(INDEX('Activity Planner'!$O745:$Z745,SelMonthNum)=1,'Activity Planner'!$F745+ROW()/100000,"")</f>
        <v>0</v>
      </c>
      <c r="R745">
        <f>IF(AND('Activity Planner'!$N745=1,'Activity Planner'!$C745=SelPractice,'Activity Planner'!$AA745&gt;0),'Activity Planner'!$F745+ROW()/100000,"")</f>
        <v>0</v>
      </c>
    </row>
    <row r="746" spans="17:18">
      <c r="Q746">
        <f>IF(INDEX('Activity Planner'!$O746:$Z746,SelMonthNum)=1,'Activity Planner'!$F746+ROW()/100000,"")</f>
        <v>0</v>
      </c>
      <c r="R746">
        <f>IF(AND('Activity Planner'!$N746=1,'Activity Planner'!$C746=SelPractice,'Activity Planner'!$AA746&gt;0),'Activity Planner'!$F746+ROW()/100000,"")</f>
        <v>0</v>
      </c>
    </row>
    <row r="747" spans="17:18">
      <c r="Q747">
        <f>IF(INDEX('Activity Planner'!$O747:$Z747,SelMonthNum)=1,'Activity Planner'!$F747+ROW()/100000,"")</f>
        <v>0</v>
      </c>
      <c r="R747">
        <f>IF(AND('Activity Planner'!$N747=1,'Activity Planner'!$C747=SelPractice,'Activity Planner'!$AA747&gt;0),'Activity Planner'!$F747+ROW()/100000,"")</f>
        <v>0</v>
      </c>
    </row>
    <row r="748" spans="17:18">
      <c r="Q748">
        <f>IF(INDEX('Activity Planner'!$O748:$Z748,SelMonthNum)=1,'Activity Planner'!$F748+ROW()/100000,"")</f>
        <v>0</v>
      </c>
      <c r="R748">
        <f>IF(AND('Activity Planner'!$N748=1,'Activity Planner'!$C748=SelPractice,'Activity Planner'!$AA748&gt;0),'Activity Planner'!$F748+ROW()/100000,"")</f>
        <v>0</v>
      </c>
    </row>
    <row r="749" spans="17:18">
      <c r="Q749">
        <f>IF(INDEX('Activity Planner'!$O749:$Z749,SelMonthNum)=1,'Activity Planner'!$F749+ROW()/100000,"")</f>
        <v>0</v>
      </c>
      <c r="R749">
        <f>IF(AND('Activity Planner'!$N749=1,'Activity Planner'!$C749=SelPractice,'Activity Planner'!$AA749&gt;0),'Activity Planner'!$F749+ROW()/100000,"")</f>
        <v>0</v>
      </c>
    </row>
    <row r="750" spans="17:18">
      <c r="Q750">
        <f>IF(INDEX('Activity Planner'!$O750:$Z750,SelMonthNum)=1,'Activity Planner'!$F750+ROW()/100000,"")</f>
        <v>0</v>
      </c>
      <c r="R750">
        <f>IF(AND('Activity Planner'!$N750=1,'Activity Planner'!$C750=SelPractice,'Activity Planner'!$AA750&gt;0),'Activity Planner'!$F750+ROW()/100000,"")</f>
        <v>0</v>
      </c>
    </row>
    <row r="751" spans="17:18">
      <c r="Q751">
        <f>IF(INDEX('Activity Planner'!$O751:$Z751,SelMonthNum)=1,'Activity Planner'!$F751+ROW()/100000,"")</f>
        <v>0</v>
      </c>
      <c r="R751">
        <f>IF(AND('Activity Planner'!$N751=1,'Activity Planner'!$C751=SelPractice,'Activity Planner'!$AA751&gt;0),'Activity Planner'!$F751+ROW()/100000,"")</f>
        <v>0</v>
      </c>
    </row>
    <row r="752" spans="17:18">
      <c r="Q752">
        <f>IF(INDEX('Activity Planner'!$O752:$Z752,SelMonthNum)=1,'Activity Planner'!$F752+ROW()/100000,"")</f>
        <v>0</v>
      </c>
      <c r="R752">
        <f>IF(AND('Activity Planner'!$N752=1,'Activity Planner'!$C752=SelPractice,'Activity Planner'!$AA752&gt;0),'Activity Planner'!$F752+ROW()/100000,"")</f>
        <v>0</v>
      </c>
    </row>
    <row r="753" spans="17:18">
      <c r="Q753">
        <f>IF(INDEX('Activity Planner'!$O753:$Z753,SelMonthNum)=1,'Activity Planner'!$F753+ROW()/100000,"")</f>
        <v>0</v>
      </c>
      <c r="R753">
        <f>IF(AND('Activity Planner'!$N753=1,'Activity Planner'!$C753=SelPractice,'Activity Planner'!$AA753&gt;0),'Activity Planner'!$F753+ROW()/100000,"")</f>
        <v>0</v>
      </c>
    </row>
    <row r="754" spans="17:18">
      <c r="Q754">
        <f>IF(INDEX('Activity Planner'!$O754:$Z754,SelMonthNum)=1,'Activity Planner'!$F754+ROW()/100000,"")</f>
        <v>0</v>
      </c>
      <c r="R754">
        <f>IF(AND('Activity Planner'!$N754=1,'Activity Planner'!$C754=SelPractice,'Activity Planner'!$AA754&gt;0),'Activity Planner'!$F754+ROW()/100000,"")</f>
        <v>0</v>
      </c>
    </row>
    <row r="755" spans="17:18">
      <c r="Q755">
        <f>IF(INDEX('Activity Planner'!$O755:$Z755,SelMonthNum)=1,'Activity Planner'!$F755+ROW()/100000,"")</f>
        <v>0</v>
      </c>
      <c r="R755">
        <f>IF(AND('Activity Planner'!$N755=1,'Activity Planner'!$C755=SelPractice,'Activity Planner'!$AA755&gt;0),'Activity Planner'!$F755+ROW()/100000,"")</f>
        <v>0</v>
      </c>
    </row>
    <row r="756" spans="17:18">
      <c r="Q756">
        <f>IF(INDEX('Activity Planner'!$O756:$Z756,SelMonthNum)=1,'Activity Planner'!$F756+ROW()/100000,"")</f>
        <v>0</v>
      </c>
      <c r="R756">
        <f>IF(AND('Activity Planner'!$N756=1,'Activity Planner'!$C756=SelPractice,'Activity Planner'!$AA756&gt;0),'Activity Planner'!$F756+ROW()/100000,"")</f>
        <v>0</v>
      </c>
    </row>
    <row r="757" spans="17:18">
      <c r="Q757">
        <f>IF(INDEX('Activity Planner'!$O757:$Z757,SelMonthNum)=1,'Activity Planner'!$F757+ROW()/100000,"")</f>
        <v>0</v>
      </c>
      <c r="R757">
        <f>IF(AND('Activity Planner'!$N757=1,'Activity Planner'!$C757=SelPractice,'Activity Planner'!$AA757&gt;0),'Activity Planner'!$F757+ROW()/100000,"")</f>
        <v>0</v>
      </c>
    </row>
    <row r="758" spans="17:18">
      <c r="Q758">
        <f>IF(INDEX('Activity Planner'!$O758:$Z758,SelMonthNum)=1,'Activity Planner'!$F758+ROW()/100000,"")</f>
        <v>0</v>
      </c>
      <c r="R758">
        <f>IF(AND('Activity Planner'!$N758=1,'Activity Planner'!$C758=SelPractice,'Activity Planner'!$AA758&gt;0),'Activity Planner'!$F758+ROW()/100000,"")</f>
        <v>0</v>
      </c>
    </row>
    <row r="759" spans="17:18">
      <c r="Q759">
        <f>IF(INDEX('Activity Planner'!$O759:$Z759,SelMonthNum)=1,'Activity Planner'!$F759+ROW()/100000,"")</f>
        <v>0</v>
      </c>
      <c r="R759">
        <f>IF(AND('Activity Planner'!$N759=1,'Activity Planner'!$C759=SelPractice,'Activity Planner'!$AA759&gt;0),'Activity Planner'!$F759+ROW()/100000,"")</f>
        <v>0</v>
      </c>
    </row>
    <row r="760" spans="17:18">
      <c r="Q760">
        <f>IF(INDEX('Activity Planner'!$O760:$Z760,SelMonthNum)=1,'Activity Planner'!$F760+ROW()/100000,"")</f>
        <v>0</v>
      </c>
      <c r="R760">
        <f>IF(AND('Activity Planner'!$N760=1,'Activity Planner'!$C760=SelPractice,'Activity Planner'!$AA760&gt;0),'Activity Planner'!$F760+ROW()/100000,"")</f>
        <v>0</v>
      </c>
    </row>
    <row r="761" spans="17:18">
      <c r="Q761">
        <f>IF(INDEX('Activity Planner'!$O761:$Z761,SelMonthNum)=1,'Activity Planner'!$F761+ROW()/100000,"")</f>
        <v>0</v>
      </c>
      <c r="R761">
        <f>IF(AND('Activity Planner'!$N761=1,'Activity Planner'!$C761=SelPractice,'Activity Planner'!$AA761&gt;0),'Activity Planner'!$F761+ROW()/100000,"")</f>
        <v>0</v>
      </c>
    </row>
    <row r="762" spans="17:18">
      <c r="Q762">
        <f>IF(INDEX('Activity Planner'!$O762:$Z762,SelMonthNum)=1,'Activity Planner'!$F762+ROW()/100000,"")</f>
        <v>0</v>
      </c>
      <c r="R762">
        <f>IF(AND('Activity Planner'!$N762=1,'Activity Planner'!$C762=SelPractice,'Activity Planner'!$AA762&gt;0),'Activity Planner'!$F762+ROW()/100000,"")</f>
        <v>0</v>
      </c>
    </row>
    <row r="763" spans="17:18">
      <c r="Q763">
        <f>IF(INDEX('Activity Planner'!$O763:$Z763,SelMonthNum)=1,'Activity Planner'!$F763+ROW()/100000,"")</f>
        <v>0</v>
      </c>
      <c r="R763">
        <f>IF(AND('Activity Planner'!$N763=1,'Activity Planner'!$C763=SelPractice,'Activity Planner'!$AA763&gt;0),'Activity Planner'!$F763+ROW()/100000,"")</f>
        <v>0</v>
      </c>
    </row>
    <row r="764" spans="17:18">
      <c r="Q764">
        <f>IF(INDEX('Activity Planner'!$O764:$Z764,SelMonthNum)=1,'Activity Planner'!$F764+ROW()/100000,"")</f>
        <v>0</v>
      </c>
      <c r="R764">
        <f>IF(AND('Activity Planner'!$N764=1,'Activity Planner'!$C764=SelPractice,'Activity Planner'!$AA764&gt;0),'Activity Planner'!$F764+ROW()/100000,"")</f>
        <v>0</v>
      </c>
    </row>
    <row r="765" spans="17:18">
      <c r="Q765">
        <f>IF(INDEX('Activity Planner'!$O765:$Z765,SelMonthNum)=1,'Activity Planner'!$F765+ROW()/100000,"")</f>
        <v>0</v>
      </c>
      <c r="R765">
        <f>IF(AND('Activity Planner'!$N765=1,'Activity Planner'!$C765=SelPractice,'Activity Planner'!$AA765&gt;0),'Activity Planner'!$F765+ROW()/100000,"")</f>
        <v>0</v>
      </c>
    </row>
    <row r="766" spans="17:18">
      <c r="Q766">
        <f>IF(INDEX('Activity Planner'!$O766:$Z766,SelMonthNum)=1,'Activity Planner'!$F766+ROW()/100000,"")</f>
        <v>0</v>
      </c>
      <c r="R766">
        <f>IF(AND('Activity Planner'!$N766=1,'Activity Planner'!$C766=SelPractice,'Activity Planner'!$AA766&gt;0),'Activity Planner'!$F766+ROW()/100000,"")</f>
        <v>0</v>
      </c>
    </row>
    <row r="767" spans="17:18">
      <c r="Q767">
        <f>IF(INDEX('Activity Planner'!$O767:$Z767,SelMonthNum)=1,'Activity Planner'!$F767+ROW()/100000,"")</f>
        <v>0</v>
      </c>
      <c r="R767">
        <f>IF(AND('Activity Planner'!$N767=1,'Activity Planner'!$C767=SelPractice,'Activity Planner'!$AA767&gt;0),'Activity Planner'!$F767+ROW()/100000,"")</f>
        <v>0</v>
      </c>
    </row>
    <row r="768" spans="17:18">
      <c r="Q768">
        <f>IF(INDEX('Activity Planner'!$O768:$Z768,SelMonthNum)=1,'Activity Planner'!$F768+ROW()/100000,"")</f>
        <v>0</v>
      </c>
      <c r="R768">
        <f>IF(AND('Activity Planner'!$N768=1,'Activity Planner'!$C768=SelPractice,'Activity Planner'!$AA768&gt;0),'Activity Planner'!$F768+ROW()/100000,"")</f>
        <v>0</v>
      </c>
    </row>
    <row r="769" spans="17:18">
      <c r="Q769">
        <f>IF(INDEX('Activity Planner'!$O769:$Z769,SelMonthNum)=1,'Activity Planner'!$F769+ROW()/100000,"")</f>
        <v>0</v>
      </c>
      <c r="R769">
        <f>IF(AND('Activity Planner'!$N769=1,'Activity Planner'!$C769=SelPractice,'Activity Planner'!$AA769&gt;0),'Activity Planner'!$F769+ROW()/100000,"")</f>
        <v>0</v>
      </c>
    </row>
    <row r="770" spans="17:18">
      <c r="Q770">
        <f>IF(INDEX('Activity Planner'!$O770:$Z770,SelMonthNum)=1,'Activity Planner'!$F770+ROW()/100000,"")</f>
        <v>0</v>
      </c>
      <c r="R770">
        <f>IF(AND('Activity Planner'!$N770=1,'Activity Planner'!$C770=SelPractice,'Activity Planner'!$AA770&gt;0),'Activity Planner'!$F770+ROW()/100000,"")</f>
        <v>0</v>
      </c>
    </row>
    <row r="771" spans="17:18">
      <c r="Q771">
        <f>IF(INDEX('Activity Planner'!$O771:$Z771,SelMonthNum)=1,'Activity Planner'!$F771+ROW()/100000,"")</f>
        <v>0</v>
      </c>
      <c r="R771">
        <f>IF(AND('Activity Planner'!$N771=1,'Activity Planner'!$C771=SelPractice,'Activity Planner'!$AA771&gt;0),'Activity Planner'!$F771+ROW()/100000,"")</f>
        <v>0</v>
      </c>
    </row>
    <row r="772" spans="17:18">
      <c r="Q772">
        <f>IF(INDEX('Activity Planner'!$O772:$Z772,SelMonthNum)=1,'Activity Planner'!$F772+ROW()/100000,"")</f>
        <v>0</v>
      </c>
      <c r="R772">
        <f>IF(AND('Activity Planner'!$N772=1,'Activity Planner'!$C772=SelPractice,'Activity Planner'!$AA772&gt;0),'Activity Planner'!$F772+ROW()/100000,"")</f>
        <v>0</v>
      </c>
    </row>
    <row r="773" spans="17:18">
      <c r="Q773">
        <f>IF(INDEX('Activity Planner'!$O773:$Z773,SelMonthNum)=1,'Activity Planner'!$F773+ROW()/100000,"")</f>
        <v>0</v>
      </c>
      <c r="R773">
        <f>IF(AND('Activity Planner'!$N773=1,'Activity Planner'!$C773=SelPractice,'Activity Planner'!$AA773&gt;0),'Activity Planner'!$F773+ROW()/100000,"")</f>
        <v>0</v>
      </c>
    </row>
    <row r="774" spans="17:18">
      <c r="Q774">
        <f>IF(INDEX('Activity Planner'!$O774:$Z774,SelMonthNum)=1,'Activity Planner'!$F774+ROW()/100000,"")</f>
        <v>0</v>
      </c>
      <c r="R774">
        <f>IF(AND('Activity Planner'!$N774=1,'Activity Planner'!$C774=SelPractice,'Activity Planner'!$AA774&gt;0),'Activity Planner'!$F774+ROW()/100000,"")</f>
        <v>0</v>
      </c>
    </row>
    <row r="775" spans="17:18">
      <c r="Q775">
        <f>IF(INDEX('Activity Planner'!$O775:$Z775,SelMonthNum)=1,'Activity Planner'!$F775+ROW()/100000,"")</f>
        <v>0</v>
      </c>
      <c r="R775">
        <f>IF(AND('Activity Planner'!$N775=1,'Activity Planner'!$C775=SelPractice,'Activity Planner'!$AA775&gt;0),'Activity Planner'!$F775+ROW()/100000,"")</f>
        <v>0</v>
      </c>
    </row>
    <row r="776" spans="17:18">
      <c r="Q776">
        <f>IF(INDEX('Activity Planner'!$O776:$Z776,SelMonthNum)=1,'Activity Planner'!$F776+ROW()/100000,"")</f>
        <v>0</v>
      </c>
      <c r="R776">
        <f>IF(AND('Activity Planner'!$N776=1,'Activity Planner'!$C776=SelPractice,'Activity Planner'!$AA776&gt;0),'Activity Planner'!$F776+ROW()/100000,"")</f>
        <v>0</v>
      </c>
    </row>
    <row r="777" spans="17:18">
      <c r="Q777">
        <f>IF(INDEX('Activity Planner'!$O777:$Z777,SelMonthNum)=1,'Activity Planner'!$F777+ROW()/100000,"")</f>
        <v>0</v>
      </c>
      <c r="R777">
        <f>IF(AND('Activity Planner'!$N777=1,'Activity Planner'!$C777=SelPractice,'Activity Planner'!$AA777&gt;0),'Activity Planner'!$F777+ROW()/100000,"")</f>
        <v>0</v>
      </c>
    </row>
    <row r="778" spans="17:18">
      <c r="Q778">
        <f>IF(INDEX('Activity Planner'!$O778:$Z778,SelMonthNum)=1,'Activity Planner'!$F778+ROW()/100000,"")</f>
        <v>0</v>
      </c>
      <c r="R778">
        <f>IF(AND('Activity Planner'!$N778=1,'Activity Planner'!$C778=SelPractice,'Activity Planner'!$AA778&gt;0),'Activity Planner'!$F778+ROW()/100000,"")</f>
        <v>0</v>
      </c>
    </row>
    <row r="779" spans="17:18">
      <c r="Q779">
        <f>IF(INDEX('Activity Planner'!$O779:$Z779,SelMonthNum)=1,'Activity Planner'!$F779+ROW()/100000,"")</f>
        <v>0</v>
      </c>
      <c r="R779">
        <f>IF(AND('Activity Planner'!$N779=1,'Activity Planner'!$C779=SelPractice,'Activity Planner'!$AA779&gt;0),'Activity Planner'!$F779+ROW()/100000,"")</f>
        <v>0</v>
      </c>
    </row>
    <row r="780" spans="17:18">
      <c r="Q780">
        <f>IF(INDEX('Activity Planner'!$O780:$Z780,SelMonthNum)=1,'Activity Planner'!$F780+ROW()/100000,"")</f>
        <v>0</v>
      </c>
      <c r="R780">
        <f>IF(AND('Activity Planner'!$N780=1,'Activity Planner'!$C780=SelPractice,'Activity Planner'!$AA780&gt;0),'Activity Planner'!$F780+ROW()/100000,"")</f>
        <v>0</v>
      </c>
    </row>
    <row r="781" spans="17:18">
      <c r="Q781">
        <f>IF(INDEX('Activity Planner'!$O781:$Z781,SelMonthNum)=1,'Activity Planner'!$F781+ROW()/100000,"")</f>
        <v>0</v>
      </c>
      <c r="R781">
        <f>IF(AND('Activity Planner'!$N781=1,'Activity Planner'!$C781=SelPractice,'Activity Planner'!$AA781&gt;0),'Activity Planner'!$F781+ROW()/100000,"")</f>
        <v>0</v>
      </c>
    </row>
    <row r="782" spans="17:18">
      <c r="Q782">
        <f>IF(INDEX('Activity Planner'!$O782:$Z782,SelMonthNum)=1,'Activity Planner'!$F782+ROW()/100000,"")</f>
        <v>0</v>
      </c>
      <c r="R782">
        <f>IF(AND('Activity Planner'!$N782=1,'Activity Planner'!$C782=SelPractice,'Activity Planner'!$AA782&gt;0),'Activity Planner'!$F782+ROW()/100000,"")</f>
        <v>0</v>
      </c>
    </row>
    <row r="783" spans="17:18">
      <c r="Q783">
        <f>IF(INDEX('Activity Planner'!$O783:$Z783,SelMonthNum)=1,'Activity Planner'!$F783+ROW()/100000,"")</f>
        <v>0</v>
      </c>
      <c r="R783">
        <f>IF(AND('Activity Planner'!$N783=1,'Activity Planner'!$C783=SelPractice,'Activity Planner'!$AA783&gt;0),'Activity Planner'!$F783+ROW()/100000,"")</f>
        <v>0</v>
      </c>
    </row>
    <row r="784" spans="17:18">
      <c r="Q784">
        <f>IF(INDEX('Activity Planner'!$O784:$Z784,SelMonthNum)=1,'Activity Planner'!$F784+ROW()/100000,"")</f>
        <v>0</v>
      </c>
      <c r="R784">
        <f>IF(AND('Activity Planner'!$N784=1,'Activity Planner'!$C784=SelPractice,'Activity Planner'!$AA784&gt;0),'Activity Planner'!$F784+ROW()/100000,"")</f>
        <v>0</v>
      </c>
    </row>
    <row r="785" spans="17:18">
      <c r="Q785">
        <f>IF(INDEX('Activity Planner'!$O785:$Z785,SelMonthNum)=1,'Activity Planner'!$F785+ROW()/100000,"")</f>
        <v>0</v>
      </c>
      <c r="R785">
        <f>IF(AND('Activity Planner'!$N785=1,'Activity Planner'!$C785=SelPractice,'Activity Planner'!$AA785&gt;0),'Activity Planner'!$F785+ROW()/100000,"")</f>
        <v>0</v>
      </c>
    </row>
    <row r="786" spans="17:18">
      <c r="Q786">
        <f>IF(INDEX('Activity Planner'!$O786:$Z786,SelMonthNum)=1,'Activity Planner'!$F786+ROW()/100000,"")</f>
        <v>0</v>
      </c>
      <c r="R786">
        <f>IF(AND('Activity Planner'!$N786=1,'Activity Planner'!$C786=SelPractice,'Activity Planner'!$AA786&gt;0),'Activity Planner'!$F786+ROW()/100000,"")</f>
        <v>0</v>
      </c>
    </row>
    <row r="787" spans="17:18">
      <c r="Q787">
        <f>IF(INDEX('Activity Planner'!$O787:$Z787,SelMonthNum)=1,'Activity Planner'!$F787+ROW()/100000,"")</f>
        <v>0</v>
      </c>
      <c r="R787">
        <f>IF(AND('Activity Planner'!$N787=1,'Activity Planner'!$C787=SelPractice,'Activity Planner'!$AA787&gt;0),'Activity Planner'!$F787+ROW()/100000,"")</f>
        <v>0</v>
      </c>
    </row>
    <row r="788" spans="17:18">
      <c r="Q788">
        <f>IF(INDEX('Activity Planner'!$O788:$Z788,SelMonthNum)=1,'Activity Planner'!$F788+ROW()/100000,"")</f>
        <v>0</v>
      </c>
      <c r="R788">
        <f>IF(AND('Activity Planner'!$N788=1,'Activity Planner'!$C788=SelPractice,'Activity Planner'!$AA788&gt;0),'Activity Planner'!$F788+ROW()/100000,"")</f>
        <v>0</v>
      </c>
    </row>
    <row r="789" spans="17:18">
      <c r="Q789">
        <f>IF(INDEX('Activity Planner'!$O789:$Z789,SelMonthNum)=1,'Activity Planner'!$F789+ROW()/100000,"")</f>
        <v>0</v>
      </c>
      <c r="R789">
        <f>IF(AND('Activity Planner'!$N789=1,'Activity Planner'!$C789=SelPractice,'Activity Planner'!$AA789&gt;0),'Activity Planner'!$F789+ROW()/100000,"")</f>
        <v>0</v>
      </c>
    </row>
    <row r="790" spans="17:18">
      <c r="Q790">
        <f>IF(INDEX('Activity Planner'!$O790:$Z790,SelMonthNum)=1,'Activity Planner'!$F790+ROW()/100000,"")</f>
        <v>0</v>
      </c>
      <c r="R790">
        <f>IF(AND('Activity Planner'!$N790=1,'Activity Planner'!$C790=SelPractice,'Activity Planner'!$AA790&gt;0),'Activity Planner'!$F790+ROW()/100000,"")</f>
        <v>0</v>
      </c>
    </row>
    <row r="791" spans="17:18">
      <c r="Q791">
        <f>IF(INDEX('Activity Planner'!$O791:$Z791,SelMonthNum)=1,'Activity Planner'!$F791+ROW()/100000,"")</f>
        <v>0</v>
      </c>
      <c r="R791">
        <f>IF(AND('Activity Planner'!$N791=1,'Activity Planner'!$C791=SelPractice,'Activity Planner'!$AA791&gt;0),'Activity Planner'!$F791+ROW()/100000,"")</f>
        <v>0</v>
      </c>
    </row>
    <row r="792" spans="17:18">
      <c r="Q792">
        <f>IF(INDEX('Activity Planner'!$O792:$Z792,SelMonthNum)=1,'Activity Planner'!$F792+ROW()/100000,"")</f>
        <v>0</v>
      </c>
      <c r="R792">
        <f>IF(AND('Activity Planner'!$N792=1,'Activity Planner'!$C792=SelPractice,'Activity Planner'!$AA792&gt;0),'Activity Planner'!$F792+ROW()/100000,"")</f>
        <v>0</v>
      </c>
    </row>
    <row r="793" spans="17:18">
      <c r="Q793">
        <f>IF(INDEX('Activity Planner'!$O793:$Z793,SelMonthNum)=1,'Activity Planner'!$F793+ROW()/100000,"")</f>
        <v>0</v>
      </c>
      <c r="R793">
        <f>IF(AND('Activity Planner'!$N793=1,'Activity Planner'!$C793=SelPractice,'Activity Planner'!$AA793&gt;0),'Activity Planner'!$F793+ROW()/100000,"")</f>
        <v>0</v>
      </c>
    </row>
    <row r="794" spans="17:18">
      <c r="Q794">
        <f>IF(INDEX('Activity Planner'!$O794:$Z794,SelMonthNum)=1,'Activity Planner'!$F794+ROW()/100000,"")</f>
        <v>0</v>
      </c>
      <c r="R794">
        <f>IF(AND('Activity Planner'!$N794=1,'Activity Planner'!$C794=SelPractice,'Activity Planner'!$AA794&gt;0),'Activity Planner'!$F794+ROW()/100000,"")</f>
        <v>0</v>
      </c>
    </row>
    <row r="795" spans="17:18">
      <c r="Q795">
        <f>IF(INDEX('Activity Planner'!$O795:$Z795,SelMonthNum)=1,'Activity Planner'!$F795+ROW()/100000,"")</f>
        <v>0</v>
      </c>
      <c r="R795">
        <f>IF(AND('Activity Planner'!$N795=1,'Activity Planner'!$C795=SelPractice,'Activity Planner'!$AA795&gt;0),'Activity Planner'!$F795+ROW()/100000,"")</f>
        <v>0</v>
      </c>
    </row>
    <row r="796" spans="17:18">
      <c r="Q796">
        <f>IF(INDEX('Activity Planner'!$O796:$Z796,SelMonthNum)=1,'Activity Planner'!$F796+ROW()/100000,"")</f>
        <v>0</v>
      </c>
      <c r="R796">
        <f>IF(AND('Activity Planner'!$N796=1,'Activity Planner'!$C796=SelPractice,'Activity Planner'!$AA796&gt;0),'Activity Planner'!$F796+ROW()/100000,"")</f>
        <v>0</v>
      </c>
    </row>
    <row r="797" spans="17:18">
      <c r="Q797">
        <f>IF(INDEX('Activity Planner'!$O797:$Z797,SelMonthNum)=1,'Activity Planner'!$F797+ROW()/100000,"")</f>
        <v>0</v>
      </c>
      <c r="R797">
        <f>IF(AND('Activity Planner'!$N797=1,'Activity Planner'!$C797=SelPractice,'Activity Planner'!$AA797&gt;0),'Activity Planner'!$F797+ROW()/100000,"")</f>
        <v>0</v>
      </c>
    </row>
    <row r="798" spans="17:18">
      <c r="Q798">
        <f>IF(INDEX('Activity Planner'!$O798:$Z798,SelMonthNum)=1,'Activity Planner'!$F798+ROW()/100000,"")</f>
        <v>0</v>
      </c>
      <c r="R798">
        <f>IF(AND('Activity Planner'!$N798=1,'Activity Planner'!$C798=SelPractice,'Activity Planner'!$AA798&gt;0),'Activity Planner'!$F798+ROW()/100000,"")</f>
        <v>0</v>
      </c>
    </row>
    <row r="799" spans="17:18">
      <c r="Q799">
        <f>IF(INDEX('Activity Planner'!$O799:$Z799,SelMonthNum)=1,'Activity Planner'!$F799+ROW()/100000,"")</f>
        <v>0</v>
      </c>
      <c r="R799">
        <f>IF(AND('Activity Planner'!$N799=1,'Activity Planner'!$C799=SelPractice,'Activity Planner'!$AA799&gt;0),'Activity Planner'!$F799+ROW()/100000,"")</f>
        <v>0</v>
      </c>
    </row>
    <row r="800" spans="17:18">
      <c r="Q800">
        <f>IF(INDEX('Activity Planner'!$O800:$Z800,SelMonthNum)=1,'Activity Planner'!$F800+ROW()/100000,"")</f>
        <v>0</v>
      </c>
      <c r="R800">
        <f>IF(AND('Activity Planner'!$N800=1,'Activity Planner'!$C800=SelPractice,'Activity Planner'!$AA800&gt;0),'Activity Planner'!$F800+ROW()/100000,"")</f>
        <v>0</v>
      </c>
    </row>
    <row r="801" spans="17:18">
      <c r="Q801">
        <f>IF(INDEX('Activity Planner'!$O801:$Z801,SelMonthNum)=1,'Activity Planner'!$F801+ROW()/100000,"")</f>
        <v>0</v>
      </c>
      <c r="R801">
        <f>IF(AND('Activity Planner'!$N801=1,'Activity Planner'!$C801=SelPractice,'Activity Planner'!$AA801&gt;0),'Activity Planner'!$F801+ROW()/100000,"")</f>
        <v>0</v>
      </c>
    </row>
    <row r="802" spans="17:18">
      <c r="Q802">
        <f>IF(INDEX('Activity Planner'!$O802:$Z802,SelMonthNum)=1,'Activity Planner'!$F802+ROW()/100000,"")</f>
        <v>0</v>
      </c>
      <c r="R802">
        <f>IF(AND('Activity Planner'!$N802=1,'Activity Planner'!$C802=SelPractice,'Activity Planner'!$AA802&gt;0),'Activity Planner'!$F802+ROW()/100000,"")</f>
        <v>0</v>
      </c>
    </row>
    <row r="803" spans="17:18">
      <c r="Q803">
        <f>IF(INDEX('Activity Planner'!$O803:$Z803,SelMonthNum)=1,'Activity Planner'!$F803+ROW()/100000,"")</f>
        <v>0</v>
      </c>
      <c r="R803">
        <f>IF(AND('Activity Planner'!$N803=1,'Activity Planner'!$C803=SelPractice,'Activity Planner'!$AA803&gt;0),'Activity Planner'!$F803+ROW()/100000,"")</f>
        <v>0</v>
      </c>
    </row>
    <row r="804" spans="17:18">
      <c r="Q804">
        <f>IF(INDEX('Activity Planner'!$O804:$Z804,SelMonthNum)=1,'Activity Planner'!$F804+ROW()/100000,"")</f>
        <v>0</v>
      </c>
      <c r="R804">
        <f>IF(AND('Activity Planner'!$N804=1,'Activity Planner'!$C804=SelPractice,'Activity Planner'!$AA804&gt;0),'Activity Planner'!$F804+ROW()/100000,"")</f>
        <v>0</v>
      </c>
    </row>
    <row r="805" spans="17:18">
      <c r="Q805">
        <f>IF(INDEX('Activity Planner'!$O805:$Z805,SelMonthNum)=1,'Activity Planner'!$F805+ROW()/100000,"")</f>
        <v>0</v>
      </c>
      <c r="R805">
        <f>IF(AND('Activity Planner'!$N805=1,'Activity Planner'!$C805=SelPractice,'Activity Planner'!$AA805&gt;0),'Activity Planner'!$F805+ROW()/100000,"")</f>
        <v>0</v>
      </c>
    </row>
    <row r="806" spans="17:18">
      <c r="Q806">
        <f>IF(INDEX('Activity Planner'!$O806:$Z806,SelMonthNum)=1,'Activity Planner'!$F806+ROW()/100000,"")</f>
        <v>0</v>
      </c>
      <c r="R806">
        <f>IF(AND('Activity Planner'!$N806=1,'Activity Planner'!$C806=SelPractice,'Activity Planner'!$AA806&gt;0),'Activity Planner'!$F806+ROW()/100000,"")</f>
        <v>0</v>
      </c>
    </row>
    <row r="807" spans="17:18">
      <c r="Q807">
        <f>IF(INDEX('Activity Planner'!$O807:$Z807,SelMonthNum)=1,'Activity Planner'!$F807+ROW()/100000,"")</f>
        <v>0</v>
      </c>
      <c r="R807">
        <f>IF(AND('Activity Planner'!$N807=1,'Activity Planner'!$C807=SelPractice,'Activity Planner'!$AA807&gt;0),'Activity Planner'!$F807+ROW()/100000,"")</f>
        <v>0</v>
      </c>
    </row>
    <row r="808" spans="17:18">
      <c r="Q808">
        <f>IF(INDEX('Activity Planner'!$O808:$Z808,SelMonthNum)=1,'Activity Planner'!$F808+ROW()/100000,"")</f>
        <v>0</v>
      </c>
      <c r="R808">
        <f>IF(AND('Activity Planner'!$N808=1,'Activity Planner'!$C808=SelPractice,'Activity Planner'!$AA808&gt;0),'Activity Planner'!$F808+ROW()/100000,"")</f>
        <v>0</v>
      </c>
    </row>
    <row r="809" spans="17:18">
      <c r="Q809">
        <f>IF(INDEX('Activity Planner'!$O809:$Z809,SelMonthNum)=1,'Activity Planner'!$F809+ROW()/100000,"")</f>
        <v>0</v>
      </c>
      <c r="R809">
        <f>IF(AND('Activity Planner'!$N809=1,'Activity Planner'!$C809=SelPractice,'Activity Planner'!$AA809&gt;0),'Activity Planner'!$F809+ROW()/100000,"")</f>
        <v>0</v>
      </c>
    </row>
    <row r="810" spans="17:18">
      <c r="Q810">
        <f>IF(INDEX('Activity Planner'!$O810:$Z810,SelMonthNum)=1,'Activity Planner'!$F810+ROW()/100000,"")</f>
        <v>0</v>
      </c>
      <c r="R810">
        <f>IF(AND('Activity Planner'!$N810=1,'Activity Planner'!$C810=SelPractice,'Activity Planner'!$AA810&gt;0),'Activity Planner'!$F810+ROW()/100000,"")</f>
        <v>0</v>
      </c>
    </row>
    <row r="811" spans="17:18">
      <c r="Q811">
        <f>IF(INDEX('Activity Planner'!$O811:$Z811,SelMonthNum)=1,'Activity Planner'!$F811+ROW()/100000,"")</f>
        <v>0</v>
      </c>
      <c r="R811">
        <f>IF(AND('Activity Planner'!$N811=1,'Activity Planner'!$C811=SelPractice,'Activity Planner'!$AA811&gt;0),'Activity Planner'!$F811+ROW()/100000,"")</f>
        <v>0</v>
      </c>
    </row>
    <row r="812" spans="17:18">
      <c r="Q812">
        <f>IF(INDEX('Activity Planner'!$O812:$Z812,SelMonthNum)=1,'Activity Planner'!$F812+ROW()/100000,"")</f>
        <v>0</v>
      </c>
      <c r="R812">
        <f>IF(AND('Activity Planner'!$N812=1,'Activity Planner'!$C812=SelPractice,'Activity Planner'!$AA812&gt;0),'Activity Planner'!$F812+ROW()/100000,"")</f>
        <v>0</v>
      </c>
    </row>
    <row r="813" spans="17:18">
      <c r="Q813">
        <f>IF(INDEX('Activity Planner'!$O813:$Z813,SelMonthNum)=1,'Activity Planner'!$F813+ROW()/100000,"")</f>
        <v>0</v>
      </c>
      <c r="R813">
        <f>IF(AND('Activity Planner'!$N813=1,'Activity Planner'!$C813=SelPractice,'Activity Planner'!$AA813&gt;0),'Activity Planner'!$F813+ROW()/100000,"")</f>
        <v>0</v>
      </c>
    </row>
    <row r="814" spans="17:18">
      <c r="Q814">
        <f>IF(INDEX('Activity Planner'!$O814:$Z814,SelMonthNum)=1,'Activity Planner'!$F814+ROW()/100000,"")</f>
        <v>0</v>
      </c>
      <c r="R814">
        <f>IF(AND('Activity Planner'!$N814=1,'Activity Planner'!$C814=SelPractice,'Activity Planner'!$AA814&gt;0),'Activity Planner'!$F814+ROW()/100000,"")</f>
        <v>0</v>
      </c>
    </row>
    <row r="815" spans="17:18">
      <c r="Q815">
        <f>IF(INDEX('Activity Planner'!$O815:$Z815,SelMonthNum)=1,'Activity Planner'!$F815+ROW()/100000,"")</f>
        <v>0</v>
      </c>
      <c r="R815">
        <f>IF(AND('Activity Planner'!$N815=1,'Activity Planner'!$C815=SelPractice,'Activity Planner'!$AA815&gt;0),'Activity Planner'!$F815+ROW()/100000,"")</f>
        <v>0</v>
      </c>
    </row>
    <row r="816" spans="17:18">
      <c r="Q816">
        <f>IF(INDEX('Activity Planner'!$O816:$Z816,SelMonthNum)=1,'Activity Planner'!$F816+ROW()/100000,"")</f>
        <v>0</v>
      </c>
      <c r="R816">
        <f>IF(AND('Activity Planner'!$N816=1,'Activity Planner'!$C816=SelPractice,'Activity Planner'!$AA816&gt;0),'Activity Planner'!$F816+ROW()/100000,"")</f>
        <v>0</v>
      </c>
    </row>
    <row r="817" spans="17:18">
      <c r="Q817">
        <f>IF(INDEX('Activity Planner'!$O817:$Z817,SelMonthNum)=1,'Activity Planner'!$F817+ROW()/100000,"")</f>
        <v>0</v>
      </c>
      <c r="R817">
        <f>IF(AND('Activity Planner'!$N817=1,'Activity Planner'!$C817=SelPractice,'Activity Planner'!$AA817&gt;0),'Activity Planner'!$F817+ROW()/100000,"")</f>
        <v>0</v>
      </c>
    </row>
    <row r="818" spans="17:18">
      <c r="Q818">
        <f>IF(INDEX('Activity Planner'!$O818:$Z818,SelMonthNum)=1,'Activity Planner'!$F818+ROW()/100000,"")</f>
        <v>0</v>
      </c>
      <c r="R818">
        <f>IF(AND('Activity Planner'!$N818=1,'Activity Planner'!$C818=SelPractice,'Activity Planner'!$AA818&gt;0),'Activity Planner'!$F818+ROW()/100000,"")</f>
        <v>0</v>
      </c>
    </row>
    <row r="819" spans="17:18">
      <c r="Q819">
        <f>IF(INDEX('Activity Planner'!$O819:$Z819,SelMonthNum)=1,'Activity Planner'!$F819+ROW()/100000,"")</f>
        <v>0</v>
      </c>
      <c r="R819">
        <f>IF(AND('Activity Planner'!$N819=1,'Activity Planner'!$C819=SelPractice,'Activity Planner'!$AA819&gt;0),'Activity Planner'!$F819+ROW()/100000,"")</f>
        <v>0</v>
      </c>
    </row>
    <row r="820" spans="17:18">
      <c r="Q820">
        <f>IF(INDEX('Activity Planner'!$O820:$Z820,SelMonthNum)=1,'Activity Planner'!$F820+ROW()/100000,"")</f>
        <v>0</v>
      </c>
      <c r="R820">
        <f>IF(AND('Activity Planner'!$N820=1,'Activity Planner'!$C820=SelPractice,'Activity Planner'!$AA820&gt;0),'Activity Planner'!$F820+ROW()/100000,"")</f>
        <v>0</v>
      </c>
    </row>
    <row r="821" spans="17:18">
      <c r="Q821">
        <f>IF(INDEX('Activity Planner'!$O821:$Z821,SelMonthNum)=1,'Activity Planner'!$F821+ROW()/100000,"")</f>
        <v>0</v>
      </c>
      <c r="R821">
        <f>IF(AND('Activity Planner'!$N821=1,'Activity Planner'!$C821=SelPractice,'Activity Planner'!$AA821&gt;0),'Activity Planner'!$F821+ROW()/100000,"")</f>
        <v>0</v>
      </c>
    </row>
    <row r="822" spans="17:18">
      <c r="Q822">
        <f>IF(INDEX('Activity Planner'!$O822:$Z822,SelMonthNum)=1,'Activity Planner'!$F822+ROW()/100000,"")</f>
        <v>0</v>
      </c>
      <c r="R822">
        <f>IF(AND('Activity Planner'!$N822=1,'Activity Planner'!$C822=SelPractice,'Activity Planner'!$AA822&gt;0),'Activity Planner'!$F822+ROW()/100000,"")</f>
        <v>0</v>
      </c>
    </row>
    <row r="823" spans="17:18">
      <c r="Q823">
        <f>IF(INDEX('Activity Planner'!$O823:$Z823,SelMonthNum)=1,'Activity Planner'!$F823+ROW()/100000,"")</f>
        <v>0</v>
      </c>
      <c r="R823">
        <f>IF(AND('Activity Planner'!$N823=1,'Activity Planner'!$C823=SelPractice,'Activity Planner'!$AA823&gt;0),'Activity Planner'!$F823+ROW()/100000,"")</f>
        <v>0</v>
      </c>
    </row>
    <row r="824" spans="17:18">
      <c r="Q824">
        <f>IF(INDEX('Activity Planner'!$O824:$Z824,SelMonthNum)=1,'Activity Planner'!$F824+ROW()/100000,"")</f>
        <v>0</v>
      </c>
      <c r="R824">
        <f>IF(AND('Activity Planner'!$N824=1,'Activity Planner'!$C824=SelPractice,'Activity Planner'!$AA824&gt;0),'Activity Planner'!$F824+ROW()/100000,"")</f>
        <v>0</v>
      </c>
    </row>
    <row r="825" spans="17:18">
      <c r="Q825">
        <f>IF(INDEX('Activity Planner'!$O825:$Z825,SelMonthNum)=1,'Activity Planner'!$F825+ROW()/100000,"")</f>
        <v>0</v>
      </c>
      <c r="R825">
        <f>IF(AND('Activity Planner'!$N825=1,'Activity Planner'!$C825=SelPractice,'Activity Planner'!$AA825&gt;0),'Activity Planner'!$F825+ROW()/100000,"")</f>
        <v>0</v>
      </c>
    </row>
    <row r="826" spans="17:18">
      <c r="Q826">
        <f>IF(INDEX('Activity Planner'!$O826:$Z826,SelMonthNum)=1,'Activity Planner'!$F826+ROW()/100000,"")</f>
        <v>0</v>
      </c>
      <c r="R826">
        <f>IF(AND('Activity Planner'!$N826=1,'Activity Planner'!$C826=SelPractice,'Activity Planner'!$AA826&gt;0),'Activity Planner'!$F826+ROW()/100000,"")</f>
        <v>0</v>
      </c>
    </row>
    <row r="827" spans="17:18">
      <c r="Q827">
        <f>IF(INDEX('Activity Planner'!$O827:$Z827,SelMonthNum)=1,'Activity Planner'!$F827+ROW()/100000,"")</f>
        <v>0</v>
      </c>
      <c r="R827">
        <f>IF(AND('Activity Planner'!$N827=1,'Activity Planner'!$C827=SelPractice,'Activity Planner'!$AA827&gt;0),'Activity Planner'!$F827+ROW()/100000,"")</f>
        <v>0</v>
      </c>
    </row>
    <row r="828" spans="17:18">
      <c r="Q828">
        <f>IF(INDEX('Activity Planner'!$O828:$Z828,SelMonthNum)=1,'Activity Planner'!$F828+ROW()/100000,"")</f>
        <v>0</v>
      </c>
      <c r="R828">
        <f>IF(AND('Activity Planner'!$N828=1,'Activity Planner'!$C828=SelPractice,'Activity Planner'!$AA828&gt;0),'Activity Planner'!$F828+ROW()/100000,"")</f>
        <v>0</v>
      </c>
    </row>
    <row r="829" spans="17:18">
      <c r="Q829">
        <f>IF(INDEX('Activity Planner'!$O829:$Z829,SelMonthNum)=1,'Activity Planner'!$F829+ROW()/100000,"")</f>
        <v>0</v>
      </c>
      <c r="R829">
        <f>IF(AND('Activity Planner'!$N829=1,'Activity Planner'!$C829=SelPractice,'Activity Planner'!$AA829&gt;0),'Activity Planner'!$F829+ROW()/100000,"")</f>
        <v>0</v>
      </c>
    </row>
    <row r="830" spans="17:18">
      <c r="Q830">
        <f>IF(INDEX('Activity Planner'!$O830:$Z830,SelMonthNum)=1,'Activity Planner'!$F830+ROW()/100000,"")</f>
        <v>0</v>
      </c>
      <c r="R830">
        <f>IF(AND('Activity Planner'!$N830=1,'Activity Planner'!$C830=SelPractice,'Activity Planner'!$AA830&gt;0),'Activity Planner'!$F830+ROW()/100000,"")</f>
        <v>0</v>
      </c>
    </row>
    <row r="831" spans="17:18">
      <c r="Q831">
        <f>IF(INDEX('Activity Planner'!$O831:$Z831,SelMonthNum)=1,'Activity Planner'!$F831+ROW()/100000,"")</f>
        <v>0</v>
      </c>
      <c r="R831">
        <f>IF(AND('Activity Planner'!$N831=1,'Activity Planner'!$C831=SelPractice,'Activity Planner'!$AA831&gt;0),'Activity Planner'!$F831+ROW()/100000,"")</f>
        <v>0</v>
      </c>
    </row>
    <row r="832" spans="17:18">
      <c r="Q832">
        <f>IF(INDEX('Activity Planner'!$O832:$Z832,SelMonthNum)=1,'Activity Planner'!$F832+ROW()/100000,"")</f>
        <v>0</v>
      </c>
      <c r="R832">
        <f>IF(AND('Activity Planner'!$N832=1,'Activity Planner'!$C832=SelPractice,'Activity Planner'!$AA832&gt;0),'Activity Planner'!$F832+ROW()/100000,"")</f>
        <v>0</v>
      </c>
    </row>
    <row r="833" spans="17:18">
      <c r="Q833">
        <f>IF(INDEX('Activity Planner'!$O833:$Z833,SelMonthNum)=1,'Activity Planner'!$F833+ROW()/100000,"")</f>
        <v>0</v>
      </c>
      <c r="R833">
        <f>IF(AND('Activity Planner'!$N833=1,'Activity Planner'!$C833=SelPractice,'Activity Planner'!$AA833&gt;0),'Activity Planner'!$F833+ROW()/100000,"")</f>
        <v>0</v>
      </c>
    </row>
    <row r="834" spans="17:18">
      <c r="Q834">
        <f>IF(INDEX('Activity Planner'!$O834:$Z834,SelMonthNum)=1,'Activity Planner'!$F834+ROW()/100000,"")</f>
        <v>0</v>
      </c>
      <c r="R834">
        <f>IF(AND('Activity Planner'!$N834=1,'Activity Planner'!$C834=SelPractice,'Activity Planner'!$AA834&gt;0),'Activity Planner'!$F834+ROW()/100000,"")</f>
        <v>0</v>
      </c>
    </row>
    <row r="835" spans="17:18">
      <c r="Q835">
        <f>IF(INDEX('Activity Planner'!$O835:$Z835,SelMonthNum)=1,'Activity Planner'!$F835+ROW()/100000,"")</f>
        <v>0</v>
      </c>
      <c r="R835">
        <f>IF(AND('Activity Planner'!$N835=1,'Activity Planner'!$C835=SelPractice,'Activity Planner'!$AA835&gt;0),'Activity Planner'!$F835+ROW()/100000,"")</f>
        <v>0</v>
      </c>
    </row>
    <row r="836" spans="17:18">
      <c r="Q836">
        <f>IF(INDEX('Activity Planner'!$O836:$Z836,SelMonthNum)=1,'Activity Planner'!$F836+ROW()/100000,"")</f>
        <v>0</v>
      </c>
      <c r="R836">
        <f>IF(AND('Activity Planner'!$N836=1,'Activity Planner'!$C836=SelPractice,'Activity Planner'!$AA836&gt;0),'Activity Planner'!$F836+ROW()/100000,"")</f>
        <v>0</v>
      </c>
    </row>
    <row r="837" spans="17:18">
      <c r="Q837">
        <f>IF(INDEX('Activity Planner'!$O837:$Z837,SelMonthNum)=1,'Activity Planner'!$F837+ROW()/100000,"")</f>
        <v>0</v>
      </c>
      <c r="R837">
        <f>IF(AND('Activity Planner'!$N837=1,'Activity Planner'!$C837=SelPractice,'Activity Planner'!$AA837&gt;0),'Activity Planner'!$F837+ROW()/100000,"")</f>
        <v>0</v>
      </c>
    </row>
    <row r="838" spans="17:18">
      <c r="Q838">
        <f>IF(INDEX('Activity Planner'!$O838:$Z838,SelMonthNum)=1,'Activity Planner'!$F838+ROW()/100000,"")</f>
        <v>0</v>
      </c>
      <c r="R838">
        <f>IF(AND('Activity Planner'!$N838=1,'Activity Planner'!$C838=SelPractice,'Activity Planner'!$AA838&gt;0),'Activity Planner'!$F838+ROW()/100000,"")</f>
        <v>0</v>
      </c>
    </row>
    <row r="839" spans="17:18">
      <c r="Q839">
        <f>IF(INDEX('Activity Planner'!$O839:$Z839,SelMonthNum)=1,'Activity Planner'!$F839+ROW()/100000,"")</f>
        <v>0</v>
      </c>
      <c r="R839">
        <f>IF(AND('Activity Planner'!$N839=1,'Activity Planner'!$C839=SelPractice,'Activity Planner'!$AA839&gt;0),'Activity Planner'!$F839+ROW()/100000,"")</f>
        <v>0</v>
      </c>
    </row>
    <row r="840" spans="17:18">
      <c r="Q840">
        <f>IF(INDEX('Activity Planner'!$O840:$Z840,SelMonthNum)=1,'Activity Planner'!$F840+ROW()/100000,"")</f>
        <v>0</v>
      </c>
      <c r="R840">
        <f>IF(AND('Activity Planner'!$N840=1,'Activity Planner'!$C840=SelPractice,'Activity Planner'!$AA840&gt;0),'Activity Planner'!$F840+ROW()/100000,"")</f>
        <v>0</v>
      </c>
    </row>
    <row r="841" spans="17:18">
      <c r="Q841">
        <f>IF(INDEX('Activity Planner'!$O841:$Z841,SelMonthNum)=1,'Activity Planner'!$F841+ROW()/100000,"")</f>
        <v>0</v>
      </c>
      <c r="R841">
        <f>IF(AND('Activity Planner'!$N841=1,'Activity Planner'!$C841=SelPractice,'Activity Planner'!$AA841&gt;0),'Activity Planner'!$F841+ROW()/100000,"")</f>
        <v>0</v>
      </c>
    </row>
    <row r="842" spans="17:18">
      <c r="Q842">
        <f>IF(INDEX('Activity Planner'!$O842:$Z842,SelMonthNum)=1,'Activity Planner'!$F842+ROW()/100000,"")</f>
        <v>0</v>
      </c>
      <c r="R842">
        <f>IF(AND('Activity Planner'!$N842=1,'Activity Planner'!$C842=SelPractice,'Activity Planner'!$AA842&gt;0),'Activity Planner'!$F842+ROW()/100000,"")</f>
        <v>0</v>
      </c>
    </row>
    <row r="843" spans="17:18">
      <c r="Q843">
        <f>IF(INDEX('Activity Planner'!$O843:$Z843,SelMonthNum)=1,'Activity Planner'!$F843+ROW()/100000,"")</f>
        <v>0</v>
      </c>
      <c r="R843">
        <f>IF(AND('Activity Planner'!$N843=1,'Activity Planner'!$C843=SelPractice,'Activity Planner'!$AA843&gt;0),'Activity Planner'!$F843+ROW()/100000,"")</f>
        <v>0</v>
      </c>
    </row>
    <row r="844" spans="17:18">
      <c r="Q844">
        <f>IF(INDEX('Activity Planner'!$O844:$Z844,SelMonthNum)=1,'Activity Planner'!$F844+ROW()/100000,"")</f>
        <v>0</v>
      </c>
      <c r="R844">
        <f>IF(AND('Activity Planner'!$N844=1,'Activity Planner'!$C844=SelPractice,'Activity Planner'!$AA844&gt;0),'Activity Planner'!$F844+ROW()/100000,"")</f>
        <v>0</v>
      </c>
    </row>
    <row r="845" spans="17:18">
      <c r="Q845">
        <f>IF(INDEX('Activity Planner'!$O845:$Z845,SelMonthNum)=1,'Activity Planner'!$F845+ROW()/100000,"")</f>
        <v>0</v>
      </c>
      <c r="R845">
        <f>IF(AND('Activity Planner'!$N845=1,'Activity Planner'!$C845=SelPractice,'Activity Planner'!$AA845&gt;0),'Activity Planner'!$F845+ROW()/100000,"")</f>
        <v>0</v>
      </c>
    </row>
    <row r="846" spans="17:18">
      <c r="Q846">
        <f>IF(INDEX('Activity Planner'!$O846:$Z846,SelMonthNum)=1,'Activity Planner'!$F846+ROW()/100000,"")</f>
        <v>0</v>
      </c>
      <c r="R846">
        <f>IF(AND('Activity Planner'!$N846=1,'Activity Planner'!$C846=SelPractice,'Activity Planner'!$AA846&gt;0),'Activity Planner'!$F846+ROW()/100000,"")</f>
        <v>0</v>
      </c>
    </row>
    <row r="847" spans="17:18">
      <c r="Q847">
        <f>IF(INDEX('Activity Planner'!$O847:$Z847,SelMonthNum)=1,'Activity Planner'!$F847+ROW()/100000,"")</f>
        <v>0</v>
      </c>
      <c r="R847">
        <f>IF(AND('Activity Planner'!$N847=1,'Activity Planner'!$C847=SelPractice,'Activity Planner'!$AA847&gt;0),'Activity Planner'!$F847+ROW()/100000,"")</f>
        <v>0</v>
      </c>
    </row>
    <row r="848" spans="17:18">
      <c r="Q848">
        <f>IF(INDEX('Activity Planner'!$O848:$Z848,SelMonthNum)=1,'Activity Planner'!$F848+ROW()/100000,"")</f>
        <v>0</v>
      </c>
      <c r="R848">
        <f>IF(AND('Activity Planner'!$N848=1,'Activity Planner'!$C848=SelPractice,'Activity Planner'!$AA848&gt;0),'Activity Planner'!$F848+ROW()/100000,"")</f>
        <v>0</v>
      </c>
    </row>
    <row r="849" spans="17:18">
      <c r="Q849">
        <f>IF(INDEX('Activity Planner'!$O849:$Z849,SelMonthNum)=1,'Activity Planner'!$F849+ROW()/100000,"")</f>
        <v>0</v>
      </c>
      <c r="R849">
        <f>IF(AND('Activity Planner'!$N849=1,'Activity Planner'!$C849=SelPractice,'Activity Planner'!$AA849&gt;0),'Activity Planner'!$F849+ROW()/100000,"")</f>
        <v>0</v>
      </c>
    </row>
    <row r="850" spans="17:18">
      <c r="Q850">
        <f>IF(INDEX('Activity Planner'!$O850:$Z850,SelMonthNum)=1,'Activity Planner'!$F850+ROW()/100000,"")</f>
        <v>0</v>
      </c>
      <c r="R850">
        <f>IF(AND('Activity Planner'!$N850=1,'Activity Planner'!$C850=SelPractice,'Activity Planner'!$AA850&gt;0),'Activity Planner'!$F850+ROW()/100000,"")</f>
        <v>0</v>
      </c>
    </row>
    <row r="851" spans="17:18">
      <c r="Q851">
        <f>IF(INDEX('Activity Planner'!$O851:$Z851,SelMonthNum)=1,'Activity Planner'!$F851+ROW()/100000,"")</f>
        <v>0</v>
      </c>
      <c r="R851">
        <f>IF(AND('Activity Planner'!$N851=1,'Activity Planner'!$C851=SelPractice,'Activity Planner'!$AA851&gt;0),'Activity Planner'!$F851+ROW()/100000,"")</f>
        <v>0</v>
      </c>
    </row>
    <row r="852" spans="17:18">
      <c r="Q852">
        <f>IF(INDEX('Activity Planner'!$O852:$Z852,SelMonthNum)=1,'Activity Planner'!$F852+ROW()/100000,"")</f>
        <v>0</v>
      </c>
      <c r="R852">
        <f>IF(AND('Activity Planner'!$N852=1,'Activity Planner'!$C852=SelPractice,'Activity Planner'!$AA852&gt;0),'Activity Planner'!$F852+ROW()/100000,"")</f>
        <v>0</v>
      </c>
    </row>
    <row r="853" spans="17:18">
      <c r="Q853">
        <f>IF(INDEX('Activity Planner'!$O853:$Z853,SelMonthNum)=1,'Activity Planner'!$F853+ROW()/100000,"")</f>
        <v>0</v>
      </c>
      <c r="R853">
        <f>IF(AND('Activity Planner'!$N853=1,'Activity Planner'!$C853=SelPractice,'Activity Planner'!$AA853&gt;0),'Activity Planner'!$F853+ROW()/100000,"")</f>
        <v>0</v>
      </c>
    </row>
    <row r="854" spans="17:18">
      <c r="Q854">
        <f>IF(INDEX('Activity Planner'!$O854:$Z854,SelMonthNum)=1,'Activity Planner'!$F854+ROW()/100000,"")</f>
        <v>0</v>
      </c>
      <c r="R854">
        <f>IF(AND('Activity Planner'!$N854=1,'Activity Planner'!$C854=SelPractice,'Activity Planner'!$AA854&gt;0),'Activity Planner'!$F854+ROW()/100000,"")</f>
        <v>0</v>
      </c>
    </row>
    <row r="855" spans="17:18">
      <c r="Q855">
        <f>IF(INDEX('Activity Planner'!$O855:$Z855,SelMonthNum)=1,'Activity Planner'!$F855+ROW()/100000,"")</f>
        <v>0</v>
      </c>
      <c r="R855">
        <f>IF(AND('Activity Planner'!$N855=1,'Activity Planner'!$C855=SelPractice,'Activity Planner'!$AA855&gt;0),'Activity Planner'!$F855+ROW()/100000,"")</f>
        <v>0</v>
      </c>
    </row>
    <row r="856" spans="17:18">
      <c r="Q856">
        <f>IF(INDEX('Activity Planner'!$O856:$Z856,SelMonthNum)=1,'Activity Planner'!$F856+ROW()/100000,"")</f>
        <v>0</v>
      </c>
      <c r="R856">
        <f>IF(AND('Activity Planner'!$N856=1,'Activity Planner'!$C856=SelPractice,'Activity Planner'!$AA856&gt;0),'Activity Planner'!$F856+ROW()/100000,"")</f>
        <v>0</v>
      </c>
    </row>
    <row r="857" spans="17:18">
      <c r="Q857">
        <f>IF(INDEX('Activity Planner'!$O857:$Z857,SelMonthNum)=1,'Activity Planner'!$F857+ROW()/100000,"")</f>
        <v>0</v>
      </c>
      <c r="R857">
        <f>IF(AND('Activity Planner'!$N857=1,'Activity Planner'!$C857=SelPractice,'Activity Planner'!$AA857&gt;0),'Activity Planner'!$F857+ROW()/100000,"")</f>
        <v>0</v>
      </c>
    </row>
    <row r="858" spans="17:18">
      <c r="Q858">
        <f>IF(INDEX('Activity Planner'!$O858:$Z858,SelMonthNum)=1,'Activity Planner'!$F858+ROW()/100000,"")</f>
        <v>0</v>
      </c>
      <c r="R858">
        <f>IF(AND('Activity Planner'!$N858=1,'Activity Planner'!$C858=SelPractice,'Activity Planner'!$AA858&gt;0),'Activity Planner'!$F858+ROW()/100000,"")</f>
        <v>0</v>
      </c>
    </row>
    <row r="859" spans="17:18">
      <c r="Q859">
        <f>IF(INDEX('Activity Planner'!$O859:$Z859,SelMonthNum)=1,'Activity Planner'!$F859+ROW()/100000,"")</f>
        <v>0</v>
      </c>
      <c r="R859">
        <f>IF(AND('Activity Planner'!$N859=1,'Activity Planner'!$C859=SelPractice,'Activity Planner'!$AA859&gt;0),'Activity Planner'!$F859+ROW()/100000,"")</f>
        <v>0</v>
      </c>
    </row>
    <row r="860" spans="17:18">
      <c r="Q860">
        <f>IF(INDEX('Activity Planner'!$O860:$Z860,SelMonthNum)=1,'Activity Planner'!$F860+ROW()/100000,"")</f>
        <v>0</v>
      </c>
      <c r="R860">
        <f>IF(AND('Activity Planner'!$N860=1,'Activity Planner'!$C860=SelPractice,'Activity Planner'!$AA860&gt;0),'Activity Planner'!$F860+ROW()/100000,"")</f>
        <v>0</v>
      </c>
    </row>
    <row r="861" spans="17:18">
      <c r="Q861">
        <f>IF(INDEX('Activity Planner'!$O861:$Z861,SelMonthNum)=1,'Activity Planner'!$F861+ROW()/100000,"")</f>
        <v>0</v>
      </c>
      <c r="R861">
        <f>IF(AND('Activity Planner'!$N861=1,'Activity Planner'!$C861=SelPractice,'Activity Planner'!$AA861&gt;0),'Activity Planner'!$F861+ROW()/100000,"")</f>
        <v>0</v>
      </c>
    </row>
    <row r="862" spans="17:18">
      <c r="Q862">
        <f>IF(INDEX('Activity Planner'!$O862:$Z862,SelMonthNum)=1,'Activity Planner'!$F862+ROW()/100000,"")</f>
        <v>0</v>
      </c>
      <c r="R862">
        <f>IF(AND('Activity Planner'!$N862=1,'Activity Planner'!$C862=SelPractice,'Activity Planner'!$AA862&gt;0),'Activity Planner'!$F862+ROW()/100000,"")</f>
        <v>0</v>
      </c>
    </row>
    <row r="863" spans="17:18">
      <c r="Q863">
        <f>IF(INDEX('Activity Planner'!$O863:$Z863,SelMonthNum)=1,'Activity Planner'!$F863+ROW()/100000,"")</f>
        <v>0</v>
      </c>
      <c r="R863">
        <f>IF(AND('Activity Planner'!$N863=1,'Activity Planner'!$C863=SelPractice,'Activity Planner'!$AA863&gt;0),'Activity Planner'!$F863+ROW()/100000,"")</f>
        <v>0</v>
      </c>
    </row>
    <row r="864" spans="17:18">
      <c r="Q864">
        <f>IF(INDEX('Activity Planner'!$O864:$Z864,SelMonthNum)=1,'Activity Planner'!$F864+ROW()/100000,"")</f>
        <v>0</v>
      </c>
      <c r="R864">
        <f>IF(AND('Activity Planner'!$N864=1,'Activity Planner'!$C864=SelPractice,'Activity Planner'!$AA864&gt;0),'Activity Planner'!$F864+ROW()/100000,"")</f>
        <v>0</v>
      </c>
    </row>
    <row r="865" spans="17:18">
      <c r="Q865">
        <f>IF(INDEX('Activity Planner'!$O865:$Z865,SelMonthNum)=1,'Activity Planner'!$F865+ROW()/100000,"")</f>
        <v>0</v>
      </c>
      <c r="R865">
        <f>IF(AND('Activity Planner'!$N865=1,'Activity Planner'!$C865=SelPractice,'Activity Planner'!$AA865&gt;0),'Activity Planner'!$F865+ROW()/100000,"")</f>
        <v>0</v>
      </c>
    </row>
    <row r="866" spans="17:18">
      <c r="Q866">
        <f>IF(INDEX('Activity Planner'!$O866:$Z866,SelMonthNum)=1,'Activity Planner'!$F866+ROW()/100000,"")</f>
        <v>0</v>
      </c>
      <c r="R866">
        <f>IF(AND('Activity Planner'!$N866=1,'Activity Planner'!$C866=SelPractice,'Activity Planner'!$AA866&gt;0),'Activity Planner'!$F866+ROW()/100000,"")</f>
        <v>0</v>
      </c>
    </row>
    <row r="867" spans="17:18">
      <c r="Q867">
        <f>IF(INDEX('Activity Planner'!$O867:$Z867,SelMonthNum)=1,'Activity Planner'!$F867+ROW()/100000,"")</f>
        <v>0</v>
      </c>
      <c r="R867">
        <f>IF(AND('Activity Planner'!$N867=1,'Activity Planner'!$C867=SelPractice,'Activity Planner'!$AA867&gt;0),'Activity Planner'!$F867+ROW()/100000,"")</f>
        <v>0</v>
      </c>
    </row>
    <row r="868" spans="17:18">
      <c r="Q868">
        <f>IF(INDEX('Activity Planner'!$O868:$Z868,SelMonthNum)=1,'Activity Planner'!$F868+ROW()/100000,"")</f>
        <v>0</v>
      </c>
      <c r="R868">
        <f>IF(AND('Activity Planner'!$N868=1,'Activity Planner'!$C868=SelPractice,'Activity Planner'!$AA868&gt;0),'Activity Planner'!$F868+ROW()/100000,"")</f>
        <v>0</v>
      </c>
    </row>
    <row r="869" spans="17:18">
      <c r="Q869">
        <f>IF(INDEX('Activity Planner'!$O869:$Z869,SelMonthNum)=1,'Activity Planner'!$F869+ROW()/100000,"")</f>
        <v>0</v>
      </c>
      <c r="R869">
        <f>IF(AND('Activity Planner'!$N869=1,'Activity Planner'!$C869=SelPractice,'Activity Planner'!$AA869&gt;0),'Activity Planner'!$F869+ROW()/100000,"")</f>
        <v>0</v>
      </c>
    </row>
    <row r="870" spans="17:18">
      <c r="Q870">
        <f>IF(INDEX('Activity Planner'!$O870:$Z870,SelMonthNum)=1,'Activity Planner'!$F870+ROW()/100000,"")</f>
        <v>0</v>
      </c>
      <c r="R870">
        <f>IF(AND('Activity Planner'!$N870=1,'Activity Planner'!$C870=SelPractice,'Activity Planner'!$AA870&gt;0),'Activity Planner'!$F870+ROW()/100000,"")</f>
        <v>0</v>
      </c>
    </row>
    <row r="871" spans="17:18">
      <c r="Q871">
        <f>IF(INDEX('Activity Planner'!$O871:$Z871,SelMonthNum)=1,'Activity Planner'!$F871+ROW()/100000,"")</f>
        <v>0</v>
      </c>
      <c r="R871">
        <f>IF(AND('Activity Planner'!$N871=1,'Activity Planner'!$C871=SelPractice,'Activity Planner'!$AA871&gt;0),'Activity Planner'!$F871+ROW()/100000,"")</f>
        <v>0</v>
      </c>
    </row>
    <row r="872" spans="17:18">
      <c r="Q872">
        <f>IF(INDEX('Activity Planner'!$O872:$Z872,SelMonthNum)=1,'Activity Planner'!$F872+ROW()/100000,"")</f>
        <v>0</v>
      </c>
      <c r="R872">
        <f>IF(AND('Activity Planner'!$N872=1,'Activity Planner'!$C872=SelPractice,'Activity Planner'!$AA872&gt;0),'Activity Planner'!$F872+ROW()/100000,"")</f>
        <v>0</v>
      </c>
    </row>
    <row r="873" spans="17:18">
      <c r="Q873">
        <f>IF(INDEX('Activity Planner'!$O873:$Z873,SelMonthNum)=1,'Activity Planner'!$F873+ROW()/100000,"")</f>
        <v>0</v>
      </c>
      <c r="R873">
        <f>IF(AND('Activity Planner'!$N873=1,'Activity Planner'!$C873=SelPractice,'Activity Planner'!$AA873&gt;0),'Activity Planner'!$F873+ROW()/100000,"")</f>
        <v>0</v>
      </c>
    </row>
    <row r="874" spans="17:18">
      <c r="Q874">
        <f>IF(INDEX('Activity Planner'!$O874:$Z874,SelMonthNum)=1,'Activity Planner'!$F874+ROW()/100000,"")</f>
        <v>0</v>
      </c>
      <c r="R874">
        <f>IF(AND('Activity Planner'!$N874=1,'Activity Planner'!$C874=SelPractice,'Activity Planner'!$AA874&gt;0),'Activity Planner'!$F874+ROW()/100000,"")</f>
        <v>0</v>
      </c>
    </row>
    <row r="875" spans="17:18">
      <c r="Q875">
        <f>IF(INDEX('Activity Planner'!$O875:$Z875,SelMonthNum)=1,'Activity Planner'!$F875+ROW()/100000,"")</f>
        <v>0</v>
      </c>
      <c r="R875">
        <f>IF(AND('Activity Planner'!$N875=1,'Activity Planner'!$C875=SelPractice,'Activity Planner'!$AA875&gt;0),'Activity Planner'!$F875+ROW()/100000,"")</f>
        <v>0</v>
      </c>
    </row>
    <row r="876" spans="17:18">
      <c r="Q876">
        <f>IF(INDEX('Activity Planner'!$O876:$Z876,SelMonthNum)=1,'Activity Planner'!$F876+ROW()/100000,"")</f>
        <v>0</v>
      </c>
      <c r="R876">
        <f>IF(AND('Activity Planner'!$N876=1,'Activity Planner'!$C876=SelPractice,'Activity Planner'!$AA876&gt;0),'Activity Planner'!$F876+ROW()/100000,"")</f>
        <v>0</v>
      </c>
    </row>
    <row r="877" spans="17:18">
      <c r="Q877">
        <f>IF(INDEX('Activity Planner'!$O877:$Z877,SelMonthNum)=1,'Activity Planner'!$F877+ROW()/100000,"")</f>
        <v>0</v>
      </c>
      <c r="R877">
        <f>IF(AND('Activity Planner'!$N877=1,'Activity Planner'!$C877=SelPractice,'Activity Planner'!$AA877&gt;0),'Activity Planner'!$F877+ROW()/100000,"")</f>
        <v>0</v>
      </c>
    </row>
    <row r="878" spans="17:18">
      <c r="Q878">
        <f>IF(INDEX('Activity Planner'!$O878:$Z878,SelMonthNum)=1,'Activity Planner'!$F878+ROW()/100000,"")</f>
        <v>0</v>
      </c>
      <c r="R878">
        <f>IF(AND('Activity Planner'!$N878=1,'Activity Planner'!$C878=SelPractice,'Activity Planner'!$AA878&gt;0),'Activity Planner'!$F878+ROW()/100000,"")</f>
        <v>0</v>
      </c>
    </row>
    <row r="879" spans="17:18">
      <c r="Q879">
        <f>IF(INDEX('Activity Planner'!$O879:$Z879,SelMonthNum)=1,'Activity Planner'!$F879+ROW()/100000,"")</f>
        <v>0</v>
      </c>
      <c r="R879">
        <f>IF(AND('Activity Planner'!$N879=1,'Activity Planner'!$C879=SelPractice,'Activity Planner'!$AA879&gt;0),'Activity Planner'!$F879+ROW()/100000,"")</f>
        <v>0</v>
      </c>
    </row>
    <row r="880" spans="17:18">
      <c r="Q880">
        <f>IF(INDEX('Activity Planner'!$O880:$Z880,SelMonthNum)=1,'Activity Planner'!$F880+ROW()/100000,"")</f>
        <v>0</v>
      </c>
      <c r="R880">
        <f>IF(AND('Activity Planner'!$N880=1,'Activity Planner'!$C880=SelPractice,'Activity Planner'!$AA880&gt;0),'Activity Planner'!$F880+ROW()/100000,"")</f>
        <v>0</v>
      </c>
    </row>
    <row r="881" spans="17:18">
      <c r="Q881">
        <f>IF(INDEX('Activity Planner'!$O881:$Z881,SelMonthNum)=1,'Activity Planner'!$F881+ROW()/100000,"")</f>
        <v>0</v>
      </c>
      <c r="R881">
        <f>IF(AND('Activity Planner'!$N881=1,'Activity Planner'!$C881=SelPractice,'Activity Planner'!$AA881&gt;0),'Activity Planner'!$F881+ROW()/100000,"")</f>
        <v>0</v>
      </c>
    </row>
    <row r="882" spans="17:18">
      <c r="Q882">
        <f>IF(INDEX('Activity Planner'!$O882:$Z882,SelMonthNum)=1,'Activity Planner'!$F882+ROW()/100000,"")</f>
        <v>0</v>
      </c>
      <c r="R882">
        <f>IF(AND('Activity Planner'!$N882=1,'Activity Planner'!$C882=SelPractice,'Activity Planner'!$AA882&gt;0),'Activity Planner'!$F882+ROW()/100000,"")</f>
        <v>0</v>
      </c>
    </row>
    <row r="883" spans="17:18">
      <c r="Q883">
        <f>IF(INDEX('Activity Planner'!$O883:$Z883,SelMonthNum)=1,'Activity Planner'!$F883+ROW()/100000,"")</f>
        <v>0</v>
      </c>
      <c r="R883">
        <f>IF(AND('Activity Planner'!$N883=1,'Activity Planner'!$C883=SelPractice,'Activity Planner'!$AA883&gt;0),'Activity Planner'!$F883+ROW()/100000,"")</f>
        <v>0</v>
      </c>
    </row>
    <row r="884" spans="17:18">
      <c r="Q884">
        <f>IF(INDEX('Activity Planner'!$O884:$Z884,SelMonthNum)=1,'Activity Planner'!$F884+ROW()/100000,"")</f>
        <v>0</v>
      </c>
      <c r="R884">
        <f>IF(AND('Activity Planner'!$N884=1,'Activity Planner'!$C884=SelPractice,'Activity Planner'!$AA884&gt;0),'Activity Planner'!$F884+ROW()/100000,"")</f>
        <v>0</v>
      </c>
    </row>
    <row r="885" spans="17:18">
      <c r="Q885">
        <f>IF(INDEX('Activity Planner'!$O885:$Z885,SelMonthNum)=1,'Activity Planner'!$F885+ROW()/100000,"")</f>
        <v>0</v>
      </c>
      <c r="R885">
        <f>IF(AND('Activity Planner'!$N885=1,'Activity Planner'!$C885=SelPractice,'Activity Planner'!$AA885&gt;0),'Activity Planner'!$F885+ROW()/100000,"")</f>
        <v>0</v>
      </c>
    </row>
    <row r="886" spans="17:18">
      <c r="Q886">
        <f>IF(INDEX('Activity Planner'!$O886:$Z886,SelMonthNum)=1,'Activity Planner'!$F886+ROW()/100000,"")</f>
        <v>0</v>
      </c>
      <c r="R886">
        <f>IF(AND('Activity Planner'!$N886=1,'Activity Planner'!$C886=SelPractice,'Activity Planner'!$AA886&gt;0),'Activity Planner'!$F886+ROW()/100000,"")</f>
        <v>0</v>
      </c>
    </row>
    <row r="887" spans="17:18">
      <c r="Q887">
        <f>IF(INDEX('Activity Planner'!$O887:$Z887,SelMonthNum)=1,'Activity Planner'!$F887+ROW()/100000,"")</f>
        <v>0</v>
      </c>
      <c r="R887">
        <f>IF(AND('Activity Planner'!$N887=1,'Activity Planner'!$C887=SelPractice,'Activity Planner'!$AA887&gt;0),'Activity Planner'!$F887+ROW()/100000,"")</f>
        <v>0</v>
      </c>
    </row>
    <row r="888" spans="17:18">
      <c r="Q888">
        <f>IF(INDEX('Activity Planner'!$O888:$Z888,SelMonthNum)=1,'Activity Planner'!$F888+ROW()/100000,"")</f>
        <v>0</v>
      </c>
      <c r="R888">
        <f>IF(AND('Activity Planner'!$N888=1,'Activity Planner'!$C888=SelPractice,'Activity Planner'!$AA888&gt;0),'Activity Planner'!$F888+ROW()/100000,"")</f>
        <v>0</v>
      </c>
    </row>
    <row r="889" spans="17:18">
      <c r="Q889">
        <f>IF(INDEX('Activity Planner'!$O889:$Z889,SelMonthNum)=1,'Activity Planner'!$F889+ROW()/100000,"")</f>
        <v>0</v>
      </c>
      <c r="R889">
        <f>IF(AND('Activity Planner'!$N889=1,'Activity Planner'!$C889=SelPractice,'Activity Planner'!$AA889&gt;0),'Activity Planner'!$F889+ROW()/100000,"")</f>
        <v>0</v>
      </c>
    </row>
    <row r="890" spans="17:18">
      <c r="Q890">
        <f>IF(INDEX('Activity Planner'!$O890:$Z890,SelMonthNum)=1,'Activity Planner'!$F890+ROW()/100000,"")</f>
        <v>0</v>
      </c>
      <c r="R890">
        <f>IF(AND('Activity Planner'!$N890=1,'Activity Planner'!$C890=SelPractice,'Activity Planner'!$AA890&gt;0),'Activity Planner'!$F890+ROW()/100000,"")</f>
        <v>0</v>
      </c>
    </row>
    <row r="891" spans="17:18">
      <c r="Q891">
        <f>IF(INDEX('Activity Planner'!$O891:$Z891,SelMonthNum)=1,'Activity Planner'!$F891+ROW()/100000,"")</f>
        <v>0</v>
      </c>
      <c r="R891">
        <f>IF(AND('Activity Planner'!$N891=1,'Activity Planner'!$C891=SelPractice,'Activity Planner'!$AA891&gt;0),'Activity Planner'!$F891+ROW()/100000,"")</f>
        <v>0</v>
      </c>
    </row>
    <row r="892" spans="17:18">
      <c r="Q892">
        <f>IF(INDEX('Activity Planner'!$O892:$Z892,SelMonthNum)=1,'Activity Planner'!$F892+ROW()/100000,"")</f>
        <v>0</v>
      </c>
      <c r="R892">
        <f>IF(AND('Activity Planner'!$N892=1,'Activity Planner'!$C892=SelPractice,'Activity Planner'!$AA892&gt;0),'Activity Planner'!$F892+ROW()/100000,"")</f>
        <v>0</v>
      </c>
    </row>
    <row r="893" spans="17:18">
      <c r="Q893">
        <f>IF(INDEX('Activity Planner'!$O893:$Z893,SelMonthNum)=1,'Activity Planner'!$F893+ROW()/100000,"")</f>
        <v>0</v>
      </c>
      <c r="R893">
        <f>IF(AND('Activity Planner'!$N893=1,'Activity Planner'!$C893=SelPractice,'Activity Planner'!$AA893&gt;0),'Activity Planner'!$F893+ROW()/100000,"")</f>
        <v>0</v>
      </c>
    </row>
    <row r="894" spans="17:18">
      <c r="Q894">
        <f>IF(INDEX('Activity Planner'!$O894:$Z894,SelMonthNum)=1,'Activity Planner'!$F894+ROW()/100000,"")</f>
        <v>0</v>
      </c>
      <c r="R894">
        <f>IF(AND('Activity Planner'!$N894=1,'Activity Planner'!$C894=SelPractice,'Activity Planner'!$AA894&gt;0),'Activity Planner'!$F894+ROW()/100000,"")</f>
        <v>0</v>
      </c>
    </row>
    <row r="895" spans="17:18">
      <c r="Q895">
        <f>IF(INDEX('Activity Planner'!$O895:$Z895,SelMonthNum)=1,'Activity Planner'!$F895+ROW()/100000,"")</f>
        <v>0</v>
      </c>
      <c r="R895">
        <f>IF(AND('Activity Planner'!$N895=1,'Activity Planner'!$C895=SelPractice,'Activity Planner'!$AA895&gt;0),'Activity Planner'!$F895+ROW()/100000,"")</f>
        <v>0</v>
      </c>
    </row>
    <row r="896" spans="17:18">
      <c r="Q896">
        <f>IF(INDEX('Activity Planner'!$O896:$Z896,SelMonthNum)=1,'Activity Planner'!$F896+ROW()/100000,"")</f>
        <v>0</v>
      </c>
      <c r="R896">
        <f>IF(AND('Activity Planner'!$N896=1,'Activity Planner'!$C896=SelPractice,'Activity Planner'!$AA896&gt;0),'Activity Planner'!$F896+ROW()/100000,"")</f>
        <v>0</v>
      </c>
    </row>
    <row r="897" spans="17:18">
      <c r="Q897">
        <f>IF(INDEX('Activity Planner'!$O897:$Z897,SelMonthNum)=1,'Activity Planner'!$F897+ROW()/100000,"")</f>
        <v>0</v>
      </c>
      <c r="R897">
        <f>IF(AND('Activity Planner'!$N897=1,'Activity Planner'!$C897=SelPractice,'Activity Planner'!$AA897&gt;0),'Activity Planner'!$F897+ROW()/100000,"")</f>
        <v>0</v>
      </c>
    </row>
    <row r="898" spans="17:18">
      <c r="Q898">
        <f>IF(INDEX('Activity Planner'!$O898:$Z898,SelMonthNum)=1,'Activity Planner'!$F898+ROW()/100000,"")</f>
        <v>0</v>
      </c>
      <c r="R898">
        <f>IF(AND('Activity Planner'!$N898=1,'Activity Planner'!$C898=SelPractice,'Activity Planner'!$AA898&gt;0),'Activity Planner'!$F898+ROW()/100000,"")</f>
        <v>0</v>
      </c>
    </row>
    <row r="899" spans="17:18">
      <c r="Q899">
        <f>IF(INDEX('Activity Planner'!$O899:$Z899,SelMonthNum)=1,'Activity Planner'!$F899+ROW()/100000,"")</f>
        <v>0</v>
      </c>
      <c r="R899">
        <f>IF(AND('Activity Planner'!$N899=1,'Activity Planner'!$C899=SelPractice,'Activity Planner'!$AA899&gt;0),'Activity Planner'!$F899+ROW()/100000,"")</f>
        <v>0</v>
      </c>
    </row>
    <row r="900" spans="17:18">
      <c r="Q900">
        <f>IF(INDEX('Activity Planner'!$O900:$Z900,SelMonthNum)=1,'Activity Planner'!$F900+ROW()/100000,"")</f>
        <v>0</v>
      </c>
      <c r="R900">
        <f>IF(AND('Activity Planner'!$N900=1,'Activity Planner'!$C900=SelPractice,'Activity Planner'!$AA900&gt;0),'Activity Planner'!$F900+ROW()/100000,"")</f>
        <v>0</v>
      </c>
    </row>
    <row r="901" spans="17:18">
      <c r="Q901">
        <f>IF(INDEX('Activity Planner'!$O901:$Z901,SelMonthNum)=1,'Activity Planner'!$F901+ROW()/100000,"")</f>
        <v>0</v>
      </c>
      <c r="R901">
        <f>IF(AND('Activity Planner'!$N901=1,'Activity Planner'!$C901=SelPractice,'Activity Planner'!$AA901&gt;0),'Activity Planner'!$F901+ROW()/100000,"")</f>
        <v>0</v>
      </c>
    </row>
    <row r="902" spans="17:18">
      <c r="Q902">
        <f>IF(INDEX('Activity Planner'!$O902:$Z902,SelMonthNum)=1,'Activity Planner'!$F902+ROW()/100000,"")</f>
        <v>0</v>
      </c>
      <c r="R902">
        <f>IF(AND('Activity Planner'!$N902=1,'Activity Planner'!$C902=SelPractice,'Activity Planner'!$AA902&gt;0),'Activity Planner'!$F902+ROW()/100000,"")</f>
        <v>0</v>
      </c>
    </row>
    <row r="903" spans="17:18">
      <c r="Q903">
        <f>IF(INDEX('Activity Planner'!$O903:$Z903,SelMonthNum)=1,'Activity Planner'!$F903+ROW()/100000,"")</f>
        <v>0</v>
      </c>
      <c r="R903">
        <f>IF(AND('Activity Planner'!$N903=1,'Activity Planner'!$C903=SelPractice,'Activity Planner'!$AA903&gt;0),'Activity Planner'!$F903+ROW()/100000,"")</f>
        <v>0</v>
      </c>
    </row>
    <row r="904" spans="17:18">
      <c r="Q904">
        <f>IF(INDEX('Activity Planner'!$O904:$Z904,SelMonthNum)=1,'Activity Planner'!$F904+ROW()/100000,"")</f>
        <v>0</v>
      </c>
      <c r="R904">
        <f>IF(AND('Activity Planner'!$N904=1,'Activity Planner'!$C904=SelPractice,'Activity Planner'!$AA904&gt;0),'Activity Planner'!$F904+ROW()/100000,"")</f>
        <v>0</v>
      </c>
    </row>
    <row r="905" spans="17:18">
      <c r="Q905">
        <f>IF(INDEX('Activity Planner'!$O905:$Z905,SelMonthNum)=1,'Activity Planner'!$F905+ROW()/100000,"")</f>
        <v>0</v>
      </c>
      <c r="R905">
        <f>IF(AND('Activity Planner'!$N905=1,'Activity Planner'!$C905=SelPractice,'Activity Planner'!$AA905&gt;0),'Activity Planner'!$F905+ROW()/100000,"")</f>
        <v>0</v>
      </c>
    </row>
    <row r="906" spans="17:18">
      <c r="Q906">
        <f>IF(INDEX('Activity Planner'!$O906:$Z906,SelMonthNum)=1,'Activity Planner'!$F906+ROW()/100000,"")</f>
        <v>0</v>
      </c>
      <c r="R906">
        <f>IF(AND('Activity Planner'!$N906=1,'Activity Planner'!$C906=SelPractice,'Activity Planner'!$AA906&gt;0),'Activity Planner'!$F906+ROW()/100000,"")</f>
        <v>0</v>
      </c>
    </row>
    <row r="907" spans="17:18">
      <c r="Q907">
        <f>IF(INDEX('Activity Planner'!$O907:$Z907,SelMonthNum)=1,'Activity Planner'!$F907+ROW()/100000,"")</f>
        <v>0</v>
      </c>
      <c r="R907">
        <f>IF(AND('Activity Planner'!$N907=1,'Activity Planner'!$C907=SelPractice,'Activity Planner'!$AA907&gt;0),'Activity Planner'!$F907+ROW()/100000,"")</f>
        <v>0</v>
      </c>
    </row>
    <row r="908" spans="17:18">
      <c r="Q908">
        <f>IF(INDEX('Activity Planner'!$O908:$Z908,SelMonthNum)=1,'Activity Planner'!$F908+ROW()/100000,"")</f>
        <v>0</v>
      </c>
      <c r="R908">
        <f>IF(AND('Activity Planner'!$N908=1,'Activity Planner'!$C908=SelPractice,'Activity Planner'!$AA908&gt;0),'Activity Planner'!$F908+ROW()/100000,"")</f>
        <v>0</v>
      </c>
    </row>
    <row r="909" spans="17:18">
      <c r="Q909">
        <f>IF(INDEX('Activity Planner'!$O909:$Z909,SelMonthNum)=1,'Activity Planner'!$F909+ROW()/100000,"")</f>
        <v>0</v>
      </c>
      <c r="R909">
        <f>IF(AND('Activity Planner'!$N909=1,'Activity Planner'!$C909=SelPractice,'Activity Planner'!$AA909&gt;0),'Activity Planner'!$F909+ROW()/100000,"")</f>
        <v>0</v>
      </c>
    </row>
    <row r="910" spans="17:18">
      <c r="Q910">
        <f>IF(INDEX('Activity Planner'!$O910:$Z910,SelMonthNum)=1,'Activity Planner'!$F910+ROW()/100000,"")</f>
        <v>0</v>
      </c>
      <c r="R910">
        <f>IF(AND('Activity Planner'!$N910=1,'Activity Planner'!$C910=SelPractice,'Activity Planner'!$AA910&gt;0),'Activity Planner'!$F910+ROW()/100000,"")</f>
        <v>0</v>
      </c>
    </row>
    <row r="911" spans="17:18">
      <c r="Q911">
        <f>IF(INDEX('Activity Planner'!$O911:$Z911,SelMonthNum)=1,'Activity Planner'!$F911+ROW()/100000,"")</f>
        <v>0</v>
      </c>
      <c r="R911">
        <f>IF(AND('Activity Planner'!$N911=1,'Activity Planner'!$C911=SelPractice,'Activity Planner'!$AA911&gt;0),'Activity Planner'!$F911+ROW()/100000,"")</f>
        <v>0</v>
      </c>
    </row>
    <row r="912" spans="17:18">
      <c r="Q912">
        <f>IF(INDEX('Activity Planner'!$O912:$Z912,SelMonthNum)=1,'Activity Planner'!$F912+ROW()/100000,"")</f>
        <v>0</v>
      </c>
      <c r="R912">
        <f>IF(AND('Activity Planner'!$N912=1,'Activity Planner'!$C912=SelPractice,'Activity Planner'!$AA912&gt;0),'Activity Planner'!$F912+ROW()/100000,"")</f>
        <v>0</v>
      </c>
    </row>
    <row r="913" spans="17:18">
      <c r="Q913">
        <f>IF(INDEX('Activity Planner'!$O913:$Z913,SelMonthNum)=1,'Activity Planner'!$F913+ROW()/100000,"")</f>
        <v>0</v>
      </c>
      <c r="R913">
        <f>IF(AND('Activity Planner'!$N913=1,'Activity Planner'!$C913=SelPractice,'Activity Planner'!$AA913&gt;0),'Activity Planner'!$F913+ROW()/100000,"")</f>
        <v>0</v>
      </c>
    </row>
    <row r="914" spans="17:18">
      <c r="Q914">
        <f>IF(INDEX('Activity Planner'!$O914:$Z914,SelMonthNum)=1,'Activity Planner'!$F914+ROW()/100000,"")</f>
        <v>0</v>
      </c>
      <c r="R914">
        <f>IF(AND('Activity Planner'!$N914=1,'Activity Planner'!$C914=SelPractice,'Activity Planner'!$AA914&gt;0),'Activity Planner'!$F914+ROW()/100000,"")</f>
        <v>0</v>
      </c>
    </row>
    <row r="915" spans="17:18">
      <c r="Q915">
        <f>IF(INDEX('Activity Planner'!$O915:$Z915,SelMonthNum)=1,'Activity Planner'!$F915+ROW()/100000,"")</f>
        <v>0</v>
      </c>
      <c r="R915">
        <f>IF(AND('Activity Planner'!$N915=1,'Activity Planner'!$C915=SelPractice,'Activity Planner'!$AA915&gt;0),'Activity Planner'!$F915+ROW()/100000,"")</f>
        <v>0</v>
      </c>
    </row>
    <row r="916" spans="17:18">
      <c r="Q916">
        <f>IF(INDEX('Activity Planner'!$O916:$Z916,SelMonthNum)=1,'Activity Planner'!$F916+ROW()/100000,"")</f>
        <v>0</v>
      </c>
      <c r="R916">
        <f>IF(AND('Activity Planner'!$N916=1,'Activity Planner'!$C916=SelPractice,'Activity Planner'!$AA916&gt;0),'Activity Planner'!$F916+ROW()/100000,"")</f>
        <v>0</v>
      </c>
    </row>
    <row r="917" spans="17:18">
      <c r="Q917">
        <f>IF(INDEX('Activity Planner'!$O917:$Z917,SelMonthNum)=1,'Activity Planner'!$F917+ROW()/100000,"")</f>
        <v>0</v>
      </c>
      <c r="R917">
        <f>IF(AND('Activity Planner'!$N917=1,'Activity Planner'!$C917=SelPractice,'Activity Planner'!$AA917&gt;0),'Activity Planner'!$F917+ROW()/100000,"")</f>
        <v>0</v>
      </c>
    </row>
    <row r="918" spans="17:18">
      <c r="Q918">
        <f>IF(INDEX('Activity Planner'!$O918:$Z918,SelMonthNum)=1,'Activity Planner'!$F918+ROW()/100000,"")</f>
        <v>0</v>
      </c>
      <c r="R918">
        <f>IF(AND('Activity Planner'!$N918=1,'Activity Planner'!$C918=SelPractice,'Activity Planner'!$AA918&gt;0),'Activity Planner'!$F918+ROW()/100000,"")</f>
        <v>0</v>
      </c>
    </row>
    <row r="919" spans="17:18">
      <c r="Q919">
        <f>IF(INDEX('Activity Planner'!$O919:$Z919,SelMonthNum)=1,'Activity Planner'!$F919+ROW()/100000,"")</f>
        <v>0</v>
      </c>
      <c r="R919">
        <f>IF(AND('Activity Planner'!$N919=1,'Activity Planner'!$C919=SelPractice,'Activity Planner'!$AA919&gt;0),'Activity Planner'!$F919+ROW()/100000,"")</f>
        <v>0</v>
      </c>
    </row>
    <row r="920" spans="17:18">
      <c r="Q920">
        <f>IF(INDEX('Activity Planner'!$O920:$Z920,SelMonthNum)=1,'Activity Planner'!$F920+ROW()/100000,"")</f>
        <v>0</v>
      </c>
      <c r="R920">
        <f>IF(AND('Activity Planner'!$N920=1,'Activity Planner'!$C920=SelPractice,'Activity Planner'!$AA920&gt;0),'Activity Planner'!$F920+ROW()/100000,"")</f>
        <v>0</v>
      </c>
    </row>
    <row r="921" spans="17:18">
      <c r="Q921">
        <f>IF(INDEX('Activity Planner'!$O921:$Z921,SelMonthNum)=1,'Activity Planner'!$F921+ROW()/100000,"")</f>
        <v>0</v>
      </c>
      <c r="R921">
        <f>IF(AND('Activity Planner'!$N921=1,'Activity Planner'!$C921=SelPractice,'Activity Planner'!$AA921&gt;0),'Activity Planner'!$F921+ROW()/100000,"")</f>
        <v>0</v>
      </c>
    </row>
    <row r="922" spans="17:18">
      <c r="Q922">
        <f>IF(INDEX('Activity Planner'!$O922:$Z922,SelMonthNum)=1,'Activity Planner'!$F922+ROW()/100000,"")</f>
        <v>0</v>
      </c>
      <c r="R922">
        <f>IF(AND('Activity Planner'!$N922=1,'Activity Planner'!$C922=SelPractice,'Activity Planner'!$AA922&gt;0),'Activity Planner'!$F922+ROW()/100000,"")</f>
        <v>0</v>
      </c>
    </row>
    <row r="923" spans="17:18">
      <c r="Q923">
        <f>IF(INDEX('Activity Planner'!$O923:$Z923,SelMonthNum)=1,'Activity Planner'!$F923+ROW()/100000,"")</f>
        <v>0</v>
      </c>
      <c r="R923">
        <f>IF(AND('Activity Planner'!$N923=1,'Activity Planner'!$C923=SelPractice,'Activity Planner'!$AA923&gt;0),'Activity Planner'!$F923+ROW()/100000,"")</f>
        <v>0</v>
      </c>
    </row>
    <row r="924" spans="17:18">
      <c r="Q924">
        <f>IF(INDEX('Activity Planner'!$O924:$Z924,SelMonthNum)=1,'Activity Planner'!$F924+ROW()/100000,"")</f>
        <v>0</v>
      </c>
      <c r="R924">
        <f>IF(AND('Activity Planner'!$N924=1,'Activity Planner'!$C924=SelPractice,'Activity Planner'!$AA924&gt;0),'Activity Planner'!$F924+ROW()/100000,"")</f>
        <v>0</v>
      </c>
    </row>
    <row r="925" spans="17:18">
      <c r="Q925">
        <f>IF(INDEX('Activity Planner'!$O925:$Z925,SelMonthNum)=1,'Activity Planner'!$F925+ROW()/100000,"")</f>
        <v>0</v>
      </c>
      <c r="R925">
        <f>IF(AND('Activity Planner'!$N925=1,'Activity Planner'!$C925=SelPractice,'Activity Planner'!$AA925&gt;0),'Activity Planner'!$F925+ROW()/100000,"")</f>
        <v>0</v>
      </c>
    </row>
    <row r="926" spans="17:18">
      <c r="Q926">
        <f>IF(INDEX('Activity Planner'!$O926:$Z926,SelMonthNum)=1,'Activity Planner'!$F926+ROW()/100000,"")</f>
        <v>0</v>
      </c>
      <c r="R926">
        <f>IF(AND('Activity Planner'!$N926=1,'Activity Planner'!$C926=SelPractice,'Activity Planner'!$AA926&gt;0),'Activity Planner'!$F926+ROW()/100000,"")</f>
        <v>0</v>
      </c>
    </row>
    <row r="927" spans="17:18">
      <c r="Q927">
        <f>IF(INDEX('Activity Planner'!$O927:$Z927,SelMonthNum)=1,'Activity Planner'!$F927+ROW()/100000,"")</f>
        <v>0</v>
      </c>
      <c r="R927">
        <f>IF(AND('Activity Planner'!$N927=1,'Activity Planner'!$C927=SelPractice,'Activity Planner'!$AA927&gt;0),'Activity Planner'!$F927+ROW()/100000,"")</f>
        <v>0</v>
      </c>
    </row>
    <row r="928" spans="17:18">
      <c r="Q928">
        <f>IF(INDEX('Activity Planner'!$O928:$Z928,SelMonthNum)=1,'Activity Planner'!$F928+ROW()/100000,"")</f>
        <v>0</v>
      </c>
      <c r="R928">
        <f>IF(AND('Activity Planner'!$N928=1,'Activity Planner'!$C928=SelPractice,'Activity Planner'!$AA928&gt;0),'Activity Planner'!$F928+ROW()/100000,"")</f>
        <v>0</v>
      </c>
    </row>
    <row r="929" spans="17:18">
      <c r="Q929">
        <f>IF(INDEX('Activity Planner'!$O929:$Z929,SelMonthNum)=1,'Activity Planner'!$F929+ROW()/100000,"")</f>
        <v>0</v>
      </c>
      <c r="R929">
        <f>IF(AND('Activity Planner'!$N929=1,'Activity Planner'!$C929=SelPractice,'Activity Planner'!$AA929&gt;0),'Activity Planner'!$F929+ROW()/100000,"")</f>
        <v>0</v>
      </c>
    </row>
    <row r="930" spans="17:18">
      <c r="Q930">
        <f>IF(INDEX('Activity Planner'!$O930:$Z930,SelMonthNum)=1,'Activity Planner'!$F930+ROW()/100000,"")</f>
        <v>0</v>
      </c>
      <c r="R930">
        <f>IF(AND('Activity Planner'!$N930=1,'Activity Planner'!$C930=SelPractice,'Activity Planner'!$AA930&gt;0),'Activity Planner'!$F930+ROW()/100000,"")</f>
        <v>0</v>
      </c>
    </row>
    <row r="931" spans="17:18">
      <c r="Q931">
        <f>IF(INDEX('Activity Planner'!$O931:$Z931,SelMonthNum)=1,'Activity Planner'!$F931+ROW()/100000,"")</f>
        <v>0</v>
      </c>
      <c r="R931">
        <f>IF(AND('Activity Planner'!$N931=1,'Activity Planner'!$C931=SelPractice,'Activity Planner'!$AA931&gt;0),'Activity Planner'!$F931+ROW()/100000,"")</f>
        <v>0</v>
      </c>
    </row>
    <row r="932" spans="17:18">
      <c r="Q932">
        <f>IF(INDEX('Activity Planner'!$O932:$Z932,SelMonthNum)=1,'Activity Planner'!$F932+ROW()/100000,"")</f>
        <v>0</v>
      </c>
      <c r="R932">
        <f>IF(AND('Activity Planner'!$N932=1,'Activity Planner'!$C932=SelPractice,'Activity Planner'!$AA932&gt;0),'Activity Planner'!$F932+ROW()/100000,"")</f>
        <v>0</v>
      </c>
    </row>
    <row r="933" spans="17:18">
      <c r="Q933">
        <f>IF(INDEX('Activity Planner'!$O933:$Z933,SelMonthNum)=1,'Activity Planner'!$F933+ROW()/100000,"")</f>
        <v>0</v>
      </c>
      <c r="R933">
        <f>IF(AND('Activity Planner'!$N933=1,'Activity Planner'!$C933=SelPractice,'Activity Planner'!$AA933&gt;0),'Activity Planner'!$F933+ROW()/100000,"")</f>
        <v>0</v>
      </c>
    </row>
    <row r="934" spans="17:18">
      <c r="Q934">
        <f>IF(INDEX('Activity Planner'!$O934:$Z934,SelMonthNum)=1,'Activity Planner'!$F934+ROW()/100000,"")</f>
        <v>0</v>
      </c>
      <c r="R934">
        <f>IF(AND('Activity Planner'!$N934=1,'Activity Planner'!$C934=SelPractice,'Activity Planner'!$AA934&gt;0),'Activity Planner'!$F934+ROW()/100000,"")</f>
        <v>0</v>
      </c>
    </row>
    <row r="935" spans="17:18">
      <c r="Q935">
        <f>IF(INDEX('Activity Planner'!$O935:$Z935,SelMonthNum)=1,'Activity Planner'!$F935+ROW()/100000,"")</f>
        <v>0</v>
      </c>
      <c r="R935">
        <f>IF(AND('Activity Planner'!$N935=1,'Activity Planner'!$C935=SelPractice,'Activity Planner'!$AA935&gt;0),'Activity Planner'!$F935+ROW()/100000,"")</f>
        <v>0</v>
      </c>
    </row>
    <row r="936" spans="17:18">
      <c r="Q936">
        <f>IF(INDEX('Activity Planner'!$O936:$Z936,SelMonthNum)=1,'Activity Planner'!$F936+ROW()/100000,"")</f>
        <v>0</v>
      </c>
      <c r="R936">
        <f>IF(AND('Activity Planner'!$N936=1,'Activity Planner'!$C936=SelPractice,'Activity Planner'!$AA936&gt;0),'Activity Planner'!$F936+ROW()/100000,"")</f>
        <v>0</v>
      </c>
    </row>
    <row r="937" spans="17:18">
      <c r="Q937">
        <f>IF(INDEX('Activity Planner'!$O937:$Z937,SelMonthNum)=1,'Activity Planner'!$F937+ROW()/100000,"")</f>
        <v>0</v>
      </c>
      <c r="R937">
        <f>IF(AND('Activity Planner'!$N937=1,'Activity Planner'!$C937=SelPractice,'Activity Planner'!$AA937&gt;0),'Activity Planner'!$F937+ROW()/100000,"")</f>
        <v>0</v>
      </c>
    </row>
    <row r="938" spans="17:18">
      <c r="Q938">
        <f>IF(INDEX('Activity Planner'!$O938:$Z938,SelMonthNum)=1,'Activity Planner'!$F938+ROW()/100000,"")</f>
        <v>0</v>
      </c>
      <c r="R938">
        <f>IF(AND('Activity Planner'!$N938=1,'Activity Planner'!$C938=SelPractice,'Activity Planner'!$AA938&gt;0),'Activity Planner'!$F938+ROW()/100000,"")</f>
        <v>0</v>
      </c>
    </row>
    <row r="939" spans="17:18">
      <c r="Q939">
        <f>IF(INDEX('Activity Planner'!$O939:$Z939,SelMonthNum)=1,'Activity Planner'!$F939+ROW()/100000,"")</f>
        <v>0</v>
      </c>
      <c r="R939">
        <f>IF(AND('Activity Planner'!$N939=1,'Activity Planner'!$C939=SelPractice,'Activity Planner'!$AA939&gt;0),'Activity Planner'!$F939+ROW()/100000,"")</f>
        <v>0</v>
      </c>
    </row>
    <row r="940" spans="17:18">
      <c r="Q940">
        <f>IF(INDEX('Activity Planner'!$O940:$Z940,SelMonthNum)=1,'Activity Planner'!$F940+ROW()/100000,"")</f>
        <v>0</v>
      </c>
      <c r="R940">
        <f>IF(AND('Activity Planner'!$N940=1,'Activity Planner'!$C940=SelPractice,'Activity Planner'!$AA940&gt;0),'Activity Planner'!$F940+ROW()/100000,"")</f>
        <v>0</v>
      </c>
    </row>
    <row r="941" spans="17:18">
      <c r="Q941">
        <f>IF(INDEX('Activity Planner'!$O941:$Z941,SelMonthNum)=1,'Activity Planner'!$F941+ROW()/100000,"")</f>
        <v>0</v>
      </c>
      <c r="R941">
        <f>IF(AND('Activity Planner'!$N941=1,'Activity Planner'!$C941=SelPractice,'Activity Planner'!$AA941&gt;0),'Activity Planner'!$F941+ROW()/100000,"")</f>
        <v>0</v>
      </c>
    </row>
    <row r="942" spans="17:18">
      <c r="Q942">
        <f>IF(INDEX('Activity Planner'!$O942:$Z942,SelMonthNum)=1,'Activity Planner'!$F942+ROW()/100000,"")</f>
        <v>0</v>
      </c>
      <c r="R942">
        <f>IF(AND('Activity Planner'!$N942=1,'Activity Planner'!$C942=SelPractice,'Activity Planner'!$AA942&gt;0),'Activity Planner'!$F942+ROW()/100000,"")</f>
        <v>0</v>
      </c>
    </row>
    <row r="943" spans="17:18">
      <c r="Q943">
        <f>IF(INDEX('Activity Planner'!$O943:$Z943,SelMonthNum)=1,'Activity Planner'!$F943+ROW()/100000,"")</f>
        <v>0</v>
      </c>
      <c r="R943">
        <f>IF(AND('Activity Planner'!$N943=1,'Activity Planner'!$C943=SelPractice,'Activity Planner'!$AA943&gt;0),'Activity Planner'!$F943+ROW()/100000,"")</f>
        <v>0</v>
      </c>
    </row>
    <row r="944" spans="17:18">
      <c r="Q944">
        <f>IF(INDEX('Activity Planner'!$O944:$Z944,SelMonthNum)=1,'Activity Planner'!$F944+ROW()/100000,"")</f>
        <v>0</v>
      </c>
      <c r="R944">
        <f>IF(AND('Activity Planner'!$N944=1,'Activity Planner'!$C944=SelPractice,'Activity Planner'!$AA944&gt;0),'Activity Planner'!$F944+ROW()/100000,"")</f>
        <v>0</v>
      </c>
    </row>
    <row r="945" spans="17:18">
      <c r="Q945">
        <f>IF(INDEX('Activity Planner'!$O945:$Z945,SelMonthNum)=1,'Activity Planner'!$F945+ROW()/100000,"")</f>
        <v>0</v>
      </c>
      <c r="R945">
        <f>IF(AND('Activity Planner'!$N945=1,'Activity Planner'!$C945=SelPractice,'Activity Planner'!$AA945&gt;0),'Activity Planner'!$F945+ROW()/100000,"")</f>
        <v>0</v>
      </c>
    </row>
    <row r="946" spans="17:18">
      <c r="Q946">
        <f>IF(INDEX('Activity Planner'!$O946:$Z946,SelMonthNum)=1,'Activity Planner'!$F946+ROW()/100000,"")</f>
        <v>0</v>
      </c>
      <c r="R946">
        <f>IF(AND('Activity Planner'!$N946=1,'Activity Planner'!$C946=SelPractice,'Activity Planner'!$AA946&gt;0),'Activity Planner'!$F946+ROW()/100000,"")</f>
        <v>0</v>
      </c>
    </row>
    <row r="947" spans="17:18">
      <c r="Q947">
        <f>IF(INDEX('Activity Planner'!$O947:$Z947,SelMonthNum)=1,'Activity Planner'!$F947+ROW()/100000,"")</f>
        <v>0</v>
      </c>
      <c r="R947">
        <f>IF(AND('Activity Planner'!$N947=1,'Activity Planner'!$C947=SelPractice,'Activity Planner'!$AA947&gt;0),'Activity Planner'!$F947+ROW()/100000,"")</f>
        <v>0</v>
      </c>
    </row>
    <row r="948" spans="17:18">
      <c r="Q948">
        <f>IF(INDEX('Activity Planner'!$O948:$Z948,SelMonthNum)=1,'Activity Planner'!$F948+ROW()/100000,"")</f>
        <v>0</v>
      </c>
      <c r="R948">
        <f>IF(AND('Activity Planner'!$N948=1,'Activity Planner'!$C948=SelPractice,'Activity Planner'!$AA948&gt;0),'Activity Planner'!$F948+ROW()/100000,"")</f>
        <v>0</v>
      </c>
    </row>
    <row r="949" spans="17:18">
      <c r="Q949">
        <f>IF(INDEX('Activity Planner'!$O949:$Z949,SelMonthNum)=1,'Activity Planner'!$F949+ROW()/100000,"")</f>
        <v>0</v>
      </c>
      <c r="R949">
        <f>IF(AND('Activity Planner'!$N949=1,'Activity Planner'!$C949=SelPractice,'Activity Planner'!$AA949&gt;0),'Activity Planner'!$F949+ROW()/100000,"")</f>
        <v>0</v>
      </c>
    </row>
    <row r="950" spans="17:18">
      <c r="Q950">
        <f>IF(INDEX('Activity Planner'!$O950:$Z950,SelMonthNum)=1,'Activity Planner'!$F950+ROW()/100000,"")</f>
        <v>0</v>
      </c>
      <c r="R950">
        <f>IF(AND('Activity Planner'!$N950=1,'Activity Planner'!$C950=SelPractice,'Activity Planner'!$AA950&gt;0),'Activity Planner'!$F950+ROW()/100000,"")</f>
        <v>0</v>
      </c>
    </row>
    <row r="951" spans="17:18">
      <c r="Q951">
        <f>IF(INDEX('Activity Planner'!$O951:$Z951,SelMonthNum)=1,'Activity Planner'!$F951+ROW()/100000,"")</f>
        <v>0</v>
      </c>
      <c r="R951">
        <f>IF(AND('Activity Planner'!$N951=1,'Activity Planner'!$C951=SelPractice,'Activity Planner'!$AA951&gt;0),'Activity Planner'!$F951+ROW()/100000,"")</f>
        <v>0</v>
      </c>
    </row>
    <row r="952" spans="17:18">
      <c r="Q952">
        <f>IF(INDEX('Activity Planner'!$O952:$Z952,SelMonthNum)=1,'Activity Planner'!$F952+ROW()/100000,"")</f>
        <v>0</v>
      </c>
      <c r="R952">
        <f>IF(AND('Activity Planner'!$N952=1,'Activity Planner'!$C952=SelPractice,'Activity Planner'!$AA952&gt;0),'Activity Planner'!$F952+ROW()/100000,"")</f>
        <v>0</v>
      </c>
    </row>
    <row r="953" spans="17:18">
      <c r="Q953">
        <f>IF(INDEX('Activity Planner'!$O953:$Z953,SelMonthNum)=1,'Activity Planner'!$F953+ROW()/100000,"")</f>
        <v>0</v>
      </c>
      <c r="R953">
        <f>IF(AND('Activity Planner'!$N953=1,'Activity Planner'!$C953=SelPractice,'Activity Planner'!$AA953&gt;0),'Activity Planner'!$F953+ROW()/100000,"")</f>
        <v>0</v>
      </c>
    </row>
    <row r="954" spans="17:18">
      <c r="Q954">
        <f>IF(INDEX('Activity Planner'!$O954:$Z954,SelMonthNum)=1,'Activity Planner'!$F954+ROW()/100000,"")</f>
        <v>0</v>
      </c>
      <c r="R954">
        <f>IF(AND('Activity Planner'!$N954=1,'Activity Planner'!$C954=SelPractice,'Activity Planner'!$AA954&gt;0),'Activity Planner'!$F954+ROW()/100000,"")</f>
        <v>0</v>
      </c>
    </row>
    <row r="955" spans="17:18">
      <c r="Q955">
        <f>IF(INDEX('Activity Planner'!$O955:$Z955,SelMonthNum)=1,'Activity Planner'!$F955+ROW()/100000,"")</f>
        <v>0</v>
      </c>
      <c r="R955">
        <f>IF(AND('Activity Planner'!$N955=1,'Activity Planner'!$C955=SelPractice,'Activity Planner'!$AA955&gt;0),'Activity Planner'!$F955+ROW()/100000,"")</f>
        <v>0</v>
      </c>
    </row>
    <row r="956" spans="17:18">
      <c r="Q956">
        <f>IF(INDEX('Activity Planner'!$O956:$Z956,SelMonthNum)=1,'Activity Planner'!$F956+ROW()/100000,"")</f>
        <v>0</v>
      </c>
      <c r="R956">
        <f>IF(AND('Activity Planner'!$N956=1,'Activity Planner'!$C956=SelPractice,'Activity Planner'!$AA956&gt;0),'Activity Planner'!$F956+ROW()/100000,"")</f>
        <v>0</v>
      </c>
    </row>
    <row r="957" spans="17:18">
      <c r="Q957">
        <f>IF(INDEX('Activity Planner'!$O957:$Z957,SelMonthNum)=1,'Activity Planner'!$F957+ROW()/100000,"")</f>
        <v>0</v>
      </c>
      <c r="R957">
        <f>IF(AND('Activity Planner'!$N957=1,'Activity Planner'!$C957=SelPractice,'Activity Planner'!$AA957&gt;0),'Activity Planner'!$F957+ROW()/100000,"")</f>
        <v>0</v>
      </c>
    </row>
    <row r="958" spans="17:18">
      <c r="Q958">
        <f>IF(INDEX('Activity Planner'!$O958:$Z958,SelMonthNum)=1,'Activity Planner'!$F958+ROW()/100000,"")</f>
        <v>0</v>
      </c>
      <c r="R958">
        <f>IF(AND('Activity Planner'!$N958=1,'Activity Planner'!$C958=SelPractice,'Activity Planner'!$AA958&gt;0),'Activity Planner'!$F958+ROW()/100000,"")</f>
        <v>0</v>
      </c>
    </row>
    <row r="959" spans="17:18">
      <c r="Q959">
        <f>IF(INDEX('Activity Planner'!$O959:$Z959,SelMonthNum)=1,'Activity Planner'!$F959+ROW()/100000,"")</f>
        <v>0</v>
      </c>
      <c r="R959">
        <f>IF(AND('Activity Planner'!$N959=1,'Activity Planner'!$C959=SelPractice,'Activity Planner'!$AA959&gt;0),'Activity Planner'!$F959+ROW()/100000,"")</f>
        <v>0</v>
      </c>
    </row>
    <row r="960" spans="17:18">
      <c r="Q960">
        <f>IF(INDEX('Activity Planner'!$O960:$Z960,SelMonthNum)=1,'Activity Planner'!$F960+ROW()/100000,"")</f>
        <v>0</v>
      </c>
      <c r="R960">
        <f>IF(AND('Activity Planner'!$N960=1,'Activity Planner'!$C960=SelPractice,'Activity Planner'!$AA960&gt;0),'Activity Planner'!$F960+ROW()/100000,"")</f>
        <v>0</v>
      </c>
    </row>
    <row r="961" spans="17:18">
      <c r="Q961">
        <f>IF(INDEX('Activity Planner'!$O961:$Z961,SelMonthNum)=1,'Activity Planner'!$F961+ROW()/100000,"")</f>
        <v>0</v>
      </c>
      <c r="R961">
        <f>IF(AND('Activity Planner'!$N961=1,'Activity Planner'!$C961=SelPractice,'Activity Planner'!$AA961&gt;0),'Activity Planner'!$F961+ROW()/100000,"")</f>
        <v>0</v>
      </c>
    </row>
    <row r="962" spans="17:18">
      <c r="Q962">
        <f>IF(INDEX('Activity Planner'!$O962:$Z962,SelMonthNum)=1,'Activity Planner'!$F962+ROW()/100000,"")</f>
        <v>0</v>
      </c>
      <c r="R962">
        <f>IF(AND('Activity Planner'!$N962=1,'Activity Planner'!$C962=SelPractice,'Activity Planner'!$AA962&gt;0),'Activity Planner'!$F962+ROW()/100000,"")</f>
        <v>0</v>
      </c>
    </row>
    <row r="963" spans="17:18">
      <c r="Q963">
        <f>IF(INDEX('Activity Planner'!$O963:$Z963,SelMonthNum)=1,'Activity Planner'!$F963+ROW()/100000,"")</f>
        <v>0</v>
      </c>
      <c r="R963">
        <f>IF(AND('Activity Planner'!$N963=1,'Activity Planner'!$C963=SelPractice,'Activity Planner'!$AA963&gt;0),'Activity Planner'!$F963+ROW()/100000,"")</f>
        <v>0</v>
      </c>
    </row>
    <row r="964" spans="17:18">
      <c r="Q964">
        <f>IF(INDEX('Activity Planner'!$O964:$Z964,SelMonthNum)=1,'Activity Planner'!$F964+ROW()/100000,"")</f>
        <v>0</v>
      </c>
      <c r="R964">
        <f>IF(AND('Activity Planner'!$N964=1,'Activity Planner'!$C964=SelPractice,'Activity Planner'!$AA964&gt;0),'Activity Planner'!$F964+ROW()/100000,"")</f>
        <v>0</v>
      </c>
    </row>
    <row r="965" spans="17:18">
      <c r="Q965">
        <f>IF(INDEX('Activity Planner'!$O965:$Z965,SelMonthNum)=1,'Activity Planner'!$F965+ROW()/100000,"")</f>
        <v>0</v>
      </c>
      <c r="R965">
        <f>IF(AND('Activity Planner'!$N965=1,'Activity Planner'!$C965=SelPractice,'Activity Planner'!$AA965&gt;0),'Activity Planner'!$F965+ROW()/100000,"")</f>
        <v>0</v>
      </c>
    </row>
    <row r="966" spans="17:18">
      <c r="Q966">
        <f>IF(INDEX('Activity Planner'!$O966:$Z966,SelMonthNum)=1,'Activity Planner'!$F966+ROW()/100000,"")</f>
        <v>0</v>
      </c>
      <c r="R966">
        <f>IF(AND('Activity Planner'!$N966=1,'Activity Planner'!$C966=SelPractice,'Activity Planner'!$AA966&gt;0),'Activity Planner'!$F966+ROW()/100000,"")</f>
        <v>0</v>
      </c>
    </row>
    <row r="967" spans="17:18">
      <c r="Q967">
        <f>IF(INDEX('Activity Planner'!$O967:$Z967,SelMonthNum)=1,'Activity Planner'!$F967+ROW()/100000,"")</f>
        <v>0</v>
      </c>
      <c r="R967">
        <f>IF(AND('Activity Planner'!$N967=1,'Activity Planner'!$C967=SelPractice,'Activity Planner'!$AA967&gt;0),'Activity Planner'!$F967+ROW()/100000,"")</f>
        <v>0</v>
      </c>
    </row>
    <row r="968" spans="17:18">
      <c r="Q968">
        <f>IF(INDEX('Activity Planner'!$O968:$Z968,SelMonthNum)=1,'Activity Planner'!$F968+ROW()/100000,"")</f>
        <v>0</v>
      </c>
      <c r="R968">
        <f>IF(AND('Activity Planner'!$N968=1,'Activity Planner'!$C968=SelPractice,'Activity Planner'!$AA968&gt;0),'Activity Planner'!$F968+ROW()/100000,"")</f>
        <v>0</v>
      </c>
    </row>
    <row r="969" spans="17:18">
      <c r="Q969">
        <f>IF(INDEX('Activity Planner'!$O969:$Z969,SelMonthNum)=1,'Activity Planner'!$F969+ROW()/100000,"")</f>
        <v>0</v>
      </c>
      <c r="R969">
        <f>IF(AND('Activity Planner'!$N969=1,'Activity Planner'!$C969=SelPractice,'Activity Planner'!$AA969&gt;0),'Activity Planner'!$F969+ROW()/100000,"")</f>
        <v>0</v>
      </c>
    </row>
    <row r="970" spans="17:18">
      <c r="Q970">
        <f>IF(INDEX('Activity Planner'!$O970:$Z970,SelMonthNum)=1,'Activity Planner'!$F970+ROW()/100000,"")</f>
        <v>0</v>
      </c>
      <c r="R970">
        <f>IF(AND('Activity Planner'!$N970=1,'Activity Planner'!$C970=SelPractice,'Activity Planner'!$AA970&gt;0),'Activity Planner'!$F970+ROW()/100000,"")</f>
        <v>0</v>
      </c>
    </row>
    <row r="971" spans="17:18">
      <c r="Q971">
        <f>IF(INDEX('Activity Planner'!$O971:$Z971,SelMonthNum)=1,'Activity Planner'!$F971+ROW()/100000,"")</f>
        <v>0</v>
      </c>
      <c r="R971">
        <f>IF(AND('Activity Planner'!$N971=1,'Activity Planner'!$C971=SelPractice,'Activity Planner'!$AA971&gt;0),'Activity Planner'!$F971+ROW()/100000,"")</f>
        <v>0</v>
      </c>
    </row>
    <row r="972" spans="17:18">
      <c r="Q972">
        <f>IF(INDEX('Activity Planner'!$O972:$Z972,SelMonthNum)=1,'Activity Planner'!$F972+ROW()/100000,"")</f>
        <v>0</v>
      </c>
      <c r="R972">
        <f>IF(AND('Activity Planner'!$N972=1,'Activity Planner'!$C972=SelPractice,'Activity Planner'!$AA972&gt;0),'Activity Planner'!$F972+ROW()/100000,"")</f>
        <v>0</v>
      </c>
    </row>
    <row r="973" spans="17:18">
      <c r="Q973">
        <f>IF(INDEX('Activity Planner'!$O973:$Z973,SelMonthNum)=1,'Activity Planner'!$F973+ROW()/100000,"")</f>
        <v>0</v>
      </c>
      <c r="R973">
        <f>IF(AND('Activity Planner'!$N973=1,'Activity Planner'!$C973=SelPractice,'Activity Planner'!$AA973&gt;0),'Activity Planner'!$F973+ROW()/100000,"")</f>
        <v>0</v>
      </c>
    </row>
    <row r="974" spans="17:18">
      <c r="Q974">
        <f>IF(INDEX('Activity Planner'!$O974:$Z974,SelMonthNum)=1,'Activity Planner'!$F974+ROW()/100000,"")</f>
        <v>0</v>
      </c>
      <c r="R974">
        <f>IF(AND('Activity Planner'!$N974=1,'Activity Planner'!$C974=SelPractice,'Activity Planner'!$AA974&gt;0),'Activity Planner'!$F974+ROW()/100000,"")</f>
        <v>0</v>
      </c>
    </row>
    <row r="975" spans="17:18">
      <c r="Q975">
        <f>IF(INDEX('Activity Planner'!$O975:$Z975,SelMonthNum)=1,'Activity Planner'!$F975+ROW()/100000,"")</f>
        <v>0</v>
      </c>
      <c r="R975">
        <f>IF(AND('Activity Planner'!$N975=1,'Activity Planner'!$C975=SelPractice,'Activity Planner'!$AA975&gt;0),'Activity Planner'!$F975+ROW()/100000,"")</f>
        <v>0</v>
      </c>
    </row>
    <row r="976" spans="17:18">
      <c r="Q976">
        <f>IF(INDEX('Activity Planner'!$O976:$Z976,SelMonthNum)=1,'Activity Planner'!$F976+ROW()/100000,"")</f>
        <v>0</v>
      </c>
      <c r="R976">
        <f>IF(AND('Activity Planner'!$N976=1,'Activity Planner'!$C976=SelPractice,'Activity Planner'!$AA976&gt;0),'Activity Planner'!$F976+ROW()/100000,"")</f>
        <v>0</v>
      </c>
    </row>
    <row r="977" spans="17:18">
      <c r="Q977">
        <f>IF(INDEX('Activity Planner'!$O977:$Z977,SelMonthNum)=1,'Activity Planner'!$F977+ROW()/100000,"")</f>
        <v>0</v>
      </c>
      <c r="R977">
        <f>IF(AND('Activity Planner'!$N977=1,'Activity Planner'!$C977=SelPractice,'Activity Planner'!$AA977&gt;0),'Activity Planner'!$F977+ROW()/100000,"")</f>
        <v>0</v>
      </c>
    </row>
    <row r="978" spans="17:18">
      <c r="Q978">
        <f>IF(INDEX('Activity Planner'!$O978:$Z978,SelMonthNum)=1,'Activity Planner'!$F978+ROW()/100000,"")</f>
        <v>0</v>
      </c>
      <c r="R978">
        <f>IF(AND('Activity Planner'!$N978=1,'Activity Planner'!$C978=SelPractice,'Activity Planner'!$AA978&gt;0),'Activity Planner'!$F978+ROW()/100000,"")</f>
        <v>0</v>
      </c>
    </row>
    <row r="979" spans="17:18">
      <c r="Q979">
        <f>IF(INDEX('Activity Planner'!$O979:$Z979,SelMonthNum)=1,'Activity Planner'!$F979+ROW()/100000,"")</f>
        <v>0</v>
      </c>
      <c r="R979">
        <f>IF(AND('Activity Planner'!$N979=1,'Activity Planner'!$C979=SelPractice,'Activity Planner'!$AA979&gt;0),'Activity Planner'!$F979+ROW()/100000,"")</f>
        <v>0</v>
      </c>
    </row>
    <row r="980" spans="17:18">
      <c r="Q980">
        <f>IF(INDEX('Activity Planner'!$O980:$Z980,SelMonthNum)=1,'Activity Planner'!$F980+ROW()/100000,"")</f>
        <v>0</v>
      </c>
      <c r="R980">
        <f>IF(AND('Activity Planner'!$N980=1,'Activity Planner'!$C980=SelPractice,'Activity Planner'!$AA980&gt;0),'Activity Planner'!$F980+ROW()/100000,"")</f>
        <v>0</v>
      </c>
    </row>
    <row r="981" spans="17:18">
      <c r="Q981">
        <f>IF(INDEX('Activity Planner'!$O981:$Z981,SelMonthNum)=1,'Activity Planner'!$F981+ROW()/100000,"")</f>
        <v>0</v>
      </c>
      <c r="R981">
        <f>IF(AND('Activity Planner'!$N981=1,'Activity Planner'!$C981=SelPractice,'Activity Planner'!$AA981&gt;0),'Activity Planner'!$F981+ROW()/100000,"")</f>
        <v>0</v>
      </c>
    </row>
    <row r="982" spans="17:18">
      <c r="Q982">
        <f>IF(INDEX('Activity Planner'!$O982:$Z982,SelMonthNum)=1,'Activity Planner'!$F982+ROW()/100000,"")</f>
        <v>0</v>
      </c>
      <c r="R982">
        <f>IF(AND('Activity Planner'!$N982=1,'Activity Planner'!$C982=SelPractice,'Activity Planner'!$AA982&gt;0),'Activity Planner'!$F982+ROW()/100000,"")</f>
        <v>0</v>
      </c>
    </row>
    <row r="983" spans="17:18">
      <c r="Q983">
        <f>IF(INDEX('Activity Planner'!$O983:$Z983,SelMonthNum)=1,'Activity Planner'!$F983+ROW()/100000,"")</f>
        <v>0</v>
      </c>
      <c r="R983">
        <f>IF(AND('Activity Planner'!$N983=1,'Activity Planner'!$C983=SelPractice,'Activity Planner'!$AA983&gt;0),'Activity Planner'!$F983+ROW()/100000,"")</f>
        <v>0</v>
      </c>
    </row>
    <row r="984" spans="17:18">
      <c r="Q984">
        <f>IF(INDEX('Activity Planner'!$O984:$Z984,SelMonthNum)=1,'Activity Planner'!$F984+ROW()/100000,"")</f>
        <v>0</v>
      </c>
      <c r="R984">
        <f>IF(AND('Activity Planner'!$N984=1,'Activity Planner'!$C984=SelPractice,'Activity Planner'!$AA984&gt;0),'Activity Planner'!$F984+ROW()/100000,"")</f>
        <v>0</v>
      </c>
    </row>
    <row r="985" spans="17:18">
      <c r="Q985">
        <f>IF(INDEX('Activity Planner'!$O985:$Z985,SelMonthNum)=1,'Activity Planner'!$F985+ROW()/100000,"")</f>
        <v>0</v>
      </c>
      <c r="R985">
        <f>IF(AND('Activity Planner'!$N985=1,'Activity Planner'!$C985=SelPractice,'Activity Planner'!$AA985&gt;0),'Activity Planner'!$F985+ROW()/100000,"")</f>
        <v>0</v>
      </c>
    </row>
    <row r="986" spans="17:18">
      <c r="Q986">
        <f>IF(INDEX('Activity Planner'!$O986:$Z986,SelMonthNum)=1,'Activity Planner'!$F986+ROW()/100000,"")</f>
        <v>0</v>
      </c>
      <c r="R986">
        <f>IF(AND('Activity Planner'!$N986=1,'Activity Planner'!$C986=SelPractice,'Activity Planner'!$AA986&gt;0),'Activity Planner'!$F986+ROW()/100000,"")</f>
        <v>0</v>
      </c>
    </row>
    <row r="987" spans="17:18">
      <c r="Q987">
        <f>IF(INDEX('Activity Planner'!$O987:$Z987,SelMonthNum)=1,'Activity Planner'!$F987+ROW()/100000,"")</f>
        <v>0</v>
      </c>
      <c r="R987">
        <f>IF(AND('Activity Planner'!$N987=1,'Activity Planner'!$C987=SelPractice,'Activity Planner'!$AA987&gt;0),'Activity Planner'!$F987+ROW()/100000,"")</f>
        <v>0</v>
      </c>
    </row>
    <row r="988" spans="17:18">
      <c r="Q988">
        <f>IF(INDEX('Activity Planner'!$O988:$Z988,SelMonthNum)=1,'Activity Planner'!$F988+ROW()/100000,"")</f>
        <v>0</v>
      </c>
      <c r="R988">
        <f>IF(AND('Activity Planner'!$N988=1,'Activity Planner'!$C988=SelPractice,'Activity Planner'!$AA988&gt;0),'Activity Planner'!$F988+ROW()/100000,"")</f>
        <v>0</v>
      </c>
    </row>
    <row r="989" spans="17:18">
      <c r="Q989">
        <f>IF(INDEX('Activity Planner'!$O989:$Z989,SelMonthNum)=1,'Activity Planner'!$F989+ROW()/100000,"")</f>
        <v>0</v>
      </c>
      <c r="R989">
        <f>IF(AND('Activity Planner'!$N989=1,'Activity Planner'!$C989=SelPractice,'Activity Planner'!$AA989&gt;0),'Activity Planner'!$F989+ROW()/100000,"")</f>
        <v>0</v>
      </c>
    </row>
    <row r="990" spans="17:18">
      <c r="Q990">
        <f>IF(INDEX('Activity Planner'!$O990:$Z990,SelMonthNum)=1,'Activity Planner'!$F990+ROW()/100000,"")</f>
        <v>0</v>
      </c>
      <c r="R990">
        <f>IF(AND('Activity Planner'!$N990=1,'Activity Planner'!$C990=SelPractice,'Activity Planner'!$AA990&gt;0),'Activity Planner'!$F990+ROW()/100000,"")</f>
        <v>0</v>
      </c>
    </row>
    <row r="991" spans="17:18">
      <c r="Q991">
        <f>IF(INDEX('Activity Planner'!$O991:$Z991,SelMonthNum)=1,'Activity Planner'!$F991+ROW()/100000,"")</f>
        <v>0</v>
      </c>
      <c r="R991">
        <f>IF(AND('Activity Planner'!$N991=1,'Activity Planner'!$C991=SelPractice,'Activity Planner'!$AA991&gt;0),'Activity Planner'!$F991+ROW()/100000,"")</f>
        <v>0</v>
      </c>
    </row>
    <row r="992" spans="17:18">
      <c r="Q992">
        <f>IF(INDEX('Activity Planner'!$O992:$Z992,SelMonthNum)=1,'Activity Planner'!$F992+ROW()/100000,"")</f>
        <v>0</v>
      </c>
      <c r="R992">
        <f>IF(AND('Activity Planner'!$N992=1,'Activity Planner'!$C992=SelPractice,'Activity Planner'!$AA992&gt;0),'Activity Planner'!$F992+ROW()/100000,"")</f>
        <v>0</v>
      </c>
    </row>
    <row r="993" spans="17:18">
      <c r="Q993">
        <f>IF(INDEX('Activity Planner'!$O993:$Z993,SelMonthNum)=1,'Activity Planner'!$F993+ROW()/100000,"")</f>
        <v>0</v>
      </c>
      <c r="R993">
        <f>IF(AND('Activity Planner'!$N993=1,'Activity Planner'!$C993=SelPractice,'Activity Planner'!$AA993&gt;0),'Activity Planner'!$F993+ROW()/100000,"")</f>
        <v>0</v>
      </c>
    </row>
    <row r="994" spans="17:18">
      <c r="Q994">
        <f>IF(INDEX('Activity Planner'!$O994:$Z994,SelMonthNum)=1,'Activity Planner'!$F994+ROW()/100000,"")</f>
        <v>0</v>
      </c>
      <c r="R994">
        <f>IF(AND('Activity Planner'!$N994=1,'Activity Planner'!$C994=SelPractice,'Activity Planner'!$AA994&gt;0),'Activity Planner'!$F994+ROW()/100000,"")</f>
        <v>0</v>
      </c>
    </row>
    <row r="995" spans="17:18">
      <c r="Q995">
        <f>IF(INDEX('Activity Planner'!$O995:$Z995,SelMonthNum)=1,'Activity Planner'!$F995+ROW()/100000,"")</f>
        <v>0</v>
      </c>
      <c r="R995">
        <f>IF(AND('Activity Planner'!$N995=1,'Activity Planner'!$C995=SelPractice,'Activity Planner'!$AA995&gt;0),'Activity Planner'!$F995+ROW()/100000,"")</f>
        <v>0</v>
      </c>
    </row>
    <row r="996" spans="17:18">
      <c r="Q996">
        <f>IF(INDEX('Activity Planner'!$O996:$Z996,SelMonthNum)=1,'Activity Planner'!$F996+ROW()/100000,"")</f>
        <v>0</v>
      </c>
      <c r="R996">
        <f>IF(AND('Activity Planner'!$N996=1,'Activity Planner'!$C996=SelPractice,'Activity Planner'!$AA996&gt;0),'Activity Planner'!$F996+ROW()/100000,"")</f>
        <v>0</v>
      </c>
    </row>
    <row r="997" spans="17:18">
      <c r="Q997">
        <f>IF(INDEX('Activity Planner'!$O997:$Z997,SelMonthNum)=1,'Activity Planner'!$F997+ROW()/100000,"")</f>
        <v>0</v>
      </c>
      <c r="R997">
        <f>IF(AND('Activity Planner'!$N997=1,'Activity Planner'!$C997=SelPractice,'Activity Planner'!$AA997&gt;0),'Activity Planner'!$F997+ROW()/100000,"")</f>
        <v>0</v>
      </c>
    </row>
    <row r="998" spans="17:18">
      <c r="Q998">
        <f>IF(INDEX('Activity Planner'!$O998:$Z998,SelMonthNum)=1,'Activity Planner'!$F998+ROW()/100000,"")</f>
        <v>0</v>
      </c>
      <c r="R998">
        <f>IF(AND('Activity Planner'!$N998=1,'Activity Planner'!$C998=SelPractice,'Activity Planner'!$AA998&gt;0),'Activity Planner'!$F998+ROW()/100000,"")</f>
        <v>0</v>
      </c>
    </row>
    <row r="999" spans="17:18">
      <c r="Q999">
        <f>IF(INDEX('Activity Planner'!$O999:$Z999,SelMonthNum)=1,'Activity Planner'!$F999+ROW()/100000,"")</f>
        <v>0</v>
      </c>
      <c r="R999">
        <f>IF(AND('Activity Planner'!$N999=1,'Activity Planner'!$C999=SelPractice,'Activity Planner'!$AA999&gt;0),'Activity Planner'!$F999+ROW()/100000,"")</f>
        <v>0</v>
      </c>
    </row>
    <row r="1000" spans="17:18">
      <c r="Q1000">
        <f>IF(INDEX('Activity Planner'!$O1000:$Z1000,SelMonthNum)=1,'Activity Planner'!$F1000+ROW()/100000,"")</f>
        <v>0</v>
      </c>
      <c r="R1000">
        <f>IF(AND('Activity Planner'!$N1000=1,'Activity Planner'!$C1000=SelPractice,'Activity Planner'!$AA1000&gt;0),'Activity Planner'!$F1000+ROW()/100000,"")</f>
        <v>0</v>
      </c>
    </row>
    <row r="1001" spans="17:18">
      <c r="Q1001">
        <f>IF(INDEX('Activity Planner'!$O1001:$Z1001,SelMonthNum)=1,'Activity Planner'!$F1001+ROW()/100000,"")</f>
        <v>0</v>
      </c>
      <c r="R1001">
        <f>IF(AND('Activity Planner'!$N1001=1,'Activity Planner'!$C1001=SelPractice,'Activity Planner'!$AA1001&gt;0),'Activity Planner'!$F1001+ROW()/100000,"")</f>
        <v>0</v>
      </c>
    </row>
    <row r="1002" spans="17:18">
      <c r="Q1002">
        <f>IF(INDEX('Activity Planner'!$O1002:$Z1002,SelMonthNum)=1,'Activity Planner'!$F1002+ROW()/100000,"")</f>
        <v>0</v>
      </c>
      <c r="R1002">
        <f>IF(AND('Activity Planner'!$N1002=1,'Activity Planner'!$C1002=SelPractice,'Activity Planner'!$AA1002&gt;0),'Activity Planner'!$F1002+ROW()/100000,"")</f>
        <v>0</v>
      </c>
    </row>
    <row r="1003" spans="17:18">
      <c r="Q1003">
        <f>IF(INDEX('Activity Planner'!$O1003:$Z1003,SelMonthNum)=1,'Activity Planner'!$F1003+ROW()/100000,"")</f>
        <v>0</v>
      </c>
      <c r="R1003">
        <f>IF(AND('Activity Planner'!$N1003=1,'Activity Planner'!$C1003=SelPractice,'Activity Planner'!$AA1003&gt;0),'Activity Planner'!$F1003+ROW()/100000,"")</f>
        <v>0</v>
      </c>
    </row>
    <row r="1004" spans="17:18">
      <c r="Q1004">
        <f>IF(INDEX('Activity Planner'!$O1004:$Z1004,SelMonthNum)=1,'Activity Planner'!$F1004+ROW()/100000,"")</f>
        <v>0</v>
      </c>
      <c r="R1004">
        <f>IF(AND('Activity Planner'!$N1004=1,'Activity Planner'!$C1004=SelPractice,'Activity Planner'!$AA1004&gt;0),'Activity Planner'!$F1004+ROW()/100000,"")</f>
        <v>0</v>
      </c>
    </row>
  </sheetData>
  <sheetProtection sheet="1" objects="1" scenarios="1" formatColumns="0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Start Here</vt:lpstr>
      <vt:lpstr>Annual View</vt:lpstr>
      <vt:lpstr>Monthly View</vt:lpstr>
      <vt:lpstr>Practice View</vt:lpstr>
      <vt:lpstr>Activity Planner</vt:lpstr>
      <vt:lpstr>Lists</vt:lpstr>
      <vt:lpstr>Settings</vt:lpstr>
      <vt:lpstr>Change Log</vt:lpstr>
      <vt:lpstr>Calc</vt:lpstr>
      <vt:lpstr>CollisionThreshold</vt:lpstr>
      <vt:lpstr>FilterList</vt:lpstr>
      <vt:lpstr>MonthList</vt:lpstr>
      <vt:lpstr>MotionNames</vt:lpstr>
      <vt:lpstr>PlanYear</vt:lpstr>
      <vt:lpstr>PracticeList</vt:lpstr>
      <vt:lpstr>PracticeNames</vt:lpstr>
      <vt:lpstr>'Activity Planner'!Print_Titles</vt:lpstr>
      <vt:lpstr>SelMonthNum</vt:lpstr>
      <vt:lpstr>SelPractice</vt:lpstr>
      <vt:lpstr>StatusFilter</vt:lpstr>
      <vt:lpstr>StatusList</vt:lpstr>
      <vt:lpstr>TypeList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2026-10-26T04:55:49Z</dcterms:created>
  <dcterms:modified xsi:type="dcterms:W3CDTF">2026-10-26T04:55:49Z</dcterms:modified>
</cp:coreProperties>
</file>